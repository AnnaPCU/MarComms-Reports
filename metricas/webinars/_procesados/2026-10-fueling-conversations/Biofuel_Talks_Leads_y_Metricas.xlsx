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3f5206b4a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ddfc11c2c0c4032"/>
    <x:sheet xmlns:r="http://schemas.openxmlformats.org/officeDocument/2006/relationships" name="HubSpot" sheetId="2" r:id="R84969b4123a74ccc"/>
    <x:sheet xmlns:r="http://schemas.openxmlformats.org/officeDocument/2006/relationships" name="Base externa" sheetId="3" r:id="R04186ba765d24be6"/>
    <x:sheet xmlns:r="http://schemas.openxmlformats.org/officeDocument/2006/relationships" name="Excluidos" sheetId="4" r:id="R080cc4b8d6c44c02"/>
    <x:sheet xmlns:r="http://schemas.openxmlformats.org/officeDocument/2006/relationships" name="Registro original" sheetId="5" r:id="Rb430513093ca4fa2"/>
    <x:sheet xmlns:r="http://schemas.openxmlformats.org/officeDocument/2006/relationships" name="Asistencia original" sheetId="6" r:id="R995714e7fa77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%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d6919e18d4781" /><Relationship Type="http://schemas.openxmlformats.org/officeDocument/2006/relationships/theme" Target="/xl/theme/theme1.xml" Id="R36bb3f2e41ce4ae2" /><Relationship Type="http://schemas.openxmlformats.org/officeDocument/2006/relationships/sharedStrings" Target="/xl/sharedStrings.xml" Id="R602b3542193e4d5b" /><Relationship Type="http://schemas.openxmlformats.org/officeDocument/2006/relationships/worksheet" Target="/xl/worksheets/sheet1.xml" Id="Rfddfc11c2c0c4032" /><Relationship Type="http://schemas.openxmlformats.org/officeDocument/2006/relationships/worksheet" Target="/xl/worksheets/sheet2.xml" Id="R84969b4123a74ccc" /><Relationship Type="http://schemas.openxmlformats.org/officeDocument/2006/relationships/worksheet" Target="/xl/worksheets/sheet3.xml" Id="R04186ba765d24be6" /><Relationship Type="http://schemas.openxmlformats.org/officeDocument/2006/relationships/worksheet" Target="/xl/worksheets/sheet4.xml" Id="R080cc4b8d6c44c02" /><Relationship Type="http://schemas.openxmlformats.org/officeDocument/2006/relationships/worksheet" Target="/xl/worksheets/sheet5.xml" Id="Rb430513093ca4fa2" /><Relationship Type="http://schemas.openxmlformats.org/officeDocument/2006/relationships/worksheet" Target="/xl/worksheets/sheet6.xml" Id="R995714e7fa77456a" /></Relationships>
</file>

<file path=xl/tables/table1.xml><?xml version="1.0" encoding="utf-8"?>
<x:table xmlns:x="http://schemas.openxmlformats.org/spreadsheetml/2006/main" id="1" name="HubSpotTable" displayName="HubSpotTable" ref="A1:P18" headerRowCount="1" totalsRowCount="0" totalsRowShown="0">
  <x:tableColumns count="16">
    <x:tableColumn id="1" name="Email"/>
    <x:tableColumn id="2" name="First Name"/>
    <x:tableColumn id="3" name="Last Name"/>
    <x:tableColumn id="4" name="Company Name"/>
    <x:tableColumn id="5" name="Country/Region"/>
    <x:tableColumn id="6" name="Webinar"/>
    <x:tableColumn id="7" name="Webinar date"/>
    <x:tableColumn id="8" name="Webinar attendance"/>
    <x:tableColumn id="9" name="Webinar segment"/>
    <x:tableColumn id="10" name="Follow-up priority"/>
    <x:tableColumn id="11" name="Attendance minutes"/>
    <x:tableColumn id="12" name="Commercial intent"/>
    <x:tableColumn id="13" name="Scoring reason"/>
    <x:tableColumn id="14" name="Review before outreach"/>
    <x:tableColumn id="15" name="Next action"/>
    <x:tableColumn id="16" name="Alternative emai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externaTable" displayName="BaseexternaTable" ref="A1:P87" headerRowCount="1" totalsRowCount="0" totalsRowShown="0">
  <x:tableColumns count="16">
    <x:tableColumn id="1" name="Email"/>
    <x:tableColumn id="2" name="First Name"/>
    <x:tableColumn id="3" name="Last Name"/>
    <x:tableColumn id="4" name="Company Name"/>
    <x:tableColumn id="5" name="Country/Region"/>
    <x:tableColumn id="6" name="Webinar"/>
    <x:tableColumn id="7" name="Webinar date"/>
    <x:tableColumn id="8" name="Webinar attendance"/>
    <x:tableColumn id="9" name="Webinar segment"/>
    <x:tableColumn id="10" name="Follow-up priority"/>
    <x:tableColumn id="11" name="Attendance minutes"/>
    <x:tableColumn id="12" name="Commercial intent"/>
    <x:tableColumn id="13" name="Scoring reason"/>
    <x:tableColumn id="14" name="Review before outreach"/>
    <x:tableColumn id="15" name="Next action"/>
    <x:tableColumn id="16" name="Alternative emai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idosTable" displayName="ExcluidosTable" ref="A1:F19" headerRowCount="1" totalsRowCount="0" totalsRowShown="0">
  <x:tableColumns count="6">
    <x:tableColumn id="1" name="Email"/>
    <x:tableColumn id="2" name="Nombre"/>
    <x:tableColumn id="3" name="Motivo"/>
    <x:tableColumn id="4" name="Registrado"/>
    <x:tableColumn id="5" name="Asistió"/>
    <x:tableColumn id="6" name="Alia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strooriginalTable" displayName="RegistrooriginalTable" ref="A1:G104" headerRowCount="1" totalsRowCount="0" totalsRowShown="0">
  <x:tableColumns count="7">
    <x:tableColumn id="1" name="Nombre de registro"/>
    <x:tableColumn id="2" name="Apellidos de registro"/>
    <x:tableColumn id="3" name="Correo electrónico de registro"/>
    <x:tableColumn id="4" name="Hora de registro"/>
    <x:tableColumn id="5" name="Estado del registro"/>
    <x:tableColumn id="6" name="Organización"/>
    <x:tableColumn id="7" name="País o reg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istenciaoriginalTable" displayName="AsistenciaoriginalTable" ref="A1:AC114" headerRowCount="1" totalsRowCount="0" totalsRowShown="0">
  <x:tableColumns count="29">
    <x:tableColumn id="1" name="Nombre"/>
    <x:tableColumn id="2" name="Primera entrada"/>
    <x:tableColumn id="3" name="Última salida"/>
    <x:tableColumn id="4" name="Duración de la reunión"/>
    <x:tableColumn id="5" name="Correo electrónico"/>
    <x:tableColumn id="6" name="Id. de participante (UPN)"/>
    <x:tableColumn id="7" name="Rol"/>
    <x:tableColumn id="8" name="Nombre de registro"/>
    <x:tableColumn id="9" name="Apellidos de registro"/>
    <x:tableColumn id="10" name="Correo electrónico de registro"/>
    <x:tableColumn id="11" name="Hora de registro"/>
    <x:tableColumn id="12" name="Estado del registro"/>
    <x:tableColumn id="13" name="Organización"/>
    <x:tableColumn id="14" name="País o región"/>
    <x:tableColumn id="15" name="Interacción: preguntas de Preguntas y respuestas"/>
    <x:tableColumn id="16" name="Interacción: respuestas de Preguntas y respuestas"/>
    <x:tableColumn id="17" name="Interacción: mejores respuestas de Preguntas y respuestas"/>
    <x:tableColumn id="18" name="Interacción: discusiones de Preguntas y respuestas"/>
    <x:tableColumn id="19" name="Interacción: Reacción-Aplauso"/>
    <x:tableColumn id="20" name="Interacción: Reacción-Me divierte"/>
    <x:tableColumn id="21" name="Interacción: Reacción-Me gusta"/>
    <x:tableColumn id="22" name="Interacción: Reacción-Me encanta"/>
    <x:tableColumn id="23" name="Interacción: Reacción-Me asombra"/>
    <x:tableColumn id="24" name="Interacción: Cámara encendida"/>
    <x:tableColumn id="25" name="Interacción: Manos levantadas"/>
    <x:tableColumn id="26" name="Interacción: Audio activado"/>
    <x:tableColumn id="27" name="Engagement: Camera Off"/>
    <x:tableColumn id="28" name="Engagement: Server Mute"/>
    <x:tableColumn id="29" name="Engagement: Server Unmu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142f0da61941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f23c4e91f641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b1713ba4e04c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ea138745514e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813cfb97dc4d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8" hidden="0" customWidth="1"/>
    <x:col min="3" max="3" width="3" hidden="0" customWidth="1"/>
    <x:col min="4" max="4" width="93" hidden="0" customWidth="1"/>
  </x:cols>
  <x:sheetData>
    <x:row r="1" ht="25" customHeight="1">
      <x:c r="A1" s="1"/>
      <x:c r="B1" s="1"/>
      <x:c r="C1" s="1"/>
      <x:c r="D1" s="1"/>
    </x:row>
    <x:row r="2" ht="25" customHeight="1">
      <x:c r="A2" s="8" t="str">
        <x:v>Fueling Conversations — 16/10/2026</x:v>
      </x:c>
      <x:c r="B2" s="1"/>
      <x:c r="C2" s="1"/>
      <x:c r="D2" s="1"/>
    </x:row>
    <x:row r="3" ht="25" customHeight="1">
      <x:c r="A3" s="1"/>
      <x:c r="B3" s="1"/>
      <x:c r="C3" s="1"/>
      <x:c r="D3" s="1"/>
    </x:row>
    <x:row r="4" ht="25" customHeight="1">
      <x:c r="A4" s="1"/>
      <x:c r="B4" s="1"/>
      <x:c r="C4" s="1"/>
      <x:c r="D4" s="1"/>
    </x:row>
    <x:row r="5" ht="25" customHeight="1">
      <x:c r="A5" s="14" t="str">
        <x:v>Métrica</x:v>
      </x:c>
      <x:c r="B5" s="14" t="str">
        <x:v>Resultado</x:v>
      </x:c>
      <x:c r="C5" s="2"/>
      <x:c r="D5" s="17" t="str">
        <x:v>Calificación y uso</x:v>
      </x:c>
    </x:row>
    <x:row r="6" ht="55" customHeight="1">
      <x:c r="A6" s="2" t="str">
        <x:v>Vistas de página (Teams)</x:v>
      </x:c>
      <x:c r="B6" s="2" t="n">
        <x:v>238</x:v>
      </x:c>
      <x:c r="C6" s="2"/>
      <x:c r="D6" s="3" t="str">
        <x:v>Hot potencial: Victor Garlington y Claude Luster III. Hay señales de intervención; falta validar lo dicho y su necesidad. No hay hot comercial confirmado.</x:v>
      </x:c>
    </x:row>
    <x:row r="7" ht="55" customHeight="1">
      <x:c r="A7" s="2" t="str">
        <x:v>Registros brutos (Teams)</x:v>
      </x:c>
      <x:c r="B7" s="2" t="n">
        <x:v>103</x:v>
      </x:c>
      <x:c r="C7" s="2"/>
      <x:c r="D7" s="3" t="str">
        <x:v>Warm: ≥20 min conectado, sin intención comercial documentada. Prioridad alta desde 45 min. Umbrales operativos propuestos para este evento.</x:v>
      </x:c>
    </x:row>
    <x:row r="8" ht="55" customHeight="1">
      <x:c r="A8" s="2" t="str">
        <x:v>Registros únicos depurados</x:v>
      </x:c>
      <x:c r="B8" s="2" t="n">
        <x:v>99</x:v>
      </x:c>
      <x:c r="C8" s="2"/>
      <x:c r="D8" s="3" t="str">
        <x:v>Revisar encaje: AmSpec y EcoEngineers (validar relación comercial/proveedor), University of Kentucky y American Soybean Association (alianzas). No se investigaron sus webs.</x:v>
      </x:c>
    </x:row>
    <x:row r="9" ht="55" customHeight="1">
      <x:c r="A9" s="2" t="str">
        <x:v>Registros externos únicos</x:v>
      </x:c>
      <x:c r="B9" s="2" t="n">
        <x:v>86</x:v>
      </x:c>
      <x:c r="C9" s="2"/>
      <x:c r="D9" s="3" t="str">
        <x:v>No puntuar audio activado al ingreso como pregunta. Victor levantó la mano a las 16:39 y fue habilitado a las 16:48; Claude fue habilitado a las 16:51. Horarios del export, zona no declarada.</x:v>
      </x:c>
    </x:row>
    <x:row r="10" ht="55" customHeight="1">
      <x:c r="A10" s="2" t="str">
        <x:v>Entradas de asistentes (Teams)</x:v>
      </x:c>
      <x:c r="B10" s="2" t="n">
        <x:v>45</x:v>
      </x:c>
      <x:c r="C10" s="2"/>
      <x:c r="D10" s="3" t="str">
        <x:v>HubSpot contiene 17 candidatos para seguimiento. Mapear Webinar segment y demás campos de evento a propiedades de contacto personalizadas. No son Lead Status ni Lifecycle Stage.</x:v>
      </x:c>
    </x:row>
    <x:row r="11" ht="55" customHeight="1">
      <x:c r="A11" s="2" t="str">
        <x:v>Asistentes únicos totales</x:v>
      </x:c>
      <x:c r="B11" s="2" t="n">
        <x:v>41</x:v>
      </x:c>
      <x:c r="C11" s="2"/>
      <x:c r="D11" s="3" t="str">
        <x:v>Antes del outreach, cruzar con HubSpot: cliente actual, Won, Proposal Sent, renewals, oportunidad activa y owner. No se validó el CRM ni se crearon contactos/deals.</x:v>
      </x:c>
    </x:row>
    <x:row r="12" ht="55" customHeight="1">
      <x:c r="A12" s="2" t="str">
        <x:v>Internos asistentes</x:v>
      </x:c>
      <x:c r="B12" s="2" t="n">
        <x:v>11</x:v>
      </x:c>
      <x:c r="C12" s="2"/>
      <x:c r="D12" s="3" t="str">
        <x:v>No sobrescribir datos existentes con campos vacíos. País y empresa faltantes se mantienen vacíos; el email no prueba ubicación ni afiliación.</x:v>
      </x:c>
    </x:row>
    <x:row r="13" ht="55" customHeight="1">
      <x:c r="A13" s="2" t="str">
        <x:v>Speakers asistentes</x:v>
      </x:c>
      <x:c r="B13" s="2" t="n">
        <x:v>2</x:v>
      </x:c>
      <x:c r="C13" s="2"/>
      <x:c r="D13" s="3" t="str">
        <x:v>Ken Beach: confirmar Beachway EcoSearch vs. LCY Biosciences. Greg Douma y Jack Rosa: misma empresa que speaker David Lindenmuth, relación por validar.</x:v>
      </x:c>
    </x:row>
    <x:row r="14" ht="55" customHeight="1">
      <x:c r="A14" s="2" t="str">
        <x:v>Asistentes externos únicos</x:v>
      </x:c>
      <x:c r="B14" s="2" t="n">
        <x:v>28</x:v>
      </x:c>
      <x:c r="C14" s="2"/>
      <x:c r="D14" s="17" t="str">
        <x:v>Depuración y métricas</x:v>
      </x:c>
    </x:row>
    <x:row r="15" ht="55" customHeight="1">
      <x:c r="A15" s="2" t="str">
        <x:v>Asistencia externa / registros externos</x:v>
      </x:c>
      <x:c r="B15" s="15" t="n">
        <x:f>B14/B9</x:f>
        <x:v>0.32558139534883723</x:v>
      </x:c>
      <x:c r="C15" s="2"/>
      <x:c r="D15" s="3" t="str">
        <x:v>103 registros se reducen a 99 personas (4 pares de emails). 86 externas y 13 internas. Asistencia: 45 entradas se reducen a 41 personas: 28 externas, 11 internas, 2 speakers.</x:v>
      </x:c>
    </x:row>
    <x:row r="16" ht="55" customHeight="1">
      <x:c r="A16" s="2" t="str">
        <x:v>Registros / vistas (no visitantes únicos)</x:v>
      </x:c>
      <x:c r="B16" s="15" t="n">
        <x:f>B7/B6</x:f>
        <x:v>0.4327731092436975</x:v>
      </x:c>
      <x:c r="C16" s="2"/>
      <x:c r="D16" s="3" t="str">
        <x:v>Reconexiones agrupadas por email de registro: Raphael Berkien (3), Hubert Piatkowski (2) y Ken Beach (2). Minutos calculados como unión de intervalos, sin doble conteo de solapamientos.</x:v>
      </x:c>
    </x:row>
    <x:row r="17" ht="55" customHeight="1">
      <x:c r="A17" s="2" t="str">
        <x:v>Promedio externo conectado (min)</x:v>
      </x:c>
      <x:c r="B17" s="16" t="n">
        <x:f>AVERAGEIFS('Base externa'!K2:K87,'Base externa'!H2:H87,"Attended")</x:f>
        <x:v>44.845238095238095</x:v>
      </x:c>
      <x:c r="C17" s="2"/>
      <x:c r="D17" s="3" t="str">
        <x:v>Emails de registros agrupados por coincidencia de nombre y evidencia del archivo: Jessica Quarino, Hubert Piatkowski, Anshul Jain y Fernando Rodriguez Uslenghi (contrlunion.com es typo). Revisar antes de fusionar CRM.</x:v>
      </x:c>
    </x:row>
    <x:row r="18" ht="55" customHeight="1">
      <x:c r="A18" s="2" t="str">
        <x:v>Mediana externa conectada (min)</x:v>
      </x:c>
      <x:c r="B18" s="16" t="n">
        <x:v>47.86666666666667</x:v>
      </x:c>
      <x:c r="C18" s="2"/>
      <x:c r="D18" s="3" t="str">
        <x:v>Los 123 min de sala incluyen conexión anticipada y cierre. Claude registra 114.9 min y Henry 87.8 min: no equivalen a duración de contenido. No se calculó % visto por falta de horario oficial.</x:v>
      </x:c>
    </x:row>
    <x:row r="19" ht="55" customHeight="1">
      <x:c r="A19" s="2" t="str">
        <x:v>Externos con ≥45 minutos</x:v>
      </x:c>
      <x:c r="B19" s="2" t="n">
        <x:f>COUNTIFS('Base externa'!K2:K87,"&gt;=45")</x:f>
        <x:v>17</x:v>
      </x:c>
      <x:c r="C19" s="2"/>
      <x:c r="D19" s="3" t="str">
        <x:v>La mediana externa es un cálculo estático de los 28 tiempos depurados. El promedio usa esos mismos tiempos. 17/28 estuvieron conectados ≥45 min.</x:v>
      </x:c>
    </x:row>
    <x:row r="20" ht="55" customHeight="1">
      <x:c r="A20" s="2" t="str">
        <x:v>Hot potenciales, intención por validar</x:v>
      </x:c>
      <x:c r="B20" s="2" t="n">
        <x:f>COUNTIFS('Base externa'!I2:I87,"Hot potencial")</x:f>
        <x:v>2</x:v>
      </x:c>
      <x:c r="C20" s="2"/>
      <x:c r="D20" s="3" t="str">
        <x:v>La tasa 103/238 mide registros por vistas, no conversión de visitantes únicos. 45/103 mezcla entradas duplicadas, internos y speakers; se usa 28/86 = 32.6% para asistencia externa.</x:v>
      </x:c>
    </x:row>
    <x:row r="21" ht="55" customHeight="1">
      <x:c r="A21" s="2" t="str">
        <x:v>Warm</x:v>
      </x:c>
      <x:c r="B21" s="2" t="n">
        <x:f>COUNTIFS('Base externa'!I2:I87,"Warm")</x:f>
        <x:v>15</x:v>
      </x:c>
      <x:c r="C21" s="2"/>
      <x:c r="D21" s="3" t="str">
        <x:v>Geografía declarada de los 28 externos asistentes: Estados Unidos 19, Canadá 5, sin país 4. No equivale a segmentación exclusivamente USA.</x:v>
      </x:c>
    </x:row>
    <x:row r="22" ht="55" customHeight="1">
      <x:c r="A22" s="2" t="str">
        <x:v>Revisar encaje</x:v>
      </x:c>
      <x:c r="B22" s="2" t="n">
        <x:f>COUNTIFS('Base externa'!I2:I87,"Revisar encaje")</x:f>
        <x:v>6</x:v>
      </x:c>
      <x:c r="C22" s="2"/>
      <x:c r="D22" s="17" t="str">
        <x:v>Fuentes</x:v>
      </x:c>
    </x:row>
    <x:row r="23" ht="55" customHeight="1">
      <x:c r="A23" s="2" t="str">
        <x:v>Cold (&lt;20 minutos)</x:v>
      </x:c>
      <x:c r="B23" s="2" t="n">
        <x:f>COUNTIFS('Base externa'!I2:I87,"Cold")</x:f>
        <x:v>5</x:v>
      </x:c>
      <x:c r="C23" s="2"/>
      <x:c r="D23" s="3" t="str">
        <x:v>Registro original: Informe de registro (7).csv, sección 2. Asistencia original: Fueling Conversations - Informe de asistencia 10-16-26 (1).csv, sección 2; tiempos depurados desde sección 3.</x:v>
      </x:c>
    </x:row>
    <x:row r="24" ht="55" customHeight="1">
      <x:c r="A24" s="2" t="str">
        <x:v>No-show / Nurture</x:v>
      </x:c>
      <x:c r="B24" s="2" t="n">
        <x:f>COUNTIFS('Base externa'!I2:I87,"Nurture")</x:f>
        <x:v>58</x:v>
      </x:c>
      <x:c r="C24" s="2"/>
      <x:c r="D24" s="3" t="str">
        <x:v>Q&amp;A Report (7).csv: 1 DISCUSSION de lhanke@onepeterson.com, 2026-10-16T19:41:36.669Z. Texto: Would it be possible to post your question in the chat? Thank you!</x:v>
      </x:c>
    </x:row>
    <x:row r="25" ht="55" customHeight="1">
      <x:c r="A25" s="2" t="str">
        <x:v>Hot con intención confirmada</x:v>
      </x:c>
      <x:c r="B25" s="2" t="n">
        <x:v>0</x:v>
      </x:c>
      <x:c r="C25" s="2"/>
      <x:c r="D25" s="3" t="str">
        <x:v>No hay preguntas de asistentes en el Q&amp;A exportado. Puede haber preguntas orales o en otro chat no incluido. No hay evidencia aquí de presupuesto, plazo, proyecto ni solicitud de propuesta.</x:v>
      </x:c>
    </x:row>
    <x:row r="26" ht="25" customHeight="1">
      <x:c r="A26" s="2" t="str">
        <x:v>Preguntas documentadas de asistentes</x:v>
      </x:c>
      <x:c r="B26" s="2" t="n">
        <x:v>0</x:v>
      </x:c>
      <x:c r="C26" s="2"/>
      <x:c r="D26" s="2"/>
    </x:row>
    <x:row r="27" ht="25" customHeight="1">
      <x:c r="A27" s="2" t="str">
        <x:v>Duración de sala Teams (min)</x:v>
      </x:c>
      <x:c r="B27" s="16" t="n">
        <x:v>123.41666666666667</x:v>
      </x:c>
      <x:c r="C27" s="2"/>
      <x:c r="D27" s="2"/>
    </x:row>
    <x:row r="28" ht="25" customHeight="1">
      <x:c r="A28" s="2" t="str">
        <x:v>Promedio por entrada Teams (min)</x:v>
      </x:c>
      <x:c r="B28" s="16" t="n">
        <x:v>42.416666666666664</x:v>
      </x:c>
      <x:c r="C28" s="2"/>
      <x:c r="D28" s="2"/>
    </x:row>
    <x:row r="29" ht="25" customHeight="1">
      <x:c r="A29" s="1"/>
      <x:c r="B29" s="1"/>
      <x:c r="C29" s="1"/>
      <x:c r="D29" s="1"/>
    </x:row>
    <x:row r="30" ht="25" customHeight="1">
      <x:c r="A30" s="1"/>
      <x:c r="B30" s="1"/>
      <x:c r="C30" s="1"/>
      <x:c r="D30" s="1"/>
    </x:row>
    <x:row r="31" ht="25" customHeight="1">
      <x:c r="A31" s="1"/>
      <x:c r="B31" s="1"/>
      <x:c r="C31" s="1"/>
      <x:c r="D31" s="1"/>
    </x:row>
    <x:row r="32" ht="25" customHeight="1">
      <x:c r="A32" s="1"/>
      <x:c r="B32" s="1"/>
      <x:c r="C32" s="1"/>
      <x:c r="D32" s="1"/>
    </x:row>
    <x:row r="33" ht="25" customHeight="1">
      <x:c r="A33" s="1"/>
      <x:c r="B33" s="1"/>
      <x:c r="C33" s="1"/>
      <x:c r="D33" s="1"/>
    </x:row>
    <x:row r="34" ht="25" customHeight="1">
      <x:c r="A34" s="1"/>
      <x:c r="B34" s="1"/>
      <x:c r="C34" s="1"/>
      <x:c r="D34" s="1"/>
    </x:row>
    <x:row r="35" ht="25" customHeight="1">
      <x:c r="A35" s="1"/>
      <x:c r="B35" s="1"/>
      <x:c r="C35" s="1"/>
      <x:c r="D35" s="1"/>
    </x:row>
    <x:row r="36" ht="25" customHeight="1">
      <x:c r="A36" s="1"/>
      <x:c r="B36" s="1"/>
      <x:c r="C36" s="1"/>
      <x:c r="D36" s="1"/>
    </x:row>
    <x:row r="37" ht="25" customHeight="1">
      <x:c r="A37" s="1"/>
      <x:c r="B37" s="1"/>
      <x:c r="C37" s="1"/>
      <x:c r="D37" s="1"/>
    </x:row>
    <x:row r="38" ht="25" customHeight="1">
      <x:c r="A38" s="1"/>
      <x:c r="B38" s="1"/>
      <x:c r="C38" s="1"/>
      <x:c r="D38" s="1"/>
    </x:row>
    <x:row r="39" ht="25" customHeight="1">
      <x:c r="A39" s="1"/>
      <x:c r="B39" s="1"/>
      <x:c r="C39" s="1"/>
      <x:c r="D39" s="1"/>
    </x:row>
    <x:row r="40" ht="25" customHeight="1">
      <x:c r="A40" s="1"/>
      <x:c r="B40" s="1"/>
      <x:c r="C40" s="1"/>
      <x:c r="D40" s="1"/>
    </x:row>
    <x:row r="41" ht="25" customHeight="1">
      <x:c r="A41" s="1"/>
      <x:c r="B41" s="1"/>
      <x:c r="C41" s="1"/>
      <x:c r="D41" s="1"/>
    </x:row>
    <x:row r="42" ht="25" customHeight="1">
      <x:c r="A42" s="1"/>
      <x:c r="B42" s="1"/>
      <x:c r="C42" s="1"/>
      <x:c r="D42" s="1"/>
    </x:row>
    <x:row r="43" ht="25" customHeight="1">
      <x:c r="A43" s="1"/>
      <x:c r="B43" s="1"/>
      <x:c r="C43" s="1"/>
      <x:c r="D43" s="1"/>
    </x:row>
    <x:row r="44" ht="25" customHeight="1">
      <x:c r="A44" s="1"/>
      <x:c r="B44" s="1"/>
      <x:c r="C44" s="1"/>
      <x:c r="D44" s="1"/>
    </x:row>
    <x:row r="45" ht="25" customHeight="1">
      <x:c r="A45" s="1"/>
      <x:c r="B45" s="1"/>
      <x:c r="C45" s="1"/>
      <x:c r="D45" s="1"/>
    </x:row>
    <x:row r="46" ht="25" customHeight="1">
      <x:c r="A46" s="1"/>
      <x:c r="B46" s="1"/>
      <x:c r="C46" s="1"/>
      <x:c r="D46" s="1"/>
    </x:row>
    <x:row r="47" ht="25" customHeight="1">
      <x:c r="A47" s="1"/>
      <x:c r="B47" s="1"/>
      <x:c r="C47" s="1"/>
      <x:c r="D4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3" hidden="0" customWidth="1"/>
    <x:col min="7" max="7" width="60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65" hidden="0" customWidth="1"/>
    <x:col min="13" max="13" width="65" hidden="0" customWidth="1"/>
    <x:col min="14" max="14" width="65" hidden="0" customWidth="1"/>
    <x:col min="15" max="15" width="65" hidden="0" customWidth="1"/>
    <x:col min="16" max="16" width="65" hidden="0" customWidth="1"/>
  </x:cols>
  <x:sheetData>
    <x:row r="1" ht="40" customHeight="1">
      <x:c r="A1" s="5" t="str">
        <x:v>Email</x:v>
      </x:c>
      <x:c r="B1" s="5" t="str">
        <x:v>First Name</x:v>
      </x:c>
      <x:c r="C1" s="5" t="str">
        <x:v>Last Name</x:v>
      </x:c>
      <x:c r="D1" s="5" t="str">
        <x:v>Company Name</x:v>
      </x:c>
      <x:c r="E1" s="5" t="str">
        <x:v>Country/Region</x:v>
      </x:c>
      <x:c r="F1" s="5" t="str">
        <x:v>Webinar</x:v>
      </x:c>
      <x:c r="G1" s="5" t="str">
        <x:v>Webinar date</x:v>
      </x:c>
      <x:c r="H1" s="5" t="str">
        <x:v>Webinar attendance</x:v>
      </x:c>
      <x:c r="I1" s="5" t="str">
        <x:v>Webinar segment</x:v>
      </x:c>
      <x:c r="J1" s="5" t="str">
        <x:v>Follow-up priority</x:v>
      </x:c>
      <x:c r="K1" s="5" t="str">
        <x:v>Attendance minutes</x:v>
      </x:c>
      <x:c r="L1" s="5" t="str">
        <x:v>Commercial intent</x:v>
      </x:c>
      <x:c r="M1" s="5" t="str">
        <x:v>Scoring reason</x:v>
      </x:c>
      <x:c r="N1" s="5" t="str">
        <x:v>Review before outreach</x:v>
      </x:c>
      <x:c r="O1" s="5" t="str">
        <x:v>Next action</x:v>
      </x:c>
      <x:c r="P1" s="5" t="str">
        <x:v>Alternative emails</x:v>
      </x:c>
    </x:row>
    <x:row r="2" ht="60" customHeight="1">
      <x:c r="A2" s="3" t="str">
        <x:v>claude@lr3tech.com</x:v>
      </x:c>
      <x:c r="B2" s="3" t="str">
        <x:v>Claude</x:v>
      </x:c>
      <x:c r="C2" s="3" t="str">
        <x:v>Luster III</x:v>
      </x:c>
      <x:c r="D2" s="3" t="str">
        <x:v>LR3Technologies LLC</x:v>
      </x:c>
      <x:c r="E2" s="3" t="str">
        <x:v>United States</x:v>
      </x:c>
      <x:c r="F2" s="3" t="str">
        <x:v>Fueling Conversations</x:v>
      </x:c>
      <x:c r="G2" s="6" t="d">
        <x:v>2026-10-16T12:00:00.000Z</x:v>
      </x:c>
      <x:c r="H2" s="3" t="str">
        <x:v>Attended</x:v>
      </x:c>
      <x:c r="I2" s="3" t="str">
        <x:v>Hot potencial</x:v>
      </x:c>
      <x:c r="J2" s="3" t="str">
        <x:v>1 - Validar intención</x:v>
      </x:c>
      <x:c r="K2" s="7" t="n">
        <x:v>114.85</x:v>
      </x:c>
      <x:c r="L2" s="3" t="str">
        <x:v>Sin intención comercial documentada</x:v>
      </x:c>
      <x:c r="M2" s="3" t="str">
        <x:v>Habilitado por servidor a las 16:51:52; permanencia alta, incluye conexión anticipada.</x:v>
      </x:c>
      <x:c r="N2" s="3" t="str"/>
      <x:c r="O2" s="3" t="str">
        <x:v>Revisar CRM (cliente, propuesta, oportunidad activa y owner) antes del contacto. Revisar grabación y consultar proyecto/necesidad concreta.</x:v>
      </x:c>
      <x:c r="P2" s="3" t="str"/>
    </x:row>
    <x:row r="3" ht="60" customHeight="1">
      <x:c r="A3" s="3" t="str">
        <x:v>mail@bioeconomysolutions.com</x:v>
      </x:c>
      <x:c r="B3" s="3" t="str">
        <x:v>Victor</x:v>
      </x:c>
      <x:c r="C3" s="3" t="str">
        <x:v>Garlington</x:v>
      </x:c>
      <x:c r="D3" s="3" t="str">
        <x:v>BioEonomy Solutions</x:v>
      </x:c>
      <x:c r="E3" s="3" t="str">
        <x:v>United States</x:v>
      </x:c>
      <x:c r="F3" s="3" t="str">
        <x:v>Fueling Conversations</x:v>
      </x:c>
      <x:c r="G3" s="6" t="d">
        <x:v>2026-10-16T12:00:00.000Z</x:v>
      </x:c>
      <x:c r="H3" s="3" t="str">
        <x:v>Attended</x:v>
      </x:c>
      <x:c r="I3" s="3" t="str">
        <x:v>Hot potencial</x:v>
      </x:c>
      <x:c r="J3" s="3" t="str">
        <x:v>1 - Validar intención</x:v>
      </x:c>
      <x:c r="K3" s="7" t="n">
        <x:v>45.05</x:v>
      </x:c>
      <x:c r="L3" s="3" t="str">
        <x:v>Sin intención comercial documentada</x:v>
      </x:c>
      <x:c r="M3" s="3" t="str">
        <x:v>Mano levantada y habilitación de audio durante la sesión.</x:v>
      </x:c>
      <x:c r="N3" s="3" t="str"/>
      <x:c r="O3" s="3" t="str">
        <x:v>Revisar CRM (cliente, propuesta, oportunidad activa y owner) antes del contacto. Revisar grabación y consultar proyecto/necesidad concreta.</x:v>
      </x:c>
      <x:c r="P3" s="3" t="str"/>
    </x:row>
    <x:row r="4" ht="60" customHeight="1">
      <x:c r="A4" s="3" t="str">
        <x:v>hsherrington@amerracapital.com</x:v>
      </x:c>
      <x:c r="B4" s="3" t="str">
        <x:v>Henry</x:v>
      </x:c>
      <x:c r="C4" s="3" t="str">
        <x:v>Sherrington</x:v>
      </x:c>
      <x:c r="D4" s="3" t="str">
        <x:v>AMERRA Capital Management</x:v>
      </x:c>
      <x:c r="E4" s="3" t="str">
        <x:v>United States</x:v>
      </x:c>
      <x:c r="F4" s="3" t="str">
        <x:v>Fueling Conversations</x:v>
      </x:c>
      <x:c r="G4" s="6" t="d">
        <x:v>2026-10-16T12:00:00.000Z</x:v>
      </x:c>
      <x:c r="H4" s="3" t="str">
        <x:v>Attended</x:v>
      </x:c>
      <x:c r="I4" s="3" t="str">
        <x:v>Warm</x:v>
      </x:c>
      <x:c r="J4" s="3" t="str">
        <x:v>2 - Warm alto</x:v>
      </x:c>
      <x:c r="K4" s="7" t="n">
        <x:v>87.8</x:v>
      </x:c>
      <x:c r="L4" s="3" t="str">
        <x:v>Sin intención comercial documentada</x:v>
      </x:c>
      <x:c r="M4" s="3" t="str">
        <x:v>Asistencia de al menos 20 minutos; sin solicitud comercial documentada.</x:v>
      </x:c>
      <x:c r="N4" s="3" t="str"/>
      <x:c r="O4" s="3" t="str">
        <x:v>Revisar CRM (cliente, propuesta, oportunidad activa y owner) antes del contacto. Enviar seguimiento personalizado y preguntar por proyecto/necesidad.</x:v>
      </x:c>
      <x:c r="P4" s="3" t="str"/>
    </x:row>
    <x:row r="5" ht="60" customHeight="1">
      <x:c r="A5" s="3" t="str">
        <x:v>geoffreymather@nextenergyfuels.com</x:v>
      </x:c>
      <x:c r="B5" s="3" t="str">
        <x:v>Geoffrey</x:v>
      </x:c>
      <x:c r="C5" s="3" t="str">
        <x:v>mather</x:v>
      </x:c>
      <x:c r="D5" s="3" t="str">
        <x:v>next energy fuels</x:v>
      </x:c>
      <x:c r="E5" s="3" t="str">
        <x:v>United States</x:v>
      </x:c>
      <x:c r="F5" s="3" t="str">
        <x:v>Fueling Conversations</x:v>
      </x:c>
      <x:c r="G5" s="6" t="d">
        <x:v>2026-10-16T12:00:00.000Z</x:v>
      </x:c>
      <x:c r="H5" s="3" t="str">
        <x:v>Attended</x:v>
      </x:c>
      <x:c r="I5" s="3" t="str">
        <x:v>Warm</x:v>
      </x:c>
      <x:c r="J5" s="3" t="str">
        <x:v>2 - Warm alto</x:v>
      </x:c>
      <x:c r="K5" s="7" t="n">
        <x:v>63.65</x:v>
      </x:c>
      <x:c r="L5" s="3" t="str">
        <x:v>Sin intención comercial documentada</x:v>
      </x:c>
      <x:c r="M5" s="3" t="str">
        <x:v>Asistencia de al menos 20 minutos; sin solicitud comercial documentada.</x:v>
      </x:c>
      <x:c r="N5" s="3" t="str"/>
      <x:c r="O5" s="3" t="str">
        <x:v>Revisar CRM (cliente, propuesta, oportunidad activa y owner) antes del contacto. Enviar seguimiento personalizado y preguntar por proyecto/necesidad.</x:v>
      </x:c>
      <x:c r="P5" s="3" t="str"/>
    </x:row>
    <x:row r="6" ht="60" customHeight="1">
      <x:c r="A6" s="3" t="str">
        <x:v>rod.kux@takachar.com</x:v>
      </x:c>
      <x:c r="B6" s="3" t="str">
        <x:v>Nimrod</x:v>
      </x:c>
      <x:c r="C6" s="3" t="str">
        <x:v>Kux</x:v>
      </x:c>
      <x:c r="D6" s="3" t="str"/>
      <x:c r="E6" s="3" t="str"/>
      <x:c r="F6" s="3" t="str">
        <x:v>Fueling Conversations</x:v>
      </x:c>
      <x:c r="G6" s="6" t="d">
        <x:v>2026-10-16T12:00:00.000Z</x:v>
      </x:c>
      <x:c r="H6" s="3" t="str">
        <x:v>Attended</x:v>
      </x:c>
      <x:c r="I6" s="3" t="str">
        <x:v>Warm</x:v>
      </x:c>
      <x:c r="J6" s="3" t="str">
        <x:v>2 - Warm alto</x:v>
      </x:c>
      <x:c r="K6" s="7" t="n">
        <x:v>61.21666666666667</x:v>
      </x:c>
      <x:c r="L6" s="3" t="str">
        <x:v>Sin intención comercial documentada</x:v>
      </x:c>
      <x:c r="M6" s="3" t="str">
        <x:v>Asistencia de al menos 20 minutos; sin solicitud comercial documentada.</x:v>
      </x:c>
      <x:c r="N6" s="3" t="str"/>
      <x:c r="O6" s="3" t="str">
        <x:v>Revisar CRM (cliente, propuesta, oportunidad activa y owner) antes del contacto. Enviar seguimiento personalizado y preguntar por proyecto/necesidad.</x:v>
      </x:c>
      <x:c r="P6" s="3" t="str"/>
    </x:row>
    <x:row r="7" ht="60" customHeight="1">
      <x:c r="A7" s="3" t="str">
        <x:v>rberkien@transworldtechinc.com</x:v>
      </x:c>
      <x:c r="B7" s="3" t="str">
        <x:v>Raphael</x:v>
      </x:c>
      <x:c r="C7" s="3" t="str">
        <x:v>Berkien</x:v>
      </x:c>
      <x:c r="D7" s="3" t="str">
        <x:v>Transworld Technologies Inc.</x:v>
      </x:c>
      <x:c r="E7" s="3" t="str">
        <x:v>United States</x:v>
      </x:c>
      <x:c r="F7" s="3" t="str">
        <x:v>Fueling Conversations</x:v>
      </x:c>
      <x:c r="G7" s="6" t="d">
        <x:v>2026-10-16T12:00:00.000Z</x:v>
      </x:c>
      <x:c r="H7" s="3" t="str">
        <x:v>Attended</x:v>
      </x:c>
      <x:c r="I7" s="3" t="str">
        <x:v>Warm</x:v>
      </x:c>
      <x:c r="J7" s="3" t="str">
        <x:v>2 - Warm alto</x:v>
      </x:c>
      <x:c r="K7" s="7" t="n">
        <x:v>60.61666666666667</x:v>
      </x:c>
      <x:c r="L7" s="3" t="str">
        <x:v>Sin intención comercial documentada</x:v>
      </x:c>
      <x:c r="M7" s="3" t="str">
        <x:v>Asistencia de al menos 20 minutos; sin solicitud comercial documentada.</x:v>
      </x:c>
      <x:c r="N7" s="3" t="str"/>
      <x:c r="O7" s="3" t="str">
        <x:v>Revisar CRM (cliente, propuesta, oportunidad activa y owner) antes del contacto. Enviar seguimiento personalizado y preguntar por proyecto/necesidad.</x:v>
      </x:c>
      <x:c r="P7" s="3" t="str"/>
    </x:row>
    <x:row r="8" ht="60" customHeight="1">
      <x:c r="A8" s="3" t="str">
        <x:v>geoff.fichtl@lanzajet.com</x:v>
      </x:c>
      <x:c r="B8" s="3" t="str">
        <x:v>Geoffrey</x:v>
      </x:c>
      <x:c r="C8" s="3" t="str">
        <x:v>Fichtl</x:v>
      </x:c>
      <x:c r="D8" s="3" t="str">
        <x:v>LanzaJet</x:v>
      </x:c>
      <x:c r="E8" s="3" t="str">
        <x:v>United States</x:v>
      </x:c>
      <x:c r="F8" s="3" t="str">
        <x:v>Fueling Conversations</x:v>
      </x:c>
      <x:c r="G8" s="6" t="d">
        <x:v>2026-10-16T12:00:00.000Z</x:v>
      </x:c>
      <x:c r="H8" s="3" t="str">
        <x:v>Attended</x:v>
      </x:c>
      <x:c r="I8" s="3" t="str">
        <x:v>Warm</x:v>
      </x:c>
      <x:c r="J8" s="3" t="str">
        <x:v>2 - Warm alto</x:v>
      </x:c>
      <x:c r="K8" s="7" t="n">
        <x:v>59</x:v>
      </x:c>
      <x:c r="L8" s="3" t="str">
        <x:v>Sin intención comercial documentada</x:v>
      </x:c>
      <x:c r="M8" s="3" t="str">
        <x:v>Asistencia de al menos 20 minutos; sin solicitud comercial documentada.</x:v>
      </x:c>
      <x:c r="N8" s="3" t="str"/>
      <x:c r="O8" s="3" t="str">
        <x:v>Revisar CRM (cliente, propuesta, oportunidad activa y owner) antes del contacto. Enviar seguimiento personalizado y preguntar por proyecto/necesidad.</x:v>
      </x:c>
      <x:c r="P8" s="3" t="str"/>
    </x:row>
    <x:row r="9" ht="60" customHeight="1">
      <x:c r="A9" s="3" t="str">
        <x:v>ken@beachwayeco.com</x:v>
      </x:c>
      <x:c r="B9" s="3" t="str">
        <x:v>Ken</x:v>
      </x:c>
      <x:c r="C9" s="3" t="str">
        <x:v>Beach</x:v>
      </x:c>
      <x:c r="D9" s="3" t="str">
        <x:v>Beachway EcoSearch LLC</x:v>
      </x:c>
      <x:c r="E9" s="3" t="str">
        <x:v>United States</x:v>
      </x:c>
      <x:c r="F9" s="3" t="str">
        <x:v>Fueling Conversations</x:v>
      </x:c>
      <x:c r="G9" s="6" t="d">
        <x:v>2026-10-16T12:00:00.000Z</x:v>
      </x:c>
      <x:c r="H9" s="3" t="str">
        <x:v>Attended</x:v>
      </x:c>
      <x:c r="I9" s="3" t="str">
        <x:v>Warm</x:v>
      </x:c>
      <x:c r="J9" s="3" t="str">
        <x:v>2 - Warm alto</x:v>
      </x:c>
      <x:c r="K9" s="7" t="n">
        <x:v>58.46666666666667</x:v>
      </x:c>
      <x:c r="L9" s="3" t="str">
        <x:v>Sin intención comercial documentada</x:v>
      </x:c>
      <x:c r="M9" s="3" t="str">
        <x:v>Asistencia de al menos 20 minutos; sin solicitud comercial documentada.</x:v>
      </x:c>
      <x:c r="N9" s="3" t="str">
        <x:v>Confirmar afiliación: registro Beachway EcoSearch; acceso adicional con lcy-biosciences.com.</x:v>
      </x:c>
      <x:c r="O9" s="3" t="str">
        <x:v>Revisar CRM (cliente, propuesta, oportunidad activa y owner) antes del contacto. Enviar seguimiento personalizado y preguntar por proyecto/necesidad.</x:v>
      </x:c>
      <x:c r="P9" s="3" t="str">
        <x:v>ken.beach@lcy-biosciences.com</x:v>
      </x:c>
    </x:row>
    <x:row r="10" ht="60" customHeight="1">
      <x:c r="A10" s="3" t="str">
        <x:v>gdouma@calbioenergy.com</x:v>
      </x:c>
      <x:c r="B10" s="3" t="str">
        <x:v>Greg</x:v>
      </x:c>
      <x:c r="C10" s="3" t="str">
        <x:v>Douma</x:v>
      </x:c>
      <x:c r="D10" s="3" t="str">
        <x:v>California Bioenergy</x:v>
      </x:c>
      <x:c r="E10" s="3" t="str">
        <x:v>United States</x:v>
      </x:c>
      <x:c r="F10" s="3" t="str">
        <x:v>Fueling Conversations</x:v>
      </x:c>
      <x:c r="G10" s="6" t="d">
        <x:v>2026-10-16T12:00:00.000Z</x:v>
      </x:c>
      <x:c r="H10" s="3" t="str">
        <x:v>Attended</x:v>
      </x:c>
      <x:c r="I10" s="3" t="str">
        <x:v>Warm</x:v>
      </x:c>
      <x:c r="J10" s="3" t="str">
        <x:v>2 - Warm alto</x:v>
      </x:c>
      <x:c r="K10" s="7" t="n">
        <x:v>57.3</x:v>
      </x:c>
      <x:c r="L10" s="3" t="str">
        <x:v>Sin intención comercial documentada</x:v>
      </x:c>
      <x:c r="M10" s="3" t="str">
        <x:v>Asistencia de al menos 20 minutos; sin solicitud comercial documentada.</x:v>
      </x:c>
      <x:c r="N10" s="3" t="str">
        <x:v>Empresa de un speaker: confirmar relación con el evento y con Peterson antes de prospectar.</x:v>
      </x:c>
      <x:c r="O10" s="3" t="str">
        <x:v>Revisar CRM (cliente, propuesta, oportunidad activa y owner) antes del contacto. Enviar seguimiento personalizado y preguntar por proyecto/necesidad.</x:v>
      </x:c>
      <x:c r="P10" s="3" t="str"/>
    </x:row>
    <x:row r="11" ht="60" customHeight="1">
      <x:c r="A11" s="3" t="str">
        <x:v>jamesa@suncountryhighway.ca</x:v>
      </x:c>
      <x:c r="B11" s="3" t="str">
        <x:v>James</x:v>
      </x:c>
      <x:c r="C11" s="3" t="str">
        <x:v>Augustine</x:v>
      </x:c>
      <x:c r="D11" s="3" t="str">
        <x:v>Sun Country Highway</x:v>
      </x:c>
      <x:c r="E11" s="3" t="str">
        <x:v>Canada</x:v>
      </x:c>
      <x:c r="F11" s="3" t="str">
        <x:v>Fueling Conversations</x:v>
      </x:c>
      <x:c r="G11" s="6" t="d">
        <x:v>2026-10-16T12:00:00.000Z</x:v>
      </x:c>
      <x:c r="H11" s="3" t="str">
        <x:v>Attended</x:v>
      </x:c>
      <x:c r="I11" s="3" t="str">
        <x:v>Warm</x:v>
      </x:c>
      <x:c r="J11" s="3" t="str">
        <x:v>2 - Warm alto</x:v>
      </x:c>
      <x:c r="K11" s="7" t="n">
        <x:v>55.86666666666667</x:v>
      </x:c>
      <x:c r="L11" s="3" t="str">
        <x:v>Sin intención comercial documentada</x:v>
      </x:c>
      <x:c r="M11" s="3" t="str">
        <x:v>Asistencia de al menos 20 minutos; sin solicitud comercial documentada.</x:v>
      </x:c>
      <x:c r="N11" s="3" t="str"/>
      <x:c r="O11" s="3" t="str">
        <x:v>Revisar CRM (cliente, propuesta, oportunidad activa y owner) antes del contacto. Enviar seguimiento personalizado y preguntar por proyecto/necesidad.</x:v>
      </x:c>
      <x:c r="P11" s="3" t="str"/>
    </x:row>
    <x:row r="12" ht="60" customHeight="1">
      <x:c r="A12" s="3" t="str">
        <x:v>bridgetted@permolex.com</x:v>
      </x:c>
      <x:c r="B12" s="3" t="str">
        <x:v>Bridgette</x:v>
      </x:c>
      <x:c r="C12" s="3" t="str">
        <x:v>Duniece</x:v>
      </x:c>
      <x:c r="D12" s="3" t="str">
        <x:v>Permolex</x:v>
      </x:c>
      <x:c r="E12" s="3" t="str">
        <x:v>Canada</x:v>
      </x:c>
      <x:c r="F12" s="3" t="str">
        <x:v>Fueling Conversations</x:v>
      </x:c>
      <x:c r="G12" s="6" t="d">
        <x:v>2026-10-16T12:00:00.000Z</x:v>
      </x:c>
      <x:c r="H12" s="3" t="str">
        <x:v>Attended</x:v>
      </x:c>
      <x:c r="I12" s="3" t="str">
        <x:v>Warm</x:v>
      </x:c>
      <x:c r="J12" s="3" t="str">
        <x:v>2 - Warm alto</x:v>
      </x:c>
      <x:c r="K12" s="7" t="n">
        <x:v>53.7</x:v>
      </x:c>
      <x:c r="L12" s="3" t="str">
        <x:v>Sin intención comercial documentada</x:v>
      </x:c>
      <x:c r="M12" s="3" t="str">
        <x:v>Asistencia de al menos 20 minutos; sin solicitud comercial documentada.</x:v>
      </x:c>
      <x:c r="N12" s="3" t="str"/>
      <x:c r="O12" s="3" t="str">
        <x:v>Revisar CRM (cliente, propuesta, oportunidad activa y owner) antes del contacto. Enviar seguimiento personalizado y preguntar por proyecto/necesidad.</x:v>
      </x:c>
      <x:c r="P12" s="3" t="str"/>
    </x:row>
    <x:row r="13" ht="60" customHeight="1">
      <x:c r="A13" s="3" t="str">
        <x:v>melissa@roslin.ca</x:v>
      </x:c>
      <x:c r="B13" s="3" t="str">
        <x:v>Melissa</x:v>
      </x:c>
      <x:c r="C13" s="3" t="str">
        <x:v>McDonald</x:v>
      </x:c>
      <x:c r="D13" s="3" t="str">
        <x:v>ROSLIN GROUP OF COMPANIES</x:v>
      </x:c>
      <x:c r="E13" s="3" t="str">
        <x:v>Canada</x:v>
      </x:c>
      <x:c r="F13" s="3" t="str">
        <x:v>Fueling Conversations</x:v>
      </x:c>
      <x:c r="G13" s="6" t="d">
        <x:v>2026-10-16T12:00:00.000Z</x:v>
      </x:c>
      <x:c r="H13" s="3" t="str">
        <x:v>Attended</x:v>
      </x:c>
      <x:c r="I13" s="3" t="str">
        <x:v>Warm</x:v>
      </x:c>
      <x:c r="J13" s="3" t="str">
        <x:v>2 - Warm alto</x:v>
      </x:c>
      <x:c r="K13" s="7" t="n">
        <x:v>48.55</x:v>
      </x:c>
      <x:c r="L13" s="3" t="str">
        <x:v>Sin intención comercial documentada</x:v>
      </x:c>
      <x:c r="M13" s="3" t="str">
        <x:v>Asistencia de al menos 20 minutos; sin solicitud comercial documentada.</x:v>
      </x:c>
      <x:c r="N13" s="3" t="str"/>
      <x:c r="O13" s="3" t="str">
        <x:v>Revisar CRM (cliente, propuesta, oportunidad activa y owner) antes del contacto. Enviar seguimiento personalizado y preguntar por proyecto/necesidad.</x:v>
      </x:c>
      <x:c r="P13" s="3" t="str"/>
    </x:row>
    <x:row r="14" ht="60" customHeight="1">
      <x:c r="A14" s="3" t="str">
        <x:v>dongyerth@azuresf.com</x:v>
      </x:c>
      <x:c r="B14" s="3" t="str">
        <x:v>Darren</x:v>
      </x:c>
      <x:c r="C14" s="3" t="str">
        <x:v>Ongyerth</x:v>
      </x:c>
      <x:c r="D14" s="3" t="str">
        <x:v>Azure Sustainable Fuels Corp.</x:v>
      </x:c>
      <x:c r="E14" s="3" t="str">
        <x:v>Canada</x:v>
      </x:c>
      <x:c r="F14" s="3" t="str">
        <x:v>Fueling Conversations</x:v>
      </x:c>
      <x:c r="G14" s="6" t="d">
        <x:v>2026-10-16T12:00:00.000Z</x:v>
      </x:c>
      <x:c r="H14" s="3" t="str">
        <x:v>Attended</x:v>
      </x:c>
      <x:c r="I14" s="3" t="str">
        <x:v>Warm</x:v>
      </x:c>
      <x:c r="J14" s="3" t="str">
        <x:v>2 - Warm alto</x:v>
      </x:c>
      <x:c r="K14" s="7" t="n">
        <x:v>45.05</x:v>
      </x:c>
      <x:c r="L14" s="3" t="str">
        <x:v>Sin intención comercial documentada</x:v>
      </x:c>
      <x:c r="M14" s="3" t="str">
        <x:v>Asistencia de al menos 20 minutos; sin solicitud comercial documentada.</x:v>
      </x:c>
      <x:c r="N14" s="3" t="str"/>
      <x:c r="O14" s="3" t="str">
        <x:v>Revisar CRM (cliente, propuesta, oportunidad activa y owner) antes del contacto. Enviar seguimiento personalizado y preguntar por proyecto/necesidad.</x:v>
      </x:c>
      <x:c r="P14" s="3" t="str"/>
    </x:row>
    <x:row r="15" ht="60" customHeight="1">
      <x:c r="A15" s="3" t="str">
        <x:v>jenniferaurandt@marquisinc.com</x:v>
      </x:c>
      <x:c r="B15" s="3" t="str">
        <x:v>Jennifer</x:v>
      </x:c>
      <x:c r="C15" s="3" t="str">
        <x:v>Aurandt-Pilgrim</x:v>
      </x:c>
      <x:c r="D15" s="3" t="str">
        <x:v>Marquis</x:v>
      </x:c>
      <x:c r="E15" s="3" t="str">
        <x:v>United States</x:v>
      </x:c>
      <x:c r="F15" s="3" t="str">
        <x:v>Fueling Conversations</x:v>
      </x:c>
      <x:c r="G15" s="6" t="d">
        <x:v>2026-10-16T12:00:00.000Z</x:v>
      </x:c>
      <x:c r="H15" s="3" t="str">
        <x:v>Attended</x:v>
      </x:c>
      <x:c r="I15" s="3" t="str">
        <x:v>Warm</x:v>
      </x:c>
      <x:c r="J15" s="3" t="str">
        <x:v>3 - Warm</x:v>
      </x:c>
      <x:c r="K15" s="7" t="n">
        <x:v>41.95</x:v>
      </x:c>
      <x:c r="L15" s="3" t="str">
        <x:v>Sin intención comercial documentada</x:v>
      </x:c>
      <x:c r="M15" s="3" t="str">
        <x:v>Asistencia de al menos 20 minutos; sin solicitud comercial documentada.</x:v>
      </x:c>
      <x:c r="N15" s="3" t="str"/>
      <x:c r="O15" s="3" t="str">
        <x:v>Revisar CRM (cliente, propuesta, oportunidad activa y owner) antes del contacto. Enviar seguimiento personalizado y preguntar por proyecto/necesidad.</x:v>
      </x:c>
      <x:c r="P15" s="3" t="str"/>
    </x:row>
    <x:row r="16" ht="60" customHeight="1">
      <x:c r="A16" s="3" t="str">
        <x:v>menninojason@bfusa.com</x:v>
      </x:c>
      <x:c r="B16" s="3" t="str">
        <x:v>Jason</x:v>
      </x:c>
      <x:c r="C16" s="3" t="str">
        <x:v>Mennino</x:v>
      </x:c>
      <x:c r="D16" s="3" t="str">
        <x:v>Bridgestone Americas</x:v>
      </x:c>
      <x:c r="E16" s="3" t="str">
        <x:v>United States</x:v>
      </x:c>
      <x:c r="F16" s="3" t="str">
        <x:v>Fueling Conversations</x:v>
      </x:c>
      <x:c r="G16" s="6" t="d">
        <x:v>2026-10-16T12:00:00.000Z</x:v>
      </x:c>
      <x:c r="H16" s="3" t="str">
        <x:v>Attended</x:v>
      </x:c>
      <x:c r="I16" s="3" t="str">
        <x:v>Warm</x:v>
      </x:c>
      <x:c r="J16" s="3" t="str">
        <x:v>3 - Warm</x:v>
      </x:c>
      <x:c r="K16" s="7" t="n">
        <x:v>27.116666666666667</x:v>
      </x:c>
      <x:c r="L16" s="3" t="str">
        <x:v>Sin intención comercial documentada</x:v>
      </x:c>
      <x:c r="M16" s="3" t="str">
        <x:v>Asistencia de al menos 20 minutos; sin solicitud comercial documentada.</x:v>
      </x:c>
      <x:c r="N16" s="3" t="str"/>
      <x:c r="O16" s="3" t="str">
        <x:v>Revisar CRM (cliente, propuesta, oportunidad activa y owner) antes del contacto. Enviar seguimiento personalizado y preguntar por proyecto/necesidad.</x:v>
      </x:c>
      <x:c r="P16" s="3" t="str"/>
    </x:row>
    <x:row r="17" ht="60" customHeight="1">
      <x:c r="A17" s="3" t="str">
        <x:v>greg.hall@petrogenium.com</x:v>
      </x:c>
      <x:c r="B17" s="3" t="str">
        <x:v>Greg</x:v>
      </x:c>
      <x:c r="C17" s="3" t="str">
        <x:v>Hall</x:v>
      </x:c>
      <x:c r="D17" s="3" t="str">
        <x:v>Petrogenium</x:v>
      </x:c>
      <x:c r="E17" s="3" t="str">
        <x:v>United States</x:v>
      </x:c>
      <x:c r="F17" s="3" t="str">
        <x:v>Fueling Conversations</x:v>
      </x:c>
      <x:c r="G17" s="6" t="d">
        <x:v>2026-10-16T12:00:00.000Z</x:v>
      </x:c>
      <x:c r="H17" s="3" t="str">
        <x:v>Attended</x:v>
      </x:c>
      <x:c r="I17" s="3" t="str">
        <x:v>Warm</x:v>
      </x:c>
      <x:c r="J17" s="3" t="str">
        <x:v>3 - Warm</x:v>
      </x:c>
      <x:c r="K17" s="7" t="n">
        <x:v>24.483333333333334</x:v>
      </x:c>
      <x:c r="L17" s="3" t="str">
        <x:v>Sin intención comercial documentada</x:v>
      </x:c>
      <x:c r="M17" s="3" t="str">
        <x:v>Asistencia de al menos 20 minutos; sin solicitud comercial documentada.</x:v>
      </x:c>
      <x:c r="N17" s="3" t="str"/>
      <x:c r="O17" s="3" t="str">
        <x:v>Revisar CRM (cliente, propuesta, oportunidad activa y owner) antes del contacto. Enviar seguimiento personalizado y preguntar por proyecto/necesidad.</x:v>
      </x:c>
      <x:c r="P17" s="3" t="str"/>
    </x:row>
    <x:row r="18" ht="60" customHeight="1">
      <x:c r="A18" s="3" t="str">
        <x:v>antonio@thermafuels.com</x:v>
      </x:c>
      <x:c r="B18" s="3" t="str">
        <x:v>Antonio</x:v>
      </x:c>
      <x:c r="C18" s="3" t="str">
        <x:v>Villaluenga</x:v>
      </x:c>
      <x:c r="D18" s="3" t="str"/>
      <x:c r="E18" s="3" t="str"/>
      <x:c r="F18" s="3" t="str">
        <x:v>Fueling Conversations</x:v>
      </x:c>
      <x:c r="G18" s="6" t="d">
        <x:v>2026-10-16T12:00:00.000Z</x:v>
      </x:c>
      <x:c r="H18" s="3" t="str">
        <x:v>Attended</x:v>
      </x:c>
      <x:c r="I18" s="3" t="str">
        <x:v>Warm</x:v>
      </x:c>
      <x:c r="J18" s="3" t="str">
        <x:v>3 - Warm</x:v>
      </x:c>
      <x:c r="K18" s="7" t="n">
        <x:v>24.25</x:v>
      </x:c>
      <x:c r="L18" s="3" t="str">
        <x:v>Sin intención comercial documentada</x:v>
      </x:c>
      <x:c r="M18" s="3" t="str">
        <x:v>Asistencia de al menos 20 minutos; sin solicitud comercial documentada.</x:v>
      </x:c>
      <x:c r="N18" s="3" t="str"/>
      <x:c r="O18" s="3" t="str">
        <x:v>Revisar CRM (cliente, propuesta, oportunidad activa y owner) antes del contacto. Enviar seguimiento personalizado y preguntar por proyecto/necesidad.</x:v>
      </x:c>
      <x:c r="P18" s="3" t="str"/>
    </x:row>
  </x:sheetData>
  <x:conditionalFormatting sqref="I2:I18">
    <x:cfRule type="containsText" dxfId="0" priority="1" operator="containsText" text="Hot potencial"/>
  </x:conditionalFormatting>
  <x:pageMargins left="0.7" right="0.7" top="0.75" bottom="0.75" header="0.3" footer="0.3"/>
  <x:tableParts count="1">
    <x:tablePart xmlns:r="http://schemas.openxmlformats.org/officeDocument/2006/relationships" r:id="Rb4142f0da61941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2" hidden="0" customWidth="1"/>
    <x:col min="3" max="3" width="23" hidden="0" customWidth="1"/>
    <x:col min="4" max="4" width="36" hidden="0" customWidth="1"/>
    <x:col min="5" max="5" width="22" hidden="0" customWidth="1"/>
    <x:col min="6" max="6" width="23" hidden="0" customWidth="1"/>
    <x:col min="7" max="7" width="60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65" hidden="0" customWidth="1"/>
    <x:col min="13" max="13" width="65" hidden="0" customWidth="1"/>
    <x:col min="14" max="14" width="65" hidden="0" customWidth="1"/>
    <x:col min="15" max="15" width="65" hidden="0" customWidth="1"/>
    <x:col min="16" max="16" width="65" hidden="0" customWidth="1"/>
  </x:cols>
  <x:sheetData>
    <x:row r="1" ht="40" customHeight="1">
      <x:c r="A1" s="5" t="str">
        <x:v>Email</x:v>
      </x:c>
      <x:c r="B1" s="5" t="str">
        <x:v>First Name</x:v>
      </x:c>
      <x:c r="C1" s="5" t="str">
        <x:v>Last Name</x:v>
      </x:c>
      <x:c r="D1" s="5" t="str">
        <x:v>Company Name</x:v>
      </x:c>
      <x:c r="E1" s="5" t="str">
        <x:v>Country/Region</x:v>
      </x:c>
      <x:c r="F1" s="5" t="str">
        <x:v>Webinar</x:v>
      </x:c>
      <x:c r="G1" s="5" t="str">
        <x:v>Webinar date</x:v>
      </x:c>
      <x:c r="H1" s="5" t="str">
        <x:v>Webinar attendance</x:v>
      </x:c>
      <x:c r="I1" s="5" t="str">
        <x:v>Webinar segment</x:v>
      </x:c>
      <x:c r="J1" s="5" t="str">
        <x:v>Follow-up priority</x:v>
      </x:c>
      <x:c r="K1" s="5" t="str">
        <x:v>Attendance minutes</x:v>
      </x:c>
      <x:c r="L1" s="5" t="str">
        <x:v>Commercial intent</x:v>
      </x:c>
      <x:c r="M1" s="5" t="str">
        <x:v>Scoring reason</x:v>
      </x:c>
      <x:c r="N1" s="5" t="str">
        <x:v>Review before outreach</x:v>
      </x:c>
      <x:c r="O1" s="5" t="str">
        <x:v>Next action</x:v>
      </x:c>
      <x:c r="P1" s="5" t="str">
        <x:v>Alternative emails</x:v>
      </x:c>
    </x:row>
    <x:row r="2" ht="60" customHeight="1">
      <x:c r="A2" s="3" t="str">
        <x:v>claude@lr3tech.com</x:v>
      </x:c>
      <x:c r="B2" s="3" t="str">
        <x:v>Claude</x:v>
      </x:c>
      <x:c r="C2" s="3" t="str">
        <x:v>Luster III</x:v>
      </x:c>
      <x:c r="D2" s="3" t="str">
        <x:v>LR3Technologies LLC</x:v>
      </x:c>
      <x:c r="E2" s="3" t="str">
        <x:v>United States</x:v>
      </x:c>
      <x:c r="F2" s="3" t="str">
        <x:v>Fueling Conversations</x:v>
      </x:c>
      <x:c r="G2" s="6" t="d">
        <x:v>2026-10-16T12:00:00.000Z</x:v>
      </x:c>
      <x:c r="H2" s="3" t="str">
        <x:v>Attended</x:v>
      </x:c>
      <x:c r="I2" s="3" t="str">
        <x:v>Hot potencial</x:v>
      </x:c>
      <x:c r="J2" s="3" t="str">
        <x:v>1 - Validar intención</x:v>
      </x:c>
      <x:c r="K2" s="7" t="n">
        <x:v>114.85</x:v>
      </x:c>
      <x:c r="L2" s="3" t="str">
        <x:v>Sin intención comercial documentada</x:v>
      </x:c>
      <x:c r="M2" s="3" t="str">
        <x:v>Habilitado por servidor a las 16:51:52; permanencia alta, incluye conexión anticipada.</x:v>
      </x:c>
      <x:c r="N2" s="3" t="str"/>
      <x:c r="O2" s="3" t="str">
        <x:v>Revisar CRM (cliente, propuesta, oportunidad activa y owner) antes del contacto. Revisar grabación y consultar proyecto/necesidad concreta.</x:v>
      </x:c>
      <x:c r="P2" s="3" t="str"/>
    </x:row>
    <x:row r="3" ht="60" customHeight="1">
      <x:c r="A3" s="3" t="str">
        <x:v>mail@bioeconomysolutions.com</x:v>
      </x:c>
      <x:c r="B3" s="3" t="str">
        <x:v>Victor</x:v>
      </x:c>
      <x:c r="C3" s="3" t="str">
        <x:v>Garlington</x:v>
      </x:c>
      <x:c r="D3" s="3" t="str">
        <x:v>BioEonomy Solutions</x:v>
      </x:c>
      <x:c r="E3" s="3" t="str">
        <x:v>United States</x:v>
      </x:c>
      <x:c r="F3" s="3" t="str">
        <x:v>Fueling Conversations</x:v>
      </x:c>
      <x:c r="G3" s="6" t="d">
        <x:v>2026-10-16T12:00:00.000Z</x:v>
      </x:c>
      <x:c r="H3" s="3" t="str">
        <x:v>Attended</x:v>
      </x:c>
      <x:c r="I3" s="3" t="str">
        <x:v>Hot potencial</x:v>
      </x:c>
      <x:c r="J3" s="3" t="str">
        <x:v>1 - Validar intención</x:v>
      </x:c>
      <x:c r="K3" s="7" t="n">
        <x:v>45.05</x:v>
      </x:c>
      <x:c r="L3" s="3" t="str">
        <x:v>Sin intención comercial documentada</x:v>
      </x:c>
      <x:c r="M3" s="3" t="str">
        <x:v>Mano levantada y habilitación de audio durante la sesión.</x:v>
      </x:c>
      <x:c r="N3" s="3" t="str"/>
      <x:c r="O3" s="3" t="str">
        <x:v>Revisar CRM (cliente, propuesta, oportunidad activa y owner) antes del contacto. Revisar grabación y consultar proyecto/necesidad concreta.</x:v>
      </x:c>
      <x:c r="P3" s="3" t="str"/>
    </x:row>
    <x:row r="4" ht="60" customHeight="1">
      <x:c r="A4" s="3" t="str">
        <x:v>hsherrington@amerracapital.com</x:v>
      </x:c>
      <x:c r="B4" s="3" t="str">
        <x:v>Henry</x:v>
      </x:c>
      <x:c r="C4" s="3" t="str">
        <x:v>Sherrington</x:v>
      </x:c>
      <x:c r="D4" s="3" t="str">
        <x:v>AMERRA Capital Management</x:v>
      </x:c>
      <x:c r="E4" s="3" t="str">
        <x:v>United States</x:v>
      </x:c>
      <x:c r="F4" s="3" t="str">
        <x:v>Fueling Conversations</x:v>
      </x:c>
      <x:c r="G4" s="6" t="d">
        <x:v>2026-10-16T12:00:00.000Z</x:v>
      </x:c>
      <x:c r="H4" s="3" t="str">
        <x:v>Attended</x:v>
      </x:c>
      <x:c r="I4" s="3" t="str">
        <x:v>Warm</x:v>
      </x:c>
      <x:c r="J4" s="3" t="str">
        <x:v>2 - Warm alto</x:v>
      </x:c>
      <x:c r="K4" s="7" t="n">
        <x:v>87.8</x:v>
      </x:c>
      <x:c r="L4" s="3" t="str">
        <x:v>Sin intención comercial documentada</x:v>
      </x:c>
      <x:c r="M4" s="3" t="str">
        <x:v>Asistencia de al menos 20 minutos; sin solicitud comercial documentada.</x:v>
      </x:c>
      <x:c r="N4" s="3" t="str"/>
      <x:c r="O4" s="3" t="str">
        <x:v>Revisar CRM (cliente, propuesta, oportunidad activa y owner) antes del contacto. Enviar seguimiento personalizado y preguntar por proyecto/necesidad.</x:v>
      </x:c>
      <x:c r="P4" s="3" t="str"/>
    </x:row>
    <x:row r="5" ht="60" customHeight="1">
      <x:c r="A5" s="3" t="str">
        <x:v>geoffreymather@nextenergyfuels.com</x:v>
      </x:c>
      <x:c r="B5" s="3" t="str">
        <x:v>Geoffrey</x:v>
      </x:c>
      <x:c r="C5" s="3" t="str">
        <x:v>mather</x:v>
      </x:c>
      <x:c r="D5" s="3" t="str">
        <x:v>next energy fuels</x:v>
      </x:c>
      <x:c r="E5" s="3" t="str">
        <x:v>United States</x:v>
      </x:c>
      <x:c r="F5" s="3" t="str">
        <x:v>Fueling Conversations</x:v>
      </x:c>
      <x:c r="G5" s="6" t="d">
        <x:v>2026-10-16T12:00:00.000Z</x:v>
      </x:c>
      <x:c r="H5" s="3" t="str">
        <x:v>Attended</x:v>
      </x:c>
      <x:c r="I5" s="3" t="str">
        <x:v>Warm</x:v>
      </x:c>
      <x:c r="J5" s="3" t="str">
        <x:v>2 - Warm alto</x:v>
      </x:c>
      <x:c r="K5" s="7" t="n">
        <x:v>63.65</x:v>
      </x:c>
      <x:c r="L5" s="3" t="str">
        <x:v>Sin intención comercial documentada</x:v>
      </x:c>
      <x:c r="M5" s="3" t="str">
        <x:v>Asistencia de al menos 20 minutos; sin solicitud comercial documentada.</x:v>
      </x:c>
      <x:c r="N5" s="3" t="str"/>
      <x:c r="O5" s="3" t="str">
        <x:v>Revisar CRM (cliente, propuesta, oportunidad activa y owner) antes del contacto. Enviar seguimiento personalizado y preguntar por proyecto/necesidad.</x:v>
      </x:c>
      <x:c r="P5" s="3" t="str"/>
    </x:row>
    <x:row r="6" ht="60" customHeight="1">
      <x:c r="A6" s="3" t="str">
        <x:v>rod.kux@takachar.com</x:v>
      </x:c>
      <x:c r="B6" s="3" t="str">
        <x:v>Nimrod</x:v>
      </x:c>
      <x:c r="C6" s="3" t="str">
        <x:v>Kux</x:v>
      </x:c>
      <x:c r="D6" s="3" t="str"/>
      <x:c r="E6" s="3" t="str"/>
      <x:c r="F6" s="3" t="str">
        <x:v>Fueling Conversations</x:v>
      </x:c>
      <x:c r="G6" s="6" t="d">
        <x:v>2026-10-16T12:00:00.000Z</x:v>
      </x:c>
      <x:c r="H6" s="3" t="str">
        <x:v>Attended</x:v>
      </x:c>
      <x:c r="I6" s="3" t="str">
        <x:v>Warm</x:v>
      </x:c>
      <x:c r="J6" s="3" t="str">
        <x:v>2 - Warm alto</x:v>
      </x:c>
      <x:c r="K6" s="7" t="n">
        <x:v>61.21666666666667</x:v>
      </x:c>
      <x:c r="L6" s="3" t="str">
        <x:v>Sin intención comercial documentada</x:v>
      </x:c>
      <x:c r="M6" s="3" t="str">
        <x:v>Asistencia de al menos 20 minutos; sin solicitud comercial documentada.</x:v>
      </x:c>
      <x:c r="N6" s="3" t="str"/>
      <x:c r="O6" s="3" t="str">
        <x:v>Revisar CRM (cliente, propuesta, oportunidad activa y owner) antes del contacto. Enviar seguimiento personalizado y preguntar por proyecto/necesidad.</x:v>
      </x:c>
      <x:c r="P6" s="3" t="str"/>
    </x:row>
    <x:row r="7" ht="60" customHeight="1">
      <x:c r="A7" s="3" t="str">
        <x:v>rberkien@transworldtechinc.com</x:v>
      </x:c>
      <x:c r="B7" s="3" t="str">
        <x:v>Raphael</x:v>
      </x:c>
      <x:c r="C7" s="3" t="str">
        <x:v>Berkien</x:v>
      </x:c>
      <x:c r="D7" s="3" t="str">
        <x:v>Transworld Technologies Inc.</x:v>
      </x:c>
      <x:c r="E7" s="3" t="str">
        <x:v>United States</x:v>
      </x:c>
      <x:c r="F7" s="3" t="str">
        <x:v>Fueling Conversations</x:v>
      </x:c>
      <x:c r="G7" s="6" t="d">
        <x:v>2026-10-16T12:00:00.000Z</x:v>
      </x:c>
      <x:c r="H7" s="3" t="str">
        <x:v>Attended</x:v>
      </x:c>
      <x:c r="I7" s="3" t="str">
        <x:v>Warm</x:v>
      </x:c>
      <x:c r="J7" s="3" t="str">
        <x:v>2 - Warm alto</x:v>
      </x:c>
      <x:c r="K7" s="7" t="n">
        <x:v>60.61666666666667</x:v>
      </x:c>
      <x:c r="L7" s="3" t="str">
        <x:v>Sin intención comercial documentada</x:v>
      </x:c>
      <x:c r="M7" s="3" t="str">
        <x:v>Asistencia de al menos 20 minutos; sin solicitud comercial documentada.</x:v>
      </x:c>
      <x:c r="N7" s="3" t="str"/>
      <x:c r="O7" s="3" t="str">
        <x:v>Revisar CRM (cliente, propuesta, oportunidad activa y owner) antes del contacto. Enviar seguimiento personalizado y preguntar por proyecto/necesidad.</x:v>
      </x:c>
      <x:c r="P7" s="3" t="str"/>
    </x:row>
    <x:row r="8" ht="60" customHeight="1">
      <x:c r="A8" s="3" t="str">
        <x:v>geoff.fichtl@lanzajet.com</x:v>
      </x:c>
      <x:c r="B8" s="3" t="str">
        <x:v>Geoffrey</x:v>
      </x:c>
      <x:c r="C8" s="3" t="str">
        <x:v>Fichtl</x:v>
      </x:c>
      <x:c r="D8" s="3" t="str">
        <x:v>LanzaJet</x:v>
      </x:c>
      <x:c r="E8" s="3" t="str">
        <x:v>United States</x:v>
      </x:c>
      <x:c r="F8" s="3" t="str">
        <x:v>Fueling Conversations</x:v>
      </x:c>
      <x:c r="G8" s="6" t="d">
        <x:v>2026-10-16T12:00:00.000Z</x:v>
      </x:c>
      <x:c r="H8" s="3" t="str">
        <x:v>Attended</x:v>
      </x:c>
      <x:c r="I8" s="3" t="str">
        <x:v>Warm</x:v>
      </x:c>
      <x:c r="J8" s="3" t="str">
        <x:v>2 - Warm alto</x:v>
      </x:c>
      <x:c r="K8" s="7" t="n">
        <x:v>59</x:v>
      </x:c>
      <x:c r="L8" s="3" t="str">
        <x:v>Sin intención comercial documentada</x:v>
      </x:c>
      <x:c r="M8" s="3" t="str">
        <x:v>Asistencia de al menos 20 minutos; sin solicitud comercial documentada.</x:v>
      </x:c>
      <x:c r="N8" s="3" t="str"/>
      <x:c r="O8" s="3" t="str">
        <x:v>Revisar CRM (cliente, propuesta, oportunidad activa y owner) antes del contacto. Enviar seguimiento personalizado y preguntar por proyecto/necesidad.</x:v>
      </x:c>
      <x:c r="P8" s="3" t="str"/>
    </x:row>
    <x:row r="9" ht="60" customHeight="1">
      <x:c r="A9" s="3" t="str">
        <x:v>ken@beachwayeco.com</x:v>
      </x:c>
      <x:c r="B9" s="3" t="str">
        <x:v>Ken</x:v>
      </x:c>
      <x:c r="C9" s="3" t="str">
        <x:v>Beach</x:v>
      </x:c>
      <x:c r="D9" s="3" t="str">
        <x:v>Beachway EcoSearch LLC</x:v>
      </x:c>
      <x:c r="E9" s="3" t="str">
        <x:v>United States</x:v>
      </x:c>
      <x:c r="F9" s="3" t="str">
        <x:v>Fueling Conversations</x:v>
      </x:c>
      <x:c r="G9" s="6" t="d">
        <x:v>2026-10-16T12:00:00.000Z</x:v>
      </x:c>
      <x:c r="H9" s="3" t="str">
        <x:v>Attended</x:v>
      </x:c>
      <x:c r="I9" s="3" t="str">
        <x:v>Warm</x:v>
      </x:c>
      <x:c r="J9" s="3" t="str">
        <x:v>2 - Warm alto</x:v>
      </x:c>
      <x:c r="K9" s="7" t="n">
        <x:v>58.46666666666667</x:v>
      </x:c>
      <x:c r="L9" s="3" t="str">
        <x:v>Sin intención comercial documentada</x:v>
      </x:c>
      <x:c r="M9" s="3" t="str">
        <x:v>Asistencia de al menos 20 minutos; sin solicitud comercial documentada.</x:v>
      </x:c>
      <x:c r="N9" s="3" t="str">
        <x:v>Confirmar afiliación: registro Beachway EcoSearch; acceso adicional con lcy-biosciences.com.</x:v>
      </x:c>
      <x:c r="O9" s="3" t="str">
        <x:v>Revisar CRM (cliente, propuesta, oportunidad activa y owner) antes del contacto. Enviar seguimiento personalizado y preguntar por proyecto/necesidad.</x:v>
      </x:c>
      <x:c r="P9" s="3" t="str">
        <x:v>ken.beach@lcy-biosciences.com</x:v>
      </x:c>
    </x:row>
    <x:row r="10" ht="60" customHeight="1">
      <x:c r="A10" s="3" t="str">
        <x:v>gdouma@calbioenergy.com</x:v>
      </x:c>
      <x:c r="B10" s="3" t="str">
        <x:v>Greg</x:v>
      </x:c>
      <x:c r="C10" s="3" t="str">
        <x:v>Douma</x:v>
      </x:c>
      <x:c r="D10" s="3" t="str">
        <x:v>California Bioenergy</x:v>
      </x:c>
      <x:c r="E10" s="3" t="str">
        <x:v>United States</x:v>
      </x:c>
      <x:c r="F10" s="3" t="str">
        <x:v>Fueling Conversations</x:v>
      </x:c>
      <x:c r="G10" s="6" t="d">
        <x:v>2026-10-16T12:00:00.000Z</x:v>
      </x:c>
      <x:c r="H10" s="3" t="str">
        <x:v>Attended</x:v>
      </x:c>
      <x:c r="I10" s="3" t="str">
        <x:v>Warm</x:v>
      </x:c>
      <x:c r="J10" s="3" t="str">
        <x:v>2 - Warm alto</x:v>
      </x:c>
      <x:c r="K10" s="7" t="n">
        <x:v>57.3</x:v>
      </x:c>
      <x:c r="L10" s="3" t="str">
        <x:v>Sin intención comercial documentada</x:v>
      </x:c>
      <x:c r="M10" s="3" t="str">
        <x:v>Asistencia de al menos 20 minutos; sin solicitud comercial documentada.</x:v>
      </x:c>
      <x:c r="N10" s="3" t="str">
        <x:v>Empresa de un speaker: confirmar relación con el evento y con Peterson antes de prospectar.</x:v>
      </x:c>
      <x:c r="O10" s="3" t="str">
        <x:v>Revisar CRM (cliente, propuesta, oportunidad activa y owner) antes del contacto. Enviar seguimiento personalizado y preguntar por proyecto/necesidad.</x:v>
      </x:c>
      <x:c r="P10" s="3" t="str"/>
    </x:row>
    <x:row r="11" ht="60" customHeight="1">
      <x:c r="A11" s="3" t="str">
        <x:v>jamesa@suncountryhighway.ca</x:v>
      </x:c>
      <x:c r="B11" s="3" t="str">
        <x:v>James</x:v>
      </x:c>
      <x:c r="C11" s="3" t="str">
        <x:v>Augustine</x:v>
      </x:c>
      <x:c r="D11" s="3" t="str">
        <x:v>Sun Country Highway</x:v>
      </x:c>
      <x:c r="E11" s="3" t="str">
        <x:v>Canada</x:v>
      </x:c>
      <x:c r="F11" s="3" t="str">
        <x:v>Fueling Conversations</x:v>
      </x:c>
      <x:c r="G11" s="6" t="d">
        <x:v>2026-10-16T12:00:00.000Z</x:v>
      </x:c>
      <x:c r="H11" s="3" t="str">
        <x:v>Attended</x:v>
      </x:c>
      <x:c r="I11" s="3" t="str">
        <x:v>Warm</x:v>
      </x:c>
      <x:c r="J11" s="3" t="str">
        <x:v>2 - Warm alto</x:v>
      </x:c>
      <x:c r="K11" s="7" t="n">
        <x:v>55.86666666666667</x:v>
      </x:c>
      <x:c r="L11" s="3" t="str">
        <x:v>Sin intención comercial documentada</x:v>
      </x:c>
      <x:c r="M11" s="3" t="str">
        <x:v>Asistencia de al menos 20 minutos; sin solicitud comercial documentada.</x:v>
      </x:c>
      <x:c r="N11" s="3" t="str"/>
      <x:c r="O11" s="3" t="str">
        <x:v>Revisar CRM (cliente, propuesta, oportunidad activa y owner) antes del contacto. Enviar seguimiento personalizado y preguntar por proyecto/necesidad.</x:v>
      </x:c>
      <x:c r="P11" s="3" t="str"/>
    </x:row>
    <x:row r="12" ht="60" customHeight="1">
      <x:c r="A12" s="3" t="str">
        <x:v>bridgetted@permolex.com</x:v>
      </x:c>
      <x:c r="B12" s="3" t="str">
        <x:v>Bridgette</x:v>
      </x:c>
      <x:c r="C12" s="3" t="str">
        <x:v>Duniece</x:v>
      </x:c>
      <x:c r="D12" s="3" t="str">
        <x:v>Permolex</x:v>
      </x:c>
      <x:c r="E12" s="3" t="str">
        <x:v>Canada</x:v>
      </x:c>
      <x:c r="F12" s="3" t="str">
        <x:v>Fueling Conversations</x:v>
      </x:c>
      <x:c r="G12" s="6" t="d">
        <x:v>2026-10-16T12:00:00.000Z</x:v>
      </x:c>
      <x:c r="H12" s="3" t="str">
        <x:v>Attended</x:v>
      </x:c>
      <x:c r="I12" s="3" t="str">
        <x:v>Warm</x:v>
      </x:c>
      <x:c r="J12" s="3" t="str">
        <x:v>2 - Warm alto</x:v>
      </x:c>
      <x:c r="K12" s="7" t="n">
        <x:v>53.7</x:v>
      </x:c>
      <x:c r="L12" s="3" t="str">
        <x:v>Sin intención comercial documentada</x:v>
      </x:c>
      <x:c r="M12" s="3" t="str">
        <x:v>Asistencia de al menos 20 minutos; sin solicitud comercial documentada.</x:v>
      </x:c>
      <x:c r="N12" s="3" t="str"/>
      <x:c r="O12" s="3" t="str">
        <x:v>Revisar CRM (cliente, propuesta, oportunidad activa y owner) antes del contacto. Enviar seguimiento personalizado y preguntar por proyecto/necesidad.</x:v>
      </x:c>
      <x:c r="P12" s="3" t="str"/>
    </x:row>
    <x:row r="13" ht="60" customHeight="1">
      <x:c r="A13" s="3" t="str">
        <x:v>melissa@roslin.ca</x:v>
      </x:c>
      <x:c r="B13" s="3" t="str">
        <x:v>Melissa</x:v>
      </x:c>
      <x:c r="C13" s="3" t="str">
        <x:v>McDonald</x:v>
      </x:c>
      <x:c r="D13" s="3" t="str">
        <x:v>ROSLIN GROUP OF COMPANIES</x:v>
      </x:c>
      <x:c r="E13" s="3" t="str">
        <x:v>Canada</x:v>
      </x:c>
      <x:c r="F13" s="3" t="str">
        <x:v>Fueling Conversations</x:v>
      </x:c>
      <x:c r="G13" s="6" t="d">
        <x:v>2026-10-16T12:00:00.000Z</x:v>
      </x:c>
      <x:c r="H13" s="3" t="str">
        <x:v>Attended</x:v>
      </x:c>
      <x:c r="I13" s="3" t="str">
        <x:v>Warm</x:v>
      </x:c>
      <x:c r="J13" s="3" t="str">
        <x:v>2 - Warm alto</x:v>
      </x:c>
      <x:c r="K13" s="7" t="n">
        <x:v>48.55</x:v>
      </x:c>
      <x:c r="L13" s="3" t="str">
        <x:v>Sin intención comercial documentada</x:v>
      </x:c>
      <x:c r="M13" s="3" t="str">
        <x:v>Asistencia de al menos 20 minutos; sin solicitud comercial documentada.</x:v>
      </x:c>
      <x:c r="N13" s="3" t="str"/>
      <x:c r="O13" s="3" t="str">
        <x:v>Revisar CRM (cliente, propuesta, oportunidad activa y owner) antes del contacto. Enviar seguimiento personalizado y preguntar por proyecto/necesidad.</x:v>
      </x:c>
      <x:c r="P13" s="3" t="str"/>
    </x:row>
    <x:row r="14" ht="60" customHeight="1">
      <x:c r="A14" s="3" t="str">
        <x:v>dongyerth@azuresf.com</x:v>
      </x:c>
      <x:c r="B14" s="3" t="str">
        <x:v>Darren</x:v>
      </x:c>
      <x:c r="C14" s="3" t="str">
        <x:v>Ongyerth</x:v>
      </x:c>
      <x:c r="D14" s="3" t="str">
        <x:v>Azure Sustainable Fuels Corp.</x:v>
      </x:c>
      <x:c r="E14" s="3" t="str">
        <x:v>Canada</x:v>
      </x:c>
      <x:c r="F14" s="3" t="str">
        <x:v>Fueling Conversations</x:v>
      </x:c>
      <x:c r="G14" s="6" t="d">
        <x:v>2026-10-16T12:00:00.000Z</x:v>
      </x:c>
      <x:c r="H14" s="3" t="str">
        <x:v>Attended</x:v>
      </x:c>
      <x:c r="I14" s="3" t="str">
        <x:v>Warm</x:v>
      </x:c>
      <x:c r="J14" s="3" t="str">
        <x:v>2 - Warm alto</x:v>
      </x:c>
      <x:c r="K14" s="7" t="n">
        <x:v>45.05</x:v>
      </x:c>
      <x:c r="L14" s="3" t="str">
        <x:v>Sin intención comercial documentada</x:v>
      </x:c>
      <x:c r="M14" s="3" t="str">
        <x:v>Asistencia de al menos 20 minutos; sin solicitud comercial documentada.</x:v>
      </x:c>
      <x:c r="N14" s="3" t="str"/>
      <x:c r="O14" s="3" t="str">
        <x:v>Revisar CRM (cliente, propuesta, oportunidad activa y owner) antes del contacto. Enviar seguimiento personalizado y preguntar por proyecto/necesidad.</x:v>
      </x:c>
      <x:c r="P14" s="3" t="str"/>
    </x:row>
    <x:row r="15" ht="60" customHeight="1">
      <x:c r="A15" s="3" t="str">
        <x:v>jenniferaurandt@marquisinc.com</x:v>
      </x:c>
      <x:c r="B15" s="3" t="str">
        <x:v>Jennifer</x:v>
      </x:c>
      <x:c r="C15" s="3" t="str">
        <x:v>Aurandt-Pilgrim</x:v>
      </x:c>
      <x:c r="D15" s="3" t="str">
        <x:v>Marquis</x:v>
      </x:c>
      <x:c r="E15" s="3" t="str">
        <x:v>United States</x:v>
      </x:c>
      <x:c r="F15" s="3" t="str">
        <x:v>Fueling Conversations</x:v>
      </x:c>
      <x:c r="G15" s="6" t="d">
        <x:v>2026-10-16T12:00:00.000Z</x:v>
      </x:c>
      <x:c r="H15" s="3" t="str">
        <x:v>Attended</x:v>
      </x:c>
      <x:c r="I15" s="3" t="str">
        <x:v>Warm</x:v>
      </x:c>
      <x:c r="J15" s="3" t="str">
        <x:v>3 - Warm</x:v>
      </x:c>
      <x:c r="K15" s="7" t="n">
        <x:v>41.95</x:v>
      </x:c>
      <x:c r="L15" s="3" t="str">
        <x:v>Sin intención comercial documentada</x:v>
      </x:c>
      <x:c r="M15" s="3" t="str">
        <x:v>Asistencia de al menos 20 minutos; sin solicitud comercial documentada.</x:v>
      </x:c>
      <x:c r="N15" s="3" t="str"/>
      <x:c r="O15" s="3" t="str">
        <x:v>Revisar CRM (cliente, propuesta, oportunidad activa y owner) antes del contacto. Enviar seguimiento personalizado y preguntar por proyecto/necesidad.</x:v>
      </x:c>
      <x:c r="P15" s="3" t="str"/>
    </x:row>
    <x:row r="16" ht="60" customHeight="1">
      <x:c r="A16" s="3" t="str">
        <x:v>menninojason@bfusa.com</x:v>
      </x:c>
      <x:c r="B16" s="3" t="str">
        <x:v>Jason</x:v>
      </x:c>
      <x:c r="C16" s="3" t="str">
        <x:v>Mennino</x:v>
      </x:c>
      <x:c r="D16" s="3" t="str">
        <x:v>Bridgestone Americas</x:v>
      </x:c>
      <x:c r="E16" s="3" t="str">
        <x:v>United States</x:v>
      </x:c>
      <x:c r="F16" s="3" t="str">
        <x:v>Fueling Conversations</x:v>
      </x:c>
      <x:c r="G16" s="6" t="d">
        <x:v>2026-10-16T12:00:00.000Z</x:v>
      </x:c>
      <x:c r="H16" s="3" t="str">
        <x:v>Attended</x:v>
      </x:c>
      <x:c r="I16" s="3" t="str">
        <x:v>Warm</x:v>
      </x:c>
      <x:c r="J16" s="3" t="str">
        <x:v>3 - Warm</x:v>
      </x:c>
      <x:c r="K16" s="7" t="n">
        <x:v>27.116666666666667</x:v>
      </x:c>
      <x:c r="L16" s="3" t="str">
        <x:v>Sin intención comercial documentada</x:v>
      </x:c>
      <x:c r="M16" s="3" t="str">
        <x:v>Asistencia de al menos 20 minutos; sin solicitud comercial documentada.</x:v>
      </x:c>
      <x:c r="N16" s="3" t="str"/>
      <x:c r="O16" s="3" t="str">
        <x:v>Revisar CRM (cliente, propuesta, oportunidad activa y owner) antes del contacto. Enviar seguimiento personalizado y preguntar por proyecto/necesidad.</x:v>
      </x:c>
      <x:c r="P16" s="3" t="str"/>
    </x:row>
    <x:row r="17" ht="60" customHeight="1">
      <x:c r="A17" s="3" t="str">
        <x:v>greg.hall@petrogenium.com</x:v>
      </x:c>
      <x:c r="B17" s="3" t="str">
        <x:v>Greg</x:v>
      </x:c>
      <x:c r="C17" s="3" t="str">
        <x:v>Hall</x:v>
      </x:c>
      <x:c r="D17" s="3" t="str">
        <x:v>Petrogenium</x:v>
      </x:c>
      <x:c r="E17" s="3" t="str">
        <x:v>United States</x:v>
      </x:c>
      <x:c r="F17" s="3" t="str">
        <x:v>Fueling Conversations</x:v>
      </x:c>
      <x:c r="G17" s="6" t="d">
        <x:v>2026-10-16T12:00:00.000Z</x:v>
      </x:c>
      <x:c r="H17" s="3" t="str">
        <x:v>Attended</x:v>
      </x:c>
      <x:c r="I17" s="3" t="str">
        <x:v>Warm</x:v>
      </x:c>
      <x:c r="J17" s="3" t="str">
        <x:v>3 - Warm</x:v>
      </x:c>
      <x:c r="K17" s="7" t="n">
        <x:v>24.483333333333334</x:v>
      </x:c>
      <x:c r="L17" s="3" t="str">
        <x:v>Sin intención comercial documentada</x:v>
      </x:c>
      <x:c r="M17" s="3" t="str">
        <x:v>Asistencia de al menos 20 minutos; sin solicitud comercial documentada.</x:v>
      </x:c>
      <x:c r="N17" s="3" t="str"/>
      <x:c r="O17" s="3" t="str">
        <x:v>Revisar CRM (cliente, propuesta, oportunidad activa y owner) antes del contacto. Enviar seguimiento personalizado y preguntar por proyecto/necesidad.</x:v>
      </x:c>
      <x:c r="P17" s="3" t="str"/>
    </x:row>
    <x:row r="18" ht="60" customHeight="1">
      <x:c r="A18" s="3" t="str">
        <x:v>antonio@thermafuels.com</x:v>
      </x:c>
      <x:c r="B18" s="3" t="str">
        <x:v>Antonio</x:v>
      </x:c>
      <x:c r="C18" s="3" t="str">
        <x:v>Villaluenga</x:v>
      </x:c>
      <x:c r="D18" s="3" t="str"/>
      <x:c r="E18" s="3" t="str"/>
      <x:c r="F18" s="3" t="str">
        <x:v>Fueling Conversations</x:v>
      </x:c>
      <x:c r="G18" s="6" t="d">
        <x:v>2026-10-16T12:00:00.000Z</x:v>
      </x:c>
      <x:c r="H18" s="3" t="str">
        <x:v>Attended</x:v>
      </x:c>
      <x:c r="I18" s="3" t="str">
        <x:v>Warm</x:v>
      </x:c>
      <x:c r="J18" s="3" t="str">
        <x:v>3 - Warm</x:v>
      </x:c>
      <x:c r="K18" s="7" t="n">
        <x:v>24.25</x:v>
      </x:c>
      <x:c r="L18" s="3" t="str">
        <x:v>Sin intención comercial documentada</x:v>
      </x:c>
      <x:c r="M18" s="3" t="str">
        <x:v>Asistencia de al menos 20 minutos; sin solicitud comercial documentada.</x:v>
      </x:c>
      <x:c r="N18" s="3" t="str"/>
      <x:c r="O18" s="3" t="str">
        <x:v>Revisar CRM (cliente, propuesta, oportunidad activa y owner) antes del contacto. Enviar seguimiento personalizado y preguntar por proyecto/necesidad.</x:v>
      </x:c>
      <x:c r="P18" s="3" t="str"/>
    </x:row>
    <x:row r="19" ht="60" customHeight="1">
      <x:c r="A19" s="3" t="str">
        <x:v>alicia.jones@amspecgroup.com</x:v>
      </x:c>
      <x:c r="B19" s="3" t="str">
        <x:v>Alicia</x:v>
      </x:c>
      <x:c r="C19" s="3" t="str">
        <x:v>Jones</x:v>
      </x:c>
      <x:c r="D19" s="3" t="str"/>
      <x:c r="E19" s="3" t="str"/>
      <x:c r="F19" s="3" t="str">
        <x:v>Fueling Conversations</x:v>
      </x:c>
      <x:c r="G19" s="6" t="d">
        <x:v>2026-10-16T12:00:00.000Z</x:v>
      </x:c>
      <x:c r="H19" s="3" t="str">
        <x:v>Attended</x:v>
      </x:c>
      <x:c r="I19" s="3" t="str">
        <x:v>Revisar encaje</x:v>
      </x:c>
      <x:c r="J19" s="3" t="str">
        <x:v>4 - Revisar</x:v>
      </x:c>
      <x:c r="K19" s="7" t="n">
        <x:v>57.9</x:v>
      </x:c>
      <x:c r="L19" s="3" t="str">
        <x:v>Sin intención comercial documentada</x:v>
      </x:c>
      <x:c r="M19" s="3" t="str">
        <x:v>Validar encaje comercial y posible proveedor/competidor antes de prospección.</x:v>
      </x:c>
      <x:c r="N19" s="3" t="str">
        <x:v>Validar encaje comercial y posible proveedor/competidor antes de prospección.</x:v>
      </x:c>
      <x:c r="O19" s="3" t="str">
        <x:v>Revisar CRM (cliente, propuesta, oportunidad activa y owner) antes del contacto. Validar encaje antes de incluir en campaña comercial.</x:v>
      </x:c>
      <x:c r="P19" s="3" t="str"/>
    </x:row>
    <x:row r="20" ht="60" customHeight="1">
      <x:c r="A20" s="3" t="str">
        <x:v>coren@ecoengineers.us</x:v>
      </x:c>
      <x:c r="B20" s="3" t="str">
        <x:v>Chelsa</x:v>
      </x:c>
      <x:c r="C20" s="3" t="str">
        <x:v>Oren</x:v>
      </x:c>
      <x:c r="D20" s="3" t="str">
        <x:v>EcoEngineers</x:v>
      </x:c>
      <x:c r="E20" s="3" t="str">
        <x:v>United States</x:v>
      </x:c>
      <x:c r="F20" s="3" t="str">
        <x:v>Fueling Conversations</x:v>
      </x:c>
      <x:c r="G20" s="6" t="d">
        <x:v>2026-10-16T12:00:00.000Z</x:v>
      </x:c>
      <x:c r="H20" s="3" t="str">
        <x:v>Attended</x:v>
      </x:c>
      <x:c r="I20" s="3" t="str">
        <x:v>Revisar encaje</x:v>
      </x:c>
      <x:c r="J20" s="3" t="str">
        <x:v>4 - Revisar</x:v>
      </x:c>
      <x:c r="K20" s="7" t="n">
        <x:v>55.36666666666667</x:v>
      </x:c>
      <x:c r="L20" s="3" t="str">
        <x:v>Sin intención comercial documentada</x:v>
      </x:c>
      <x:c r="M20" s="3" t="str">
        <x:v>Validar encaje comercial y posible proveedor/competidor antes de prospección.</x:v>
      </x:c>
      <x:c r="N20" s="3" t="str">
        <x:v>Validar encaje comercial y posible proveedor/competidor antes de prospección.</x:v>
      </x:c>
      <x:c r="O20" s="3" t="str">
        <x:v>Revisar CRM (cliente, propuesta, oportunidad activa y owner) antes del contacto. Validar encaje antes de incluir en campaña comercial.</x:v>
      </x:c>
      <x:c r="P20" s="3" t="str">
        <x:v>chelsa.oren@lrqa.com</x:v>
      </x:c>
    </x:row>
    <x:row r="21" ht="60" customHeight="1">
      <x:c r="A21" s="3" t="str">
        <x:v>gaguirre@ecoengineers.us</x:v>
      </x:c>
      <x:c r="B21" s="3" t="str">
        <x:v>Guillermo</x:v>
      </x:c>
      <x:c r="C21" s="3" t="str">
        <x:v>Aguirre Gomez</x:v>
      </x:c>
      <x:c r="D21" s="3" t="str">
        <x:v>EcoEngineers</x:v>
      </x:c>
      <x:c r="E21" s="3" t="str">
        <x:v>United States</x:v>
      </x:c>
      <x:c r="F21" s="3" t="str">
        <x:v>Fueling Conversations</x:v>
      </x:c>
      <x:c r="G21" s="6" t="d">
        <x:v>2026-10-16T12:00:00.000Z</x:v>
      </x:c>
      <x:c r="H21" s="3" t="str">
        <x:v>Attended</x:v>
      </x:c>
      <x:c r="I21" s="3" t="str">
        <x:v>Revisar encaje</x:v>
      </x:c>
      <x:c r="J21" s="3" t="str">
        <x:v>4 - Revisar</x:v>
      </x:c>
      <x:c r="K21" s="7" t="n">
        <x:v>47.95</x:v>
      </x:c>
      <x:c r="L21" s="3" t="str">
        <x:v>Sin intención comercial documentada</x:v>
      </x:c>
      <x:c r="M21" s="3" t="str">
        <x:v>Validar encaje comercial y posible proveedor/competidor antes de prospección.</x:v>
      </x:c>
      <x:c r="N21" s="3" t="str">
        <x:v>Validar encaje comercial y posible proveedor/competidor antes de prospección.</x:v>
      </x:c>
      <x:c r="O21" s="3" t="str">
        <x:v>Revisar CRM (cliente, propuesta, oportunidad activa y owner) antes del contacto. Validar encaje antes de incluir en campaña comercial.</x:v>
      </x:c>
      <x:c r="P21" s="3" t="str">
        <x:v>guillermo.aguirre@lrqa.com</x:v>
      </x:c>
    </x:row>
    <x:row r="22" ht="60" customHeight="1">
      <x:c r="A22" s="3" t="str">
        <x:v>tsnider@soy.org</x:v>
      </x:c>
      <x:c r="B22" s="3" t="str">
        <x:v>Tracy</x:v>
      </x:c>
      <x:c r="C22" s="3" t="str">
        <x:v>Snider</x:v>
      </x:c>
      <x:c r="D22" s="3" t="str">
        <x:v>American Soybean Association</x:v>
      </x:c>
      <x:c r="E22" s="3" t="str">
        <x:v>United States</x:v>
      </x:c>
      <x:c r="F22" s="3" t="str">
        <x:v>Fueling Conversations</x:v>
      </x:c>
      <x:c r="G22" s="6" t="d">
        <x:v>2026-10-16T12:00:00.000Z</x:v>
      </x:c>
      <x:c r="H22" s="3" t="str">
        <x:v>Attended</x:v>
      </x:c>
      <x:c r="I22" s="3" t="str">
        <x:v>Revisar encaje</x:v>
      </x:c>
      <x:c r="J22" s="3" t="str">
        <x:v>4 - Revisar</x:v>
      </x:c>
      <x:c r="K22" s="7" t="n">
        <x:v>47.78333333333333</x:v>
      </x:c>
      <x:c r="L22" s="3" t="str">
        <x:v>Sin intención comercial documentada</x:v>
      </x:c>
      <x:c r="M22" s="3" t="str">
        <x:v>Perfil académico/asociación: ruta de alianzas; validar necesidad comercial.</x:v>
      </x:c>
      <x:c r="N22" s="3" t="str">
        <x:v>Perfil académico/asociación: ruta de alianzas; validar necesidad comercial.</x:v>
      </x:c>
      <x:c r="O22" s="3" t="str">
        <x:v>Revisar CRM (cliente, propuesta, oportunidad activa y owner) antes del contacto. Validar encaje antes de incluir en campaña comercial.</x:v>
      </x:c>
      <x:c r="P22" s="3" t="str"/>
    </x:row>
    <x:row r="23" ht="60" customHeight="1">
      <x:c r="A23" s="3" t="str">
        <x:v>esant3@uky.edu</x:v>
      </x:c>
      <x:c r="B23" s="3" t="str">
        <x:v>Eduardo</x:v>
      </x:c>
      <x:c r="C23" s="3" t="str">
        <x:v>Santillan-Jimenez</x:v>
      </x:c>
      <x:c r="D23" s="3" t="str">
        <x:v>University of Kentucky</x:v>
      </x:c>
      <x:c r="E23" s="3" t="str">
        <x:v>United States</x:v>
      </x:c>
      <x:c r="F23" s="3" t="str">
        <x:v>Fueling Conversations</x:v>
      </x:c>
      <x:c r="G23" s="6" t="d">
        <x:v>2026-10-16T12:00:00.000Z</x:v>
      </x:c>
      <x:c r="H23" s="3" t="str">
        <x:v>Attended</x:v>
      </x:c>
      <x:c r="I23" s="3" t="str">
        <x:v>Revisar encaje</x:v>
      </x:c>
      <x:c r="J23" s="3" t="str">
        <x:v>4 - Revisar</x:v>
      </x:c>
      <x:c r="K23" s="7" t="n">
        <x:v>32.06666666666667</x:v>
      </x:c>
      <x:c r="L23" s="3" t="str">
        <x:v>Sin intención comercial documentada</x:v>
      </x:c>
      <x:c r="M23" s="3" t="str">
        <x:v>Perfil académico/asociación: ruta de alianzas; validar necesidad comercial.</x:v>
      </x:c>
      <x:c r="N23" s="3" t="str">
        <x:v>Perfil académico/asociación: ruta de alianzas; validar necesidad comercial.</x:v>
      </x:c>
      <x:c r="O23" s="3" t="str">
        <x:v>Revisar CRM (cliente, propuesta, oportunidad activa y owner) antes del contacto. Validar encaje antes de incluir en campaña comercial.</x:v>
      </x:c>
      <x:c r="P23" s="3" t="str"/>
    </x:row>
    <x:row r="24" ht="60" customHeight="1">
      <x:c r="A24" s="3" t="str">
        <x:v>jquarino@ecoengineers.us</x:v>
      </x:c>
      <x:c r="B24" s="3" t="str">
        <x:v>Jessica</x:v>
      </x:c>
      <x:c r="C24" s="3" t="str">
        <x:v>Quarino</x:v>
      </x:c>
      <x:c r="D24" s="3" t="str">
        <x:v>EcoEnginners</x:v>
      </x:c>
      <x:c r="E24" s="3" t="str">
        <x:v>United States</x:v>
      </x:c>
      <x:c r="F24" s="3" t="str">
        <x:v>Fueling Conversations</x:v>
      </x:c>
      <x:c r="G24" s="6" t="d">
        <x:v>2026-10-16T12:00:00.000Z</x:v>
      </x:c>
      <x:c r="H24" s="3" t="str">
        <x:v>Attended</x:v>
      </x:c>
      <x:c r="I24" s="3" t="str">
        <x:v>Revisar encaje</x:v>
      </x:c>
      <x:c r="J24" s="3" t="str">
        <x:v>4 - Revisar</x:v>
      </x:c>
      <x:c r="K24" s="7" t="n">
        <x:v>27.033333333333335</x:v>
      </x:c>
      <x:c r="L24" s="3" t="str">
        <x:v>Sin intención comercial documentada</x:v>
      </x:c>
      <x:c r="M24" s="3" t="str">
        <x:v>Validar encaje comercial y posible proveedor/competidor antes de prospección.</x:v>
      </x:c>
      <x:c r="N24" s="3" t="str">
        <x:v>Validar encaje comercial y posible proveedor/competidor antes de prospección.</x:v>
      </x:c>
      <x:c r="O24" s="3" t="str">
        <x:v>Revisar CRM (cliente, propuesta, oportunidad activa y owner) antes del contacto. Validar encaje antes de incluir en campaña comercial.</x:v>
      </x:c>
      <x:c r="P24" s="3" t="str">
        <x:v>jessica.quarino@lrqa.com; jquarino@gmail.com</x:v>
      </x:c>
    </x:row>
    <x:row r="25" ht="60" customHeight="1">
      <x:c r="A25" s="3" t="str">
        <x:v>hubert@p2i2.ca</x:v>
      </x:c>
      <x:c r="B25" s="3" t="str">
        <x:v>Hubert</x:v>
      </x:c>
      <x:c r="C25" s="3" t="str">
        <x:v>Piatkowski</x:v>
      </x:c>
      <x:c r="D25" s="3" t="str">
        <x:v>P2i2</x:v>
      </x:c>
      <x:c r="E25" s="3" t="str">
        <x:v>Canada</x:v>
      </x:c>
      <x:c r="F25" s="3" t="str">
        <x:v>Fueling Conversations</x:v>
      </x:c>
      <x:c r="G25" s="6" t="d">
        <x:v>2026-10-16T12:00:00.000Z</x:v>
      </x:c>
      <x:c r="H25" s="3" t="str">
        <x:v>Attended</x:v>
      </x:c>
      <x:c r="I25" s="3" t="str">
        <x:v>Cold</x:v>
      </x:c>
      <x:c r="J25" s="3" t="str">
        <x:v>5 - Nurture</x:v>
      </x:c>
      <x:c r="K25" s="7" t="n">
        <x:v>18.2</x:v>
      </x:c>
      <x:c r="L25" s="3" t="str">
        <x:v>Sin intención comercial documentada</x:v>
      </x:c>
      <x:c r="M25" s="3" t="str">
        <x:v>Asistencia menor a 20 minutos; sin solicitud comercial documentada.</x:v>
      </x:c>
      <x:c r="N25" s="3" t="str"/>
      <x:c r="O25" s="3" t="str">
        <x:v>Revisar CRM (cliente, propuesta, oportunidad activa y owner) antes del contacto. Enviar grabación y medir respuesta.</x:v>
      </x:c>
      <x:c r="P25" s="3" t="str">
        <x:v>hpiatkowski73@gmail.com; hpiatkowski@biointelligence.com</x:v>
      </x:c>
    </x:row>
    <x:row r="26" ht="60" customHeight="1">
      <x:c r="A26" s="3" t="str">
        <x:v>jrosa@calbioenergy.com</x:v>
      </x:c>
      <x:c r="B26" s="3" t="str">
        <x:v>Jack</x:v>
      </x:c>
      <x:c r="C26" s="3" t="str">
        <x:v>Rosa</x:v>
      </x:c>
      <x:c r="D26" s="3" t="str">
        <x:v>California Bioenergy</x:v>
      </x:c>
      <x:c r="E26" s="3" t="str">
        <x:v>United States</x:v>
      </x:c>
      <x:c r="F26" s="3" t="str">
        <x:v>Fueling Conversations</x:v>
      </x:c>
      <x:c r="G26" s="6" t="d">
        <x:v>2026-10-16T12:00:00.000Z</x:v>
      </x:c>
      <x:c r="H26" s="3" t="str">
        <x:v>Attended</x:v>
      </x:c>
      <x:c r="I26" s="3" t="str">
        <x:v>Cold</x:v>
      </x:c>
      <x:c r="J26" s="3" t="str">
        <x:v>5 - Nurture</x:v>
      </x:c>
      <x:c r="K26" s="7" t="n">
        <x:v>15.666666666666666</x:v>
      </x:c>
      <x:c r="L26" s="3" t="str">
        <x:v>Sin intención comercial documentada</x:v>
      </x:c>
      <x:c r="M26" s="3" t="str">
        <x:v>Asistencia menor a 20 minutos; sin solicitud comercial documentada.</x:v>
      </x:c>
      <x:c r="N26" s="3" t="str">
        <x:v>Empresa de un speaker: confirmar relación con el evento y con Peterson antes de prospectar.</x:v>
      </x:c>
      <x:c r="O26" s="3" t="str">
        <x:v>Revisar CRM (cliente, propuesta, oportunidad activa y owner) antes del contacto. Enviar grabación y medir respuesta.</x:v>
      </x:c>
      <x:c r="P26" s="3" t="str"/>
    </x:row>
    <x:row r="27" ht="60" customHeight="1">
      <x:c r="A27" s="3" t="str">
        <x:v>cpayn@catalystgrp.com</x:v>
      </x:c>
      <x:c r="B27" s="3" t="str">
        <x:v>Clyde</x:v>
      </x:c>
      <x:c r="C27" s="3" t="str">
        <x:v>Payn</x:v>
      </x:c>
      <x:c r="D27" s="3" t="str"/>
      <x:c r="E27" s="3" t="str"/>
      <x:c r="F27" s="3" t="str">
        <x:v>Fueling Conversations</x:v>
      </x:c>
      <x:c r="G27" s="6" t="d">
        <x:v>2026-10-16T12:00:00.000Z</x:v>
      </x:c>
      <x:c r="H27" s="3" t="str">
        <x:v>Attended</x:v>
      </x:c>
      <x:c r="I27" s="3" t="str">
        <x:v>Cold</x:v>
      </x:c>
      <x:c r="J27" s="3" t="str">
        <x:v>5 - Nurture</x:v>
      </x:c>
      <x:c r="K27" s="7" t="n">
        <x:v>12.9</x:v>
      </x:c>
      <x:c r="L27" s="3" t="str">
        <x:v>Sin intención comercial documentada</x:v>
      </x:c>
      <x:c r="M27" s="3" t="str">
        <x:v>Asistencia menor a 20 minutos; sin solicitud comercial documentada.</x:v>
      </x:c>
      <x:c r="N27" s="3" t="str"/>
      <x:c r="O27" s="3" t="str">
        <x:v>Revisar CRM (cliente, propuesta, oportunidad activa y owner) antes del contacto. Enviar grabación y medir respuesta.</x:v>
      </x:c>
      <x:c r="P27" s="3" t="str"/>
    </x:row>
    <x:row r="28" ht="60" customHeight="1">
      <x:c r="A28" s="3" t="str">
        <x:v>jeff.klingenberg@visionbioseeds.com</x:v>
      </x:c>
      <x:c r="B28" s="3" t="str">
        <x:v>Jeff</x:v>
      </x:c>
      <x:c r="C28" s="3" t="str">
        <x:v>Klingenberg</x:v>
      </x:c>
      <x:c r="D28" s="3" t="str">
        <x:v>Vision Bioenergy Oilseeds LLC</x:v>
      </x:c>
      <x:c r="E28" s="3" t="str">
        <x:v>United States</x:v>
      </x:c>
      <x:c r="F28" s="3" t="str">
        <x:v>Fueling Conversations</x:v>
      </x:c>
      <x:c r="G28" s="6" t="d">
        <x:v>2026-10-16T12:00:00.000Z</x:v>
      </x:c>
      <x:c r="H28" s="3" t="str">
        <x:v>Attended</x:v>
      </x:c>
      <x:c r="I28" s="3" t="str">
        <x:v>Cold</x:v>
      </x:c>
      <x:c r="J28" s="3" t="str">
        <x:v>5 - Nurture</x:v>
      </x:c>
      <x:c r="K28" s="7" t="n">
        <x:v>7.166666666666667</x:v>
      </x:c>
      <x:c r="L28" s="3" t="str">
        <x:v>Sin intención comercial documentada</x:v>
      </x:c>
      <x:c r="M28" s="3" t="str">
        <x:v>Asistencia menor a 20 minutos; sin solicitud comercial documentada.</x:v>
      </x:c>
      <x:c r="N28" s="3" t="str"/>
      <x:c r="O28" s="3" t="str">
        <x:v>Revisar CRM (cliente, propuesta, oportunidad activa y owner) antes del contacto. Enviar grabación y medir respuesta.</x:v>
      </x:c>
      <x:c r="P28" s="3" t="str"/>
    </x:row>
    <x:row r="29" ht="60" customHeight="1">
      <x:c r="A29" s="3" t="str">
        <x:v>mperry@forestconcepts.com</x:v>
      </x:c>
      <x:c r="B29" s="3" t="str">
        <x:v>Mike</x:v>
      </x:c>
      <x:c r="C29" s="3" t="str">
        <x:v>Perry</x:v>
      </x:c>
      <x:c r="D29" s="3" t="str">
        <x:v>Forest Concepts, LLC</x:v>
      </x:c>
      <x:c r="E29" s="3" t="str">
        <x:v>United States</x:v>
      </x:c>
      <x:c r="F29" s="3" t="str">
        <x:v>Fueling Conversations</x:v>
      </x:c>
      <x:c r="G29" s="6" t="d">
        <x:v>2026-10-16T12:00:00.000Z</x:v>
      </x:c>
      <x:c r="H29" s="3" t="str">
        <x:v>Attended</x:v>
      </x:c>
      <x:c r="I29" s="3" t="str">
        <x:v>Cold</x:v>
      </x:c>
      <x:c r="J29" s="3" t="str">
        <x:v>5 - Nurture</x:v>
      </x:c>
      <x:c r="K29" s="7" t="n">
        <x:v>4.716666666666667</x:v>
      </x:c>
      <x:c r="L29" s="3" t="str">
        <x:v>Sin intención comercial documentada</x:v>
      </x:c>
      <x:c r="M29" s="3" t="str">
        <x:v>Asistencia menor a 20 minutos; sin solicitud comercial documentada.</x:v>
      </x:c>
      <x:c r="N29" s="3" t="str"/>
      <x:c r="O29" s="3" t="str">
        <x:v>Revisar CRM (cliente, propuesta, oportunidad activa y owner) antes del contacto. Enviar grabación y medir respuesta.</x:v>
      </x:c>
      <x:c r="P29" s="3" t="str"/>
    </x:row>
    <x:row r="30" ht="60" customHeight="1">
      <x:c r="A30" s="3" t="str">
        <x:v>adam@newgrowthtalent.com</x:v>
      </x:c>
      <x:c r="B30" s="3" t="str">
        <x:v>Adam</x:v>
      </x:c>
      <x:c r="C30" s="3" t="str">
        <x:v>Gross</x:v>
      </x:c>
      <x:c r="D30" s="3" t="str">
        <x:v>New Growth Talent</x:v>
      </x:c>
      <x:c r="E30" s="3" t="str">
        <x:v>United States</x:v>
      </x:c>
      <x:c r="F30" s="3" t="str">
        <x:v>Fueling Conversations</x:v>
      </x:c>
      <x:c r="G30" s="6" t="d">
        <x:v>2026-10-16T12:00:00.000Z</x:v>
      </x:c>
      <x:c r="H30" s="3" t="str">
        <x:v>No-show</x:v>
      </x:c>
      <x:c r="I30" s="3" t="str">
        <x:v>Nurture</x:v>
      </x:c>
      <x:c r="J30" s="3" t="str">
        <x:v>5 - Nurture</x:v>
      </x:c>
      <x:c r="K30" s="7" t="n">
        <x:v>0</x:v>
      </x:c>
      <x:c r="L30" s="3" t="str">
        <x:v>Sin intención comercial documentada</x:v>
      </x:c>
      <x:c r="M30" s="3" t="str">
        <x:v>Se registró, sin asistencia identificada.</x:v>
      </x:c>
      <x:c r="N30" s="3" t="str"/>
      <x:c r="O30" s="3" t="str">
        <x:v>Revisar CRM (cliente, propuesta, oportunidad activa y owner) antes del contacto. Enviar grabación y medir respuesta.</x:v>
      </x:c>
      <x:c r="P30" s="3" t="str"/>
    </x:row>
    <x:row r="31" ht="60" customHeight="1">
      <x:c r="A31" s="3" t="str">
        <x:v>alejuansanguinetti@gmail.com</x:v>
      </x:c>
      <x:c r="B31" s="3" t="str">
        <x:v>Alejandro</x:v>
      </x:c>
      <x:c r="C31" s="3" t="str">
        <x:v>Sanguinetti</x:v>
      </x:c>
      <x:c r="D31" s="3" t="str">
        <x:v>UCES</x:v>
      </x:c>
      <x:c r="E31" s="3" t="str">
        <x:v>Spain</x:v>
      </x:c>
      <x:c r="F31" s="3" t="str">
        <x:v>Fueling Conversations</x:v>
      </x:c>
      <x:c r="G31" s="6" t="d">
        <x:v>2026-10-16T12:00:00.000Z</x:v>
      </x:c>
      <x:c r="H31" s="3" t="str">
        <x:v>No-show</x:v>
      </x:c>
      <x:c r="I31" s="3" t="str">
        <x:v>Nurture</x:v>
      </x:c>
      <x:c r="J31" s="3" t="str">
        <x:v>5 - Nurture</x:v>
      </x:c>
      <x:c r="K31" s="7" t="n">
        <x:v>0</x:v>
      </x:c>
      <x:c r="L31" s="3" t="str">
        <x:v>Sin intención comercial documentada</x:v>
      </x:c>
      <x:c r="M31" s="3" t="str">
        <x:v>Se registró, sin asistencia identificada.</x:v>
      </x:c>
      <x:c r="N31" s="3" t="str"/>
      <x:c r="O31" s="3" t="str">
        <x:v>Revisar CRM (cliente, propuesta, oportunidad activa y owner) antes del contacto. Enviar grabación y medir respuesta.</x:v>
      </x:c>
      <x:c r="P31" s="3" t="str"/>
    </x:row>
    <x:row r="32" ht="60" customHeight="1">
      <x:c r="A32" s="3" t="str">
        <x:v>alexandra.krus@calumetspecialty.com</x:v>
      </x:c>
      <x:c r="B32" s="3" t="str">
        <x:v>Alexandra</x:v>
      </x:c>
      <x:c r="C32" s="3" t="str">
        <x:v>Krus</x:v>
      </x:c>
      <x:c r="D32" s="3" t="str">
        <x:v>Montana Renewables, LLC</x:v>
      </x:c>
      <x:c r="E32" s="3" t="str">
        <x:v>United States</x:v>
      </x:c>
      <x:c r="F32" s="3" t="str">
        <x:v>Fueling Conversations</x:v>
      </x:c>
      <x:c r="G32" s="6" t="d">
        <x:v>2026-10-16T12:00:00.000Z</x:v>
      </x:c>
      <x:c r="H32" s="3" t="str">
        <x:v>No-show</x:v>
      </x:c>
      <x:c r="I32" s="3" t="str">
        <x:v>Nurture</x:v>
      </x:c>
      <x:c r="J32" s="3" t="str">
        <x:v>5 - Nurture</x:v>
      </x:c>
      <x:c r="K32" s="7" t="n">
        <x:v>0</x:v>
      </x:c>
      <x:c r="L32" s="3" t="str">
        <x:v>Sin intención comercial documentada</x:v>
      </x:c>
      <x:c r="M32" s="3" t="str">
        <x:v>Se registró, sin asistencia identificada.</x:v>
      </x:c>
      <x:c r="N32" s="3" t="str"/>
      <x:c r="O32" s="3" t="str">
        <x:v>Revisar CRM (cliente, propuesta, oportunidad activa y owner) antes del contacto. Enviar grabación y medir respuesta.</x:v>
      </x:c>
      <x:c r="P32" s="3" t="str"/>
    </x:row>
    <x:row r="33" ht="60" customHeight="1">
      <x:c r="A33" s="3" t="str">
        <x:v>araines@restorationbio.com</x:v>
      </x:c>
      <x:c r="B33" s="3" t="str">
        <x:v>Andy</x:v>
      </x:c>
      <x:c r="C33" s="3" t="str">
        <x:v>Raines</x:v>
      </x:c>
      <x:c r="D33" s="3" t="str">
        <x:v>Restoration Bioproducts</x:v>
      </x:c>
      <x:c r="E33" s="3" t="str">
        <x:v>United States</x:v>
      </x:c>
      <x:c r="F33" s="3" t="str">
        <x:v>Fueling Conversations</x:v>
      </x:c>
      <x:c r="G33" s="6" t="d">
        <x:v>2026-10-16T12:00:00.000Z</x:v>
      </x:c>
      <x:c r="H33" s="3" t="str">
        <x:v>No-show</x:v>
      </x:c>
      <x:c r="I33" s="3" t="str">
        <x:v>Nurture</x:v>
      </x:c>
      <x:c r="J33" s="3" t="str">
        <x:v>5 - Nurture</x:v>
      </x:c>
      <x:c r="K33" s="7" t="n">
        <x:v>0</x:v>
      </x:c>
      <x:c r="L33" s="3" t="str">
        <x:v>Sin intención comercial documentada</x:v>
      </x:c>
      <x:c r="M33" s="3" t="str">
        <x:v>Se registró, sin asistencia identificada.</x:v>
      </x:c>
      <x:c r="N33" s="3" t="str"/>
      <x:c r="O33" s="3" t="str">
        <x:v>Revisar CRM (cliente, propuesta, oportunidad activa y owner) antes del contacto. Enviar grabación y medir respuesta.</x:v>
      </x:c>
      <x:c r="P33" s="3" t="str"/>
    </x:row>
    <x:row r="34" ht="60" customHeight="1">
      <x:c r="A34" s="3" t="str">
        <x:v>anshul@biotownbiogas.com</x:v>
      </x:c>
      <x:c r="B34" s="3" t="str">
        <x:v>Anshul</x:v>
      </x:c>
      <x:c r="C34" s="3" t="str">
        <x:v>Jain</x:v>
      </x:c>
      <x:c r="D34" s="3" t="str">
        <x:v>Biotown Biogas</x:v>
      </x:c>
      <x:c r="E34" s="3" t="str">
        <x:v>United States</x:v>
      </x:c>
      <x:c r="F34" s="3" t="str">
        <x:v>Fueling Conversations</x:v>
      </x:c>
      <x:c r="G34" s="6" t="d">
        <x:v>2026-10-16T12:00:00.000Z</x:v>
      </x:c>
      <x:c r="H34" s="3" t="str">
        <x:v>No-show</x:v>
      </x:c>
      <x:c r="I34" s="3" t="str">
        <x:v>Nurture</x:v>
      </x:c>
      <x:c r="J34" s="3" t="str">
        <x:v>5 - Nurture</x:v>
      </x:c>
      <x:c r="K34" s="7" t="n">
        <x:v>0</x:v>
      </x:c>
      <x:c r="L34" s="3" t="str">
        <x:v>Sin intención comercial documentada</x:v>
      </x:c>
      <x:c r="M34" s="3" t="str">
        <x:v>Se registró, sin asistencia identificada.</x:v>
      </x:c>
      <x:c r="N34" s="3" t="str"/>
      <x:c r="O34" s="3" t="str">
        <x:v>Revisar CRM (cliente, propuesta, oportunidad activa y owner) antes del contacto. Enviar grabación y medir respuesta.</x:v>
      </x:c>
      <x:c r="P34" s="3" t="str">
        <x:v>anshuljain753@gmail.com</x:v>
      </x:c>
    </x:row>
    <x:row r="35" ht="60" customHeight="1">
      <x:c r="A35" s="3" t="str">
        <x:v>cescami@ampolusa.com</x:v>
      </x:c>
      <x:c r="B35" s="3" t="str">
        <x:v>Cathy</x:v>
      </x:c>
      <x:c r="C35" s="3" t="str">
        <x:v>Escamilla</x:v>
      </x:c>
      <x:c r="D35" s="3" t="str">
        <x:v>Ampol US Trading, LLC</x:v>
      </x:c>
      <x:c r="E35" s="3" t="str">
        <x:v>United States</x:v>
      </x:c>
      <x:c r="F35" s="3" t="str">
        <x:v>Fueling Conversations</x:v>
      </x:c>
      <x:c r="G35" s="6" t="d">
        <x:v>2026-10-16T12:00:00.000Z</x:v>
      </x:c>
      <x:c r="H35" s="3" t="str">
        <x:v>No-show</x:v>
      </x:c>
      <x:c r="I35" s="3" t="str">
        <x:v>Nurture</x:v>
      </x:c>
      <x:c r="J35" s="3" t="str">
        <x:v>5 - Nurture</x:v>
      </x:c>
      <x:c r="K35" s="7" t="n">
        <x:v>0</x:v>
      </x:c>
      <x:c r="L35" s="3" t="str">
        <x:v>Sin intención comercial documentada</x:v>
      </x:c>
      <x:c r="M35" s="3" t="str">
        <x:v>Se registró, sin asistencia identificada.</x:v>
      </x:c>
      <x:c r="N35" s="3" t="str"/>
      <x:c r="O35" s="3" t="str">
        <x:v>Revisar CRM (cliente, propuesta, oportunidad activa y owner) antes del contacto. Enviar grabación y medir respuesta.</x:v>
      </x:c>
      <x:c r="P35" s="3" t="str"/>
    </x:row>
    <x:row r="36" ht="60" customHeight="1">
      <x:c r="A36" s="3" t="str">
        <x:v>rcsmgarcia@yahoo.com</x:v>
      </x:c>
      <x:c r="B36" s="3" t="str">
        <x:v>Cheri</x:v>
      </x:c>
      <x:c r="C36" s="3" t="str">
        <x:v>Garcia</x:v>
      </x:c>
      <x:c r="D36" s="3" t="str"/>
      <x:c r="E36" s="3" t="str">
        <x:v>United States</x:v>
      </x:c>
      <x:c r="F36" s="3" t="str">
        <x:v>Fueling Conversations</x:v>
      </x:c>
      <x:c r="G36" s="6" t="d">
        <x:v>2026-10-16T12:00:00.000Z</x:v>
      </x:c>
      <x:c r="H36" s="3" t="str">
        <x:v>No-show</x:v>
      </x:c>
      <x:c r="I36" s="3" t="str">
        <x:v>Nurture</x:v>
      </x:c>
      <x:c r="J36" s="3" t="str">
        <x:v>5 - Nurture</x:v>
      </x:c>
      <x:c r="K36" s="7" t="n">
        <x:v>0</x:v>
      </x:c>
      <x:c r="L36" s="3" t="str">
        <x:v>Sin intención comercial documentada</x:v>
      </x:c>
      <x:c r="M36" s="3" t="str">
        <x:v>Se registró, sin asistencia identificada.</x:v>
      </x:c>
      <x:c r="N36" s="3" t="str"/>
      <x:c r="O36" s="3" t="str">
        <x:v>Revisar CRM (cliente, propuesta, oportunidad activa y owner) antes del contacto. Enviar grabación y medir respuesta.</x:v>
      </x:c>
      <x:c r="P36" s="3" t="str"/>
    </x:row>
    <x:row r="37" ht="60" customHeight="1">
      <x:c r="A37" s="3" t="str">
        <x:v>corey.lavinsky@calumet.com</x:v>
      </x:c>
      <x:c r="B37" s="3" t="str">
        <x:v>Corey</x:v>
      </x:c>
      <x:c r="C37" s="3" t="str">
        <x:v>Lavinsky</x:v>
      </x:c>
      <x:c r="D37" s="3" t="str">
        <x:v>Montana Renewables</x:v>
      </x:c>
      <x:c r="E37" s="3" t="str">
        <x:v>United States</x:v>
      </x:c>
      <x:c r="F37" s="3" t="str">
        <x:v>Fueling Conversations</x:v>
      </x:c>
      <x:c r="G37" s="6" t="d">
        <x:v>2026-10-16T12:00:00.000Z</x:v>
      </x:c>
      <x:c r="H37" s="3" t="str">
        <x:v>No-show</x:v>
      </x:c>
      <x:c r="I37" s="3" t="str">
        <x:v>Nurture</x:v>
      </x:c>
      <x:c r="J37" s="3" t="str">
        <x:v>5 - Nurture</x:v>
      </x:c>
      <x:c r="K37" s="7" t="n">
        <x:v>0</x:v>
      </x:c>
      <x:c r="L37" s="3" t="str">
        <x:v>Sin intención comercial documentada</x:v>
      </x:c>
      <x:c r="M37" s="3" t="str">
        <x:v>Se registró, sin asistencia identificada.</x:v>
      </x:c>
      <x:c r="N37" s="3" t="str"/>
      <x:c r="O37" s="3" t="str">
        <x:v>Revisar CRM (cliente, propuesta, oportunidad activa y owner) antes del contacto. Enviar grabación y medir respuesta.</x:v>
      </x:c>
      <x:c r="P37" s="3" t="str"/>
    </x:row>
    <x:row r="38" ht="60" customHeight="1">
      <x:c r="A38" s="3" t="str">
        <x:v>darleneb@ncpllc.net</x:v>
      </x:c>
      <x:c r="B38" s="3" t="str">
        <x:v>Darlene</x:v>
      </x:c>
      <x:c r="C38" s="3" t="str">
        <x:v>Brooks</x:v>
      </x:c>
      <x:c r="D38" s="3" t="str">
        <x:v>Nebraska Corn Processing, LLC</x:v>
      </x:c>
      <x:c r="E38" s="3" t="str">
        <x:v>United States</x:v>
      </x:c>
      <x:c r="F38" s="3" t="str">
        <x:v>Fueling Conversations</x:v>
      </x:c>
      <x:c r="G38" s="6" t="d">
        <x:v>2026-10-16T12:00:00.000Z</x:v>
      </x:c>
      <x:c r="H38" s="3" t="str">
        <x:v>No-show</x:v>
      </x:c>
      <x:c r="I38" s="3" t="str">
        <x:v>Nurture</x:v>
      </x:c>
      <x:c r="J38" s="3" t="str">
        <x:v>5 - Nurture</x:v>
      </x:c>
      <x:c r="K38" s="7" t="n">
        <x:v>0</x:v>
      </x:c>
      <x:c r="L38" s="3" t="str">
        <x:v>Sin intención comercial documentada</x:v>
      </x:c>
      <x:c r="M38" s="3" t="str">
        <x:v>Se registró, sin asistencia identificada.</x:v>
      </x:c>
      <x:c r="N38" s="3" t="str"/>
      <x:c r="O38" s="3" t="str">
        <x:v>Revisar CRM (cliente, propuesta, oportunidad activa y owner) antes del contacto. Enviar grabación y medir respuesta.</x:v>
      </x:c>
      <x:c r="P38" s="3" t="str"/>
    </x:row>
    <x:row r="39" ht="60" customHeight="1">
      <x:c r="A39" s="3" t="str">
        <x:v>diana@ergbio.com</x:v>
      </x:c>
      <x:c r="B39" s="3" t="str">
        <x:v>Diana</x:v>
      </x:c>
      <x:c r="C39" s="3" t="str">
        <x:v>Ramirez</x:v>
      </x:c>
      <x:c r="D39" s="3" t="str">
        <x:v>ERG BIO</x:v>
      </x:c>
      <x:c r="E39" s="3" t="str">
        <x:v>USA/CA</x:v>
      </x:c>
      <x:c r="F39" s="3" t="str">
        <x:v>Fueling Conversations</x:v>
      </x:c>
      <x:c r="G39" s="6" t="d">
        <x:v>2026-10-16T12:00:00.000Z</x:v>
      </x:c>
      <x:c r="H39" s="3" t="str">
        <x:v>No-show</x:v>
      </x:c>
      <x:c r="I39" s="3" t="str">
        <x:v>Nurture</x:v>
      </x:c>
      <x:c r="J39" s="3" t="str">
        <x:v>5 - Nurture</x:v>
      </x:c>
      <x:c r="K39" s="7" t="n">
        <x:v>0</x:v>
      </x:c>
      <x:c r="L39" s="3" t="str">
        <x:v>Sin intención comercial documentada</x:v>
      </x:c>
      <x:c r="M39" s="3" t="str">
        <x:v>Se registró, sin asistencia identificada.</x:v>
      </x:c>
      <x:c r="N39" s="3" t="str"/>
      <x:c r="O39" s="3" t="str">
        <x:v>Revisar CRM (cliente, propuesta, oportunidad activa y owner) antes del contacto. Enviar grabación y medir respuesta.</x:v>
      </x:c>
      <x:c r="P39" s="3" t="str"/>
    </x:row>
    <x:row r="40" ht="60" customHeight="1">
      <x:c r="A40" s="3" t="str">
        <x:v>ed@virescoad.com</x:v>
      </x:c>
      <x:c r="B40" s="3" t="str">
        <x:v>Ed</x:v>
      </x:c>
      <x:c r="C40" s="3" t="str">
        <x:v>Watts</x:v>
      </x:c>
      <x:c r="D40" s="3" t="str">
        <x:v>Viresco</x:v>
      </x:c>
      <x:c r="E40" s="3" t="str">
        <x:v>United States</x:v>
      </x:c>
      <x:c r="F40" s="3" t="str">
        <x:v>Fueling Conversations</x:v>
      </x:c>
      <x:c r="G40" s="6" t="d">
        <x:v>2026-10-16T12:00:00.000Z</x:v>
      </x:c>
      <x:c r="H40" s="3" t="str">
        <x:v>No-show</x:v>
      </x:c>
      <x:c r="I40" s="3" t="str">
        <x:v>Nurture</x:v>
      </x:c>
      <x:c r="J40" s="3" t="str">
        <x:v>5 - Nurture</x:v>
      </x:c>
      <x:c r="K40" s="7" t="n">
        <x:v>0</x:v>
      </x:c>
      <x:c r="L40" s="3" t="str">
        <x:v>Sin intención comercial documentada</x:v>
      </x:c>
      <x:c r="M40" s="3" t="str">
        <x:v>Se registró, sin asistencia identificada.</x:v>
      </x:c>
      <x:c r="N40" s="3" t="str"/>
      <x:c r="O40" s="3" t="str">
        <x:v>Revisar CRM (cliente, propuesta, oportunidad activa y owner) antes del contacto. Enviar grabación y medir respuesta.</x:v>
      </x:c>
      <x:c r="P40" s="3" t="str"/>
    </x:row>
    <x:row r="41" ht="60" customHeight="1">
      <x:c r="A41" s="3" t="str">
        <x:v>elizabeth.thomas@calumetspecialty.com</x:v>
      </x:c>
      <x:c r="B41" s="3" t="str">
        <x:v>Elizabeth</x:v>
      </x:c>
      <x:c r="C41" s="3" t="str">
        <x:v>Thomas</x:v>
      </x:c>
      <x:c r="D41" s="3" t="str">
        <x:v>Montana Renewables</x:v>
      </x:c>
      <x:c r="E41" s="3" t="str">
        <x:v>United States</x:v>
      </x:c>
      <x:c r="F41" s="3" t="str">
        <x:v>Fueling Conversations</x:v>
      </x:c>
      <x:c r="G41" s="6" t="d">
        <x:v>2026-10-16T12:00:00.000Z</x:v>
      </x:c>
      <x:c r="H41" s="3" t="str">
        <x:v>No-show</x:v>
      </x:c>
      <x:c r="I41" s="3" t="str">
        <x:v>Nurture</x:v>
      </x:c>
      <x:c r="J41" s="3" t="str">
        <x:v>5 - Nurture</x:v>
      </x:c>
      <x:c r="K41" s="7" t="n">
        <x:v>0</x:v>
      </x:c>
      <x:c r="L41" s="3" t="str">
        <x:v>Sin intención comercial documentada</x:v>
      </x:c>
      <x:c r="M41" s="3" t="str">
        <x:v>Se registró, sin asistencia identificada.</x:v>
      </x:c>
      <x:c r="N41" s="3" t="str"/>
      <x:c r="O41" s="3" t="str">
        <x:v>Revisar CRM (cliente, propuesta, oportunidad activa y owner) antes del contacto. Enviar grabación y medir respuesta.</x:v>
      </x:c>
      <x:c r="P41" s="3" t="str"/>
    </x:row>
    <x:row r="42" ht="60" customHeight="1">
      <x:c r="A42" s="3" t="str">
        <x:v>eric@mercuriusbiorefining.com</x:v>
      </x:c>
      <x:c r="B42" s="3" t="str">
        <x:v>Eric</x:v>
      </x:c>
      <x:c r="C42" s="3" t="str">
        <x:v>Seck</x:v>
      </x:c>
      <x:c r="D42" s="3" t="str"/>
      <x:c r="E42" s="3" t="str"/>
      <x:c r="F42" s="3" t="str">
        <x:v>Fueling Conversations</x:v>
      </x:c>
      <x:c r="G42" s="6" t="d">
        <x:v>2026-10-16T12:00:00.000Z</x:v>
      </x:c>
      <x:c r="H42" s="3" t="str">
        <x:v>No-show</x:v>
      </x:c>
      <x:c r="I42" s="3" t="str">
        <x:v>Nurture</x:v>
      </x:c>
      <x:c r="J42" s="3" t="str">
        <x:v>5 - Nurture</x:v>
      </x:c>
      <x:c r="K42" s="7" t="n">
        <x:v>0</x:v>
      </x:c>
      <x:c r="L42" s="3" t="str">
        <x:v>Sin intención comercial documentada</x:v>
      </x:c>
      <x:c r="M42" s="3" t="str">
        <x:v>Se registró, sin asistencia identificada.</x:v>
      </x:c>
      <x:c r="N42" s="3" t="str"/>
      <x:c r="O42" s="3" t="str">
        <x:v>Revisar CRM (cliente, propuesta, oportunidad activa y owner) antes del contacto. Enviar grabación y medir respuesta.</x:v>
      </x:c>
      <x:c r="P42" s="3" t="str"/>
    </x:row>
    <x:row r="43" ht="60" customHeight="1">
      <x:c r="A43" s="3" t="str">
        <x:v>evelyn.patrellfazio@stxgroup.com</x:v>
      </x:c>
      <x:c r="B43" s="3" t="str">
        <x:v>Evelyn</x:v>
      </x:c>
      <x:c r="C43" s="3" t="str">
        <x:v>Patrell-Fazio</x:v>
      </x:c>
      <x:c r="D43" s="3" t="str">
        <x:v>STX Group</x:v>
      </x:c>
      <x:c r="E43" s="3" t="str">
        <x:v>NEW YORK ,NY</x:v>
      </x:c>
      <x:c r="F43" s="3" t="str">
        <x:v>Fueling Conversations</x:v>
      </x:c>
      <x:c r="G43" s="6" t="d">
        <x:v>2026-10-16T12:00:00.000Z</x:v>
      </x:c>
      <x:c r="H43" s="3" t="str">
        <x:v>No-show</x:v>
      </x:c>
      <x:c r="I43" s="3" t="str">
        <x:v>Nurture</x:v>
      </x:c>
      <x:c r="J43" s="3" t="str">
        <x:v>5 - Nurture</x:v>
      </x:c>
      <x:c r="K43" s="7" t="n">
        <x:v>0</x:v>
      </x:c>
      <x:c r="L43" s="3" t="str">
        <x:v>Sin intención comercial documentada</x:v>
      </x:c>
      <x:c r="M43" s="3" t="str">
        <x:v>Se registró, sin asistencia identificada.</x:v>
      </x:c>
      <x:c r="N43" s="3" t="str"/>
      <x:c r="O43" s="3" t="str">
        <x:v>Revisar CRM (cliente, propuesta, oportunidad activa y owner) antes del contacto. Enviar grabación y medir respuesta.</x:v>
      </x:c>
      <x:c r="P43" s="3" t="str"/>
    </x:row>
    <x:row r="44" ht="60" customHeight="1">
      <x:c r="A44" s="3" t="str">
        <x:v>genevieve.grainger@gmail.com</x:v>
      </x:c>
      <x:c r="B44" s="3" t="str">
        <x:v>Genevieve</x:v>
      </x:c>
      <x:c r="C44" s="3" t="str">
        <x:v>Grainger</x:v>
      </x:c>
      <x:c r="D44" s="3" t="str"/>
      <x:c r="E44" s="3" t="str">
        <x:v>canada</x:v>
      </x:c>
      <x:c r="F44" s="3" t="str">
        <x:v>Fueling Conversations</x:v>
      </x:c>
      <x:c r="G44" s="6" t="d">
        <x:v>2026-10-16T12:00:00.000Z</x:v>
      </x:c>
      <x:c r="H44" s="3" t="str">
        <x:v>No-show</x:v>
      </x:c>
      <x:c r="I44" s="3" t="str">
        <x:v>Nurture</x:v>
      </x:c>
      <x:c r="J44" s="3" t="str">
        <x:v>5 - Nurture</x:v>
      </x:c>
      <x:c r="K44" s="7" t="n">
        <x:v>0</x:v>
      </x:c>
      <x:c r="L44" s="3" t="str">
        <x:v>Sin intención comercial documentada</x:v>
      </x:c>
      <x:c r="M44" s="3" t="str">
        <x:v>Se registró, sin asistencia identificada.</x:v>
      </x:c>
      <x:c r="N44" s="3" t="str"/>
      <x:c r="O44" s="3" t="str">
        <x:v>Revisar CRM (cliente, propuesta, oportunidad activa y owner) antes del contacto. Enviar grabación y medir respuesta.</x:v>
      </x:c>
      <x:c r="P44" s="3" t="str"/>
    </x:row>
    <x:row r="45" ht="60" customHeight="1">
      <x:c r="A45" s="3" t="str">
        <x:v>morais@katzen.com</x:v>
      </x:c>
      <x:c r="B45" s="3" t="str">
        <x:v>Hugo</x:v>
      </x:c>
      <x:c r="C45" s="3" t="str">
        <x:v>Morais</x:v>
      </x:c>
      <x:c r="D45" s="3" t="str">
        <x:v>KATZEN International, Inc.</x:v>
      </x:c>
      <x:c r="E45" s="3" t="str">
        <x:v>United States</x:v>
      </x:c>
      <x:c r="F45" s="3" t="str">
        <x:v>Fueling Conversations</x:v>
      </x:c>
      <x:c r="G45" s="6" t="d">
        <x:v>2026-10-16T12:00:00.000Z</x:v>
      </x:c>
      <x:c r="H45" s="3" t="str">
        <x:v>No-show</x:v>
      </x:c>
      <x:c r="I45" s="3" t="str">
        <x:v>Nurture</x:v>
      </x:c>
      <x:c r="J45" s="3" t="str">
        <x:v>5 - Nurture</x:v>
      </x:c>
      <x:c r="K45" s="7" t="n">
        <x:v>0</x:v>
      </x:c>
      <x:c r="L45" s="3" t="str">
        <x:v>Sin intención comercial documentada</x:v>
      </x:c>
      <x:c r="M45" s="3" t="str">
        <x:v>Se registró, sin asistencia identificada.</x:v>
      </x:c>
      <x:c r="N45" s="3" t="str"/>
      <x:c r="O45" s="3" t="str">
        <x:v>Revisar CRM (cliente, propuesta, oportunidad activa y owner) antes del contacto. Enviar grabación y medir respuesta.</x:v>
      </x:c>
      <x:c r="P45" s="3" t="str"/>
    </x:row>
    <x:row r="46" ht="60" customHeight="1">
      <x:c r="A46" s="3" t="str">
        <x:v>jamie_denbow@g3.ca</x:v>
      </x:c>
      <x:c r="B46" s="3" t="str">
        <x:v>Jamie</x:v>
      </x:c>
      <x:c r="C46" s="3" t="str">
        <x:v>Denbow</x:v>
      </x:c>
      <x:c r="D46" s="3" t="str">
        <x:v>G3 Canada Ltd.</x:v>
      </x:c>
      <x:c r="E46" s="3" t="str">
        <x:v>Canada</x:v>
      </x:c>
      <x:c r="F46" s="3" t="str">
        <x:v>Fueling Conversations</x:v>
      </x:c>
      <x:c r="G46" s="6" t="d">
        <x:v>2026-10-16T12:00:00.000Z</x:v>
      </x:c>
      <x:c r="H46" s="3" t="str">
        <x:v>No-show</x:v>
      </x:c>
      <x:c r="I46" s="3" t="str">
        <x:v>Nurture</x:v>
      </x:c>
      <x:c r="J46" s="3" t="str">
        <x:v>5 - Nurture</x:v>
      </x:c>
      <x:c r="K46" s="7" t="n">
        <x:v>0</x:v>
      </x:c>
      <x:c r="L46" s="3" t="str">
        <x:v>Sin intención comercial documentada</x:v>
      </x:c>
      <x:c r="M46" s="3" t="str">
        <x:v>Se registró, sin asistencia identificada.</x:v>
      </x:c>
      <x:c r="N46" s="3" t="str"/>
      <x:c r="O46" s="3" t="str">
        <x:v>Revisar CRM (cliente, propuesta, oportunidad activa y owner) antes del contacto. Enviar grabación y medir respuesta.</x:v>
      </x:c>
      <x:c r="P46" s="3" t="str"/>
    </x:row>
    <x:row r="47" ht="60" customHeight="1">
      <x:c r="A47" s="3" t="str">
        <x:v>jmcisaac@clearbluemarkets.com</x:v>
      </x:c>
      <x:c r="B47" s="3" t="str">
        <x:v>Jennifer</x:v>
      </x:c>
      <x:c r="C47" s="3" t="str">
        <x:v>McIsaac</x:v>
      </x:c>
      <x:c r="D47" s="3" t="str">
        <x:v>ClearBlue</x:v>
      </x:c>
      <x:c r="E47" s="3" t="str">
        <x:v>United States</x:v>
      </x:c>
      <x:c r="F47" s="3" t="str">
        <x:v>Fueling Conversations</x:v>
      </x:c>
      <x:c r="G47" s="6" t="d">
        <x:v>2026-10-16T12:00:00.000Z</x:v>
      </x:c>
      <x:c r="H47" s="3" t="str">
        <x:v>No-show</x:v>
      </x:c>
      <x:c r="I47" s="3" t="str">
        <x:v>Nurture</x:v>
      </x:c>
      <x:c r="J47" s="3" t="str">
        <x:v>5 - Nurture</x:v>
      </x:c>
      <x:c r="K47" s="7" t="n">
        <x:v>0</x:v>
      </x:c>
      <x:c r="L47" s="3" t="str">
        <x:v>Sin intención comercial documentada</x:v>
      </x:c>
      <x:c r="M47" s="3" t="str">
        <x:v>Se registró, sin asistencia identificada.</x:v>
      </x:c>
      <x:c r="N47" s="3" t="str"/>
      <x:c r="O47" s="3" t="str">
        <x:v>Revisar CRM (cliente, propuesta, oportunidad activa y owner) antes del contacto. Enviar grabación y medir respuesta.</x:v>
      </x:c>
      <x:c r="P47" s="3" t="str"/>
    </x:row>
    <x:row r="48" ht="60" customHeight="1">
      <x:c r="A48" s="3" t="str">
        <x:v>jswartz@calbioenergy.com</x:v>
      </x:c>
      <x:c r="B48" s="3" t="str">
        <x:v>Jennifer</x:v>
      </x:c>
      <x:c r="C48" s="3" t="str">
        <x:v>Swartz</x:v>
      </x:c>
      <x:c r="D48" s="3" t="str">
        <x:v>California Bioenergy</x:v>
      </x:c>
      <x:c r="E48" s="3" t="str">
        <x:v>United States</x:v>
      </x:c>
      <x:c r="F48" s="3" t="str">
        <x:v>Fueling Conversations</x:v>
      </x:c>
      <x:c r="G48" s="6" t="d">
        <x:v>2026-10-16T12:00:00.000Z</x:v>
      </x:c>
      <x:c r="H48" s="3" t="str">
        <x:v>No-show</x:v>
      </x:c>
      <x:c r="I48" s="3" t="str">
        <x:v>Nurture</x:v>
      </x:c>
      <x:c r="J48" s="3" t="str">
        <x:v>5 - Nurture</x:v>
      </x:c>
      <x:c r="K48" s="7" t="n">
        <x:v>0</x:v>
      </x:c>
      <x:c r="L48" s="3" t="str">
        <x:v>Sin intención comercial documentada</x:v>
      </x:c>
      <x:c r="M48" s="3" t="str">
        <x:v>Se registró, sin asistencia identificada.</x:v>
      </x:c>
      <x:c r="N48" s="3" t="str">
        <x:v>Empresa de un speaker: confirmar relación con el evento y con Peterson antes de prospectar.</x:v>
      </x:c>
      <x:c r="O48" s="3" t="str">
        <x:v>Revisar CRM (cliente, propuesta, oportunidad activa y owner) antes del contacto. Enviar grabación y medir respuesta.</x:v>
      </x:c>
      <x:c r="P48" s="3" t="str"/>
    </x:row>
    <x:row r="49" ht="60" customHeight="1">
      <x:c r="A49" s="3" t="str">
        <x:v>jlapish@thumbbioenergy.com</x:v>
      </x:c>
      <x:c r="B49" s="3" t="str">
        <x:v>Jenyfer</x:v>
      </x:c>
      <x:c r="C49" s="3" t="str">
        <x:v>Lapish</x:v>
      </x:c>
      <x:c r="D49" s="3" t="str">
        <x:v>Thumb BioEnergy</x:v>
      </x:c>
      <x:c r="E49" s="3" t="str">
        <x:v>United States</x:v>
      </x:c>
      <x:c r="F49" s="3" t="str">
        <x:v>Fueling Conversations</x:v>
      </x:c>
      <x:c r="G49" s="6" t="d">
        <x:v>2026-10-16T12:00:00.000Z</x:v>
      </x:c>
      <x:c r="H49" s="3" t="str">
        <x:v>No-show</x:v>
      </x:c>
      <x:c r="I49" s="3" t="str">
        <x:v>Nurture</x:v>
      </x:c>
      <x:c r="J49" s="3" t="str">
        <x:v>5 - Nurture</x:v>
      </x:c>
      <x:c r="K49" s="7" t="n">
        <x:v>0</x:v>
      </x:c>
      <x:c r="L49" s="3" t="str">
        <x:v>Sin intención comercial documentada</x:v>
      </x:c>
      <x:c r="M49" s="3" t="str">
        <x:v>Se registró, sin asistencia identificada.</x:v>
      </x:c>
      <x:c r="N49" s="3" t="str"/>
      <x:c r="O49" s="3" t="str">
        <x:v>Revisar CRM (cliente, propuesta, oportunidad activa y owner) antes del contacto. Enviar grabación y medir respuesta.</x:v>
      </x:c>
      <x:c r="P49" s="3" t="str"/>
    </x:row>
    <x:row r="50" ht="60" customHeight="1">
      <x:c r="A50" s="3" t="str">
        <x:v>jjustus@reverecontrol.com</x:v>
      </x:c>
      <x:c r="B50" s="3" t="str">
        <x:v>John</x:v>
      </x:c>
      <x:c r="C50" s="3" t="str">
        <x:v>Justus</x:v>
      </x:c>
      <x:c r="D50" s="3" t="str">
        <x:v>Revere Control Systems</x:v>
      </x:c>
      <x:c r="E50" s="3" t="str">
        <x:v>United States</x:v>
      </x:c>
      <x:c r="F50" s="3" t="str">
        <x:v>Fueling Conversations</x:v>
      </x:c>
      <x:c r="G50" s="6" t="d">
        <x:v>2026-10-16T12:00:00.000Z</x:v>
      </x:c>
      <x:c r="H50" s="3" t="str">
        <x:v>No-show</x:v>
      </x:c>
      <x:c r="I50" s="3" t="str">
        <x:v>Nurture</x:v>
      </x:c>
      <x:c r="J50" s="3" t="str">
        <x:v>5 - Nurture</x:v>
      </x:c>
      <x:c r="K50" s="7" t="n">
        <x:v>0</x:v>
      </x:c>
      <x:c r="L50" s="3" t="str">
        <x:v>Sin intención comercial documentada</x:v>
      </x:c>
      <x:c r="M50" s="3" t="str">
        <x:v>Se registró, sin asistencia identificada.</x:v>
      </x:c>
      <x:c r="N50" s="3" t="str"/>
      <x:c r="O50" s="3" t="str">
        <x:v>Revisar CRM (cliente, propuesta, oportunidad activa y owner) antes del contacto. Enviar grabación y medir respuesta.</x:v>
      </x:c>
      <x:c r="P50" s="3" t="str"/>
    </x:row>
    <x:row r="51" ht="60" customHeight="1">
      <x:c r="A51" s="3" t="str">
        <x:v>jrollins@phibro.com</x:v>
      </x:c>
      <x:c r="B51" s="3" t="str">
        <x:v>John</x:v>
      </x:c>
      <x:c r="C51" s="3" t="str">
        <x:v>Rollins</x:v>
      </x:c>
      <x:c r="D51" s="3" t="str">
        <x:v>Phibro rCB LLC</x:v>
      </x:c>
      <x:c r="E51" s="3" t="str">
        <x:v>United States</x:v>
      </x:c>
      <x:c r="F51" s="3" t="str">
        <x:v>Fueling Conversations</x:v>
      </x:c>
      <x:c r="G51" s="6" t="d">
        <x:v>2026-10-16T12:00:00.000Z</x:v>
      </x:c>
      <x:c r="H51" s="3" t="str">
        <x:v>No-show</x:v>
      </x:c>
      <x:c r="I51" s="3" t="str">
        <x:v>Nurture</x:v>
      </x:c>
      <x:c r="J51" s="3" t="str">
        <x:v>5 - Nurture</x:v>
      </x:c>
      <x:c r="K51" s="7" t="n">
        <x:v>0</x:v>
      </x:c>
      <x:c r="L51" s="3" t="str">
        <x:v>Sin intención comercial documentada</x:v>
      </x:c>
      <x:c r="M51" s="3" t="str">
        <x:v>Se registró, sin asistencia identificada.</x:v>
      </x:c>
      <x:c r="N51" s="3" t="str"/>
      <x:c r="O51" s="3" t="str">
        <x:v>Revisar CRM (cliente, propuesta, oportunidad activa y owner) antes del contacto. Enviar grabación y medir respuesta.</x:v>
      </x:c>
      <x:c r="P51" s="3" t="str"/>
    </x:row>
    <x:row r="52" ht="60" customHeight="1">
      <x:c r="A52" s="3" t="str">
        <x:v>jonathan.vacari@neste.com</x:v>
      </x:c>
      <x:c r="B52" s="3" t="str">
        <x:v>Jonathan</x:v>
      </x:c>
      <x:c r="C52" s="3" t="str">
        <x:v>Vacari</x:v>
      </x:c>
      <x:c r="D52" s="3" t="str">
        <x:v>Neste</x:v>
      </x:c>
      <x:c r="E52" s="3" t="str">
        <x:v>Brazil</x:v>
      </x:c>
      <x:c r="F52" s="3" t="str">
        <x:v>Fueling Conversations</x:v>
      </x:c>
      <x:c r="G52" s="6" t="d">
        <x:v>2026-10-16T12:00:00.000Z</x:v>
      </x:c>
      <x:c r="H52" s="3" t="str">
        <x:v>No-show</x:v>
      </x:c>
      <x:c r="I52" s="3" t="str">
        <x:v>Nurture</x:v>
      </x:c>
      <x:c r="J52" s="3" t="str">
        <x:v>5 - Nurture</x:v>
      </x:c>
      <x:c r="K52" s="7" t="n">
        <x:v>0</x:v>
      </x:c>
      <x:c r="L52" s="3" t="str">
        <x:v>Sin intención comercial documentada</x:v>
      </x:c>
      <x:c r="M52" s="3" t="str">
        <x:v>Se registró, sin asistencia identificada.</x:v>
      </x:c>
      <x:c r="N52" s="3" t="str"/>
      <x:c r="O52" s="3" t="str">
        <x:v>Revisar CRM (cliente, propuesta, oportunidad activa y owner) antes del contacto. Enviar grabación y medir respuesta.</x:v>
      </x:c>
      <x:c r="P52" s="3" t="str"/>
    </x:row>
    <x:row r="53" ht="60" customHeight="1">
      <x:c r="A53" s="3" t="str">
        <x:v>jrahm@soy.org</x:v>
      </x:c>
      <x:c r="B53" s="3" t="str">
        <x:v>Josh</x:v>
      </x:c>
      <x:c r="C53" s="3" t="str">
        <x:v>Rahm</x:v>
      </x:c>
      <x:c r="D53" s="3" t="str">
        <x:v>American Soybean Association</x:v>
      </x:c>
      <x:c r="E53" s="3" t="str">
        <x:v>United States</x:v>
      </x:c>
      <x:c r="F53" s="3" t="str">
        <x:v>Fueling Conversations</x:v>
      </x:c>
      <x:c r="G53" s="6" t="d">
        <x:v>2026-10-16T12:00:00.000Z</x:v>
      </x:c>
      <x:c r="H53" s="3" t="str">
        <x:v>No-show</x:v>
      </x:c>
      <x:c r="I53" s="3" t="str">
        <x:v>Nurture</x:v>
      </x:c>
      <x:c r="J53" s="3" t="str">
        <x:v>5 - Nurture</x:v>
      </x:c>
      <x:c r="K53" s="7" t="n">
        <x:v>0</x:v>
      </x:c>
      <x:c r="L53" s="3" t="str">
        <x:v>Sin intención comercial documentada</x:v>
      </x:c>
      <x:c r="M53" s="3" t="str">
        <x:v>Se registró, sin asistencia identificada.</x:v>
      </x:c>
      <x:c r="N53" s="3" t="str">
        <x:v>Perfil académico/asociación: ruta de alianzas; validar necesidad comercial.</x:v>
      </x:c>
      <x:c r="O53" s="3" t="str">
        <x:v>Revisar CRM (cliente, propuesta, oportunidad activa y owner) antes del contacto. Enviar grabación y medir respuesta.</x:v>
      </x:c>
      <x:c r="P53" s="3" t="str"/>
    </x:row>
    <x:row r="54" ht="60" customHeight="1">
      <x:c r="A54" s="3" t="str">
        <x:v>jszilvas@quasareg.com</x:v>
      </x:c>
      <x:c r="B54" s="3" t="str">
        <x:v>Julia</x:v>
      </x:c>
      <x:c r="C54" s="3" t="str">
        <x:v>Szilvas</x:v>
      </x:c>
      <x:c r="D54" s="3" t="str">
        <x:v>quasar energy group</x:v>
      </x:c>
      <x:c r="E54" s="3" t="str">
        <x:v>United States</x:v>
      </x:c>
      <x:c r="F54" s="3" t="str">
        <x:v>Fueling Conversations</x:v>
      </x:c>
      <x:c r="G54" s="6" t="d">
        <x:v>2026-10-16T12:00:00.000Z</x:v>
      </x:c>
      <x:c r="H54" s="3" t="str">
        <x:v>No-show</x:v>
      </x:c>
      <x:c r="I54" s="3" t="str">
        <x:v>Nurture</x:v>
      </x:c>
      <x:c r="J54" s="3" t="str">
        <x:v>5 - Nurture</x:v>
      </x:c>
      <x:c r="K54" s="7" t="n">
        <x:v>0</x:v>
      </x:c>
      <x:c r="L54" s="3" t="str">
        <x:v>Sin intención comercial documentada</x:v>
      </x:c>
      <x:c r="M54" s="3" t="str">
        <x:v>Se registró, sin asistencia identificada.</x:v>
      </x:c>
      <x:c r="N54" s="3" t="str"/>
      <x:c r="O54" s="3" t="str">
        <x:v>Revisar CRM (cliente, propuesta, oportunidad activa y owner) antes del contacto. Enviar grabación y medir respuesta.</x:v>
      </x:c>
      <x:c r="P54" s="3" t="str"/>
    </x:row>
    <x:row r="55" ht="60" customHeight="1">
      <x:c r="A55" s="3" t="str">
        <x:v>julien.lampron@remabec.com</x:v>
      </x:c>
      <x:c r="B55" s="3" t="str">
        <x:v>Julien</x:v>
      </x:c>
      <x:c r="C55" s="3" t="str">
        <x:v>Lampron</x:v>
      </x:c>
      <x:c r="D55" s="3" t="str">
        <x:v>Remabec</x:v>
      </x:c>
      <x:c r="E55" s="3" t="str">
        <x:v>Canada</x:v>
      </x:c>
      <x:c r="F55" s="3" t="str">
        <x:v>Fueling Conversations</x:v>
      </x:c>
      <x:c r="G55" s="6" t="d">
        <x:v>2026-10-16T12:00:00.000Z</x:v>
      </x:c>
      <x:c r="H55" s="3" t="str">
        <x:v>No-show</x:v>
      </x:c>
      <x:c r="I55" s="3" t="str">
        <x:v>Nurture</x:v>
      </x:c>
      <x:c r="J55" s="3" t="str">
        <x:v>5 - Nurture</x:v>
      </x:c>
      <x:c r="K55" s="7" t="n">
        <x:v>0</x:v>
      </x:c>
      <x:c r="L55" s="3" t="str">
        <x:v>Sin intención comercial documentada</x:v>
      </x:c>
      <x:c r="M55" s="3" t="str">
        <x:v>Se registró, sin asistencia identificada.</x:v>
      </x:c>
      <x:c r="N55" s="3" t="str"/>
      <x:c r="O55" s="3" t="str">
        <x:v>Revisar CRM (cliente, propuesta, oportunidad activa y owner) antes del contacto. Enviar grabación y medir respuesta.</x:v>
      </x:c>
      <x:c r="P55" s="3" t="str"/>
    </x:row>
    <x:row r="56" ht="60" customHeight="1">
      <x:c r="A56" s="3" t="str">
        <x:v>justin.cao@cratos.de</x:v>
      </x:c>
      <x:c r="B56" s="3" t="str">
        <x:v>Justin</x:v>
      </x:c>
      <x:c r="C56" s="3" t="str">
        <x:v>Cao</x:v>
      </x:c>
      <x:c r="D56" s="3" t="str"/>
      <x:c r="E56" s="3" t="str"/>
      <x:c r="F56" s="3" t="str">
        <x:v>Fueling Conversations</x:v>
      </x:c>
      <x:c r="G56" s="6" t="d">
        <x:v>2026-10-16T12:00:00.000Z</x:v>
      </x:c>
      <x:c r="H56" s="3" t="str">
        <x:v>No-show</x:v>
      </x:c>
      <x:c r="I56" s="3" t="str">
        <x:v>Nurture</x:v>
      </x:c>
      <x:c r="J56" s="3" t="str">
        <x:v>5 - Nurture</x:v>
      </x:c>
      <x:c r="K56" s="7" t="n">
        <x:v>0</x:v>
      </x:c>
      <x:c r="L56" s="3" t="str">
        <x:v>Sin intención comercial documentada</x:v>
      </x:c>
      <x:c r="M56" s="3" t="str">
        <x:v>Se registró, sin asistencia identificada.</x:v>
      </x:c>
      <x:c r="N56" s="3" t="str"/>
      <x:c r="O56" s="3" t="str">
        <x:v>Revisar CRM (cliente, propuesta, oportunidad activa y owner) antes del contacto. Enviar grabación y medir respuesta.</x:v>
      </x:c>
      <x:c r="P56" s="3" t="str"/>
    </x:row>
    <x:row r="57" ht="60" customHeight="1">
      <x:c r="A57" s="3" t="str">
        <x:v>kari@bioenergy-solutions.com</x:v>
      </x:c>
      <x:c r="B57" s="3" t="str">
        <x:v>Kari</x:v>
      </x:c>
      <x:c r="C57" s="3" t="str">
        <x:v>McDonald</x:v>
      </x:c>
      <x:c r="D57" s="3" t="str">
        <x:v>Bio Energy Solutions Inc</x:v>
      </x:c>
      <x:c r="E57" s="3" t="str">
        <x:v>Canada</x:v>
      </x:c>
      <x:c r="F57" s="3" t="str">
        <x:v>Fueling Conversations</x:v>
      </x:c>
      <x:c r="G57" s="6" t="d">
        <x:v>2026-10-16T12:00:00.000Z</x:v>
      </x:c>
      <x:c r="H57" s="3" t="str">
        <x:v>No-show</x:v>
      </x:c>
      <x:c r="I57" s="3" t="str">
        <x:v>Nurture</x:v>
      </x:c>
      <x:c r="J57" s="3" t="str">
        <x:v>5 - Nurture</x:v>
      </x:c>
      <x:c r="K57" s="7" t="n">
        <x:v>0</x:v>
      </x:c>
      <x:c r="L57" s="3" t="str">
        <x:v>Sin intención comercial documentada</x:v>
      </x:c>
      <x:c r="M57" s="3" t="str">
        <x:v>Se registró, sin asistencia identificada.</x:v>
      </x:c>
      <x:c r="N57" s="3" t="str"/>
      <x:c r="O57" s="3" t="str">
        <x:v>Revisar CRM (cliente, propuesta, oportunidad activa y owner) antes del contacto. Enviar grabación y medir respuesta.</x:v>
      </x:c>
      <x:c r="P57" s="3" t="str"/>
    </x:row>
    <x:row r="58" ht="60" customHeight="1">
      <x:c r="A58" s="3" t="str">
        <x:v>kwight@worldenergy.net</x:v>
      </x:c>
      <x:c r="B58" s="3" t="str">
        <x:v>Kathleen</x:v>
      </x:c>
      <x:c r="C58" s="3" t="str">
        <x:v>Wight</x:v>
      </x:c>
      <x:c r="D58" s="3" t="str">
        <x:v>World Energy</x:v>
      </x:c>
      <x:c r="E58" s="3" t="str">
        <x:v>United States</x:v>
      </x:c>
      <x:c r="F58" s="3" t="str">
        <x:v>Fueling Conversations</x:v>
      </x:c>
      <x:c r="G58" s="6" t="d">
        <x:v>2026-10-16T12:00:00.000Z</x:v>
      </x:c>
      <x:c r="H58" s="3" t="str">
        <x:v>No-show</x:v>
      </x:c>
      <x:c r="I58" s="3" t="str">
        <x:v>Nurture</x:v>
      </x:c>
      <x:c r="J58" s="3" t="str">
        <x:v>5 - Nurture</x:v>
      </x:c>
      <x:c r="K58" s="7" t="n">
        <x:v>0</x:v>
      </x:c>
      <x:c r="L58" s="3" t="str">
        <x:v>Sin intención comercial documentada</x:v>
      </x:c>
      <x:c r="M58" s="3" t="str">
        <x:v>Se registró, sin asistencia identificada.</x:v>
      </x:c>
      <x:c r="N58" s="3" t="str"/>
      <x:c r="O58" s="3" t="str">
        <x:v>Revisar CRM (cliente, propuesta, oportunidad activa y owner) antes del contacto. Enviar grabación y medir respuesta.</x:v>
      </x:c>
      <x:c r="P58" s="3" t="str"/>
    </x:row>
    <x:row r="59" ht="60" customHeight="1">
      <x:c r="A59" s="3" t="str">
        <x:v>kevin.zhang@jupengbio.com</x:v>
      </x:c>
      <x:c r="B59" s="3" t="str">
        <x:v>Kevin</x:v>
      </x:c>
      <x:c r="C59" s="3" t="str">
        <x:v>Zhang</x:v>
      </x:c>
      <x:c r="D59" s="3" t="str">
        <x:v>Jupeng Bio</x:v>
      </x:c>
      <x:c r="E59" s="3" t="str">
        <x:v>United States</x:v>
      </x:c>
      <x:c r="F59" s="3" t="str">
        <x:v>Fueling Conversations</x:v>
      </x:c>
      <x:c r="G59" s="6" t="d">
        <x:v>2026-10-16T12:00:00.000Z</x:v>
      </x:c>
      <x:c r="H59" s="3" t="str">
        <x:v>No-show</x:v>
      </x:c>
      <x:c r="I59" s="3" t="str">
        <x:v>Nurture</x:v>
      </x:c>
      <x:c r="J59" s="3" t="str">
        <x:v>5 - Nurture</x:v>
      </x:c>
      <x:c r="K59" s="7" t="n">
        <x:v>0</x:v>
      </x:c>
      <x:c r="L59" s="3" t="str">
        <x:v>Sin intención comercial documentada</x:v>
      </x:c>
      <x:c r="M59" s="3" t="str">
        <x:v>Se registró, sin asistencia identificada.</x:v>
      </x:c>
      <x:c r="N59" s="3" t="str"/>
      <x:c r="O59" s="3" t="str">
        <x:v>Revisar CRM (cliente, propuesta, oportunidad activa y owner) antes del contacto. Enviar grabación y medir respuesta.</x:v>
      </x:c>
      <x:c r="P59" s="3" t="str"/>
    </x:row>
    <x:row r="60" ht="60" customHeight="1">
      <x:c r="A60" s="3" t="str">
        <x:v>kklavers@ecoengineers.us</x:v>
      </x:c>
      <x:c r="B60" s="3" t="str">
        <x:v>Kristine</x:v>
      </x:c>
      <x:c r="C60" s="3" t="str">
        <x:v>Klavers</x:v>
      </x:c>
      <x:c r="D60" s="3" t="str">
        <x:v>EcoEngineers</x:v>
      </x:c>
      <x:c r="E60" s="3" t="str">
        <x:v>United States</x:v>
      </x:c>
      <x:c r="F60" s="3" t="str">
        <x:v>Fueling Conversations</x:v>
      </x:c>
      <x:c r="G60" s="6" t="d">
        <x:v>2026-10-16T12:00:00.000Z</x:v>
      </x:c>
      <x:c r="H60" s="3" t="str">
        <x:v>No-show</x:v>
      </x:c>
      <x:c r="I60" s="3" t="str">
        <x:v>Nurture</x:v>
      </x:c>
      <x:c r="J60" s="3" t="str">
        <x:v>5 - Nurture</x:v>
      </x:c>
      <x:c r="K60" s="7" t="n">
        <x:v>0</x:v>
      </x:c>
      <x:c r="L60" s="3" t="str">
        <x:v>Sin intención comercial documentada</x:v>
      </x:c>
      <x:c r="M60" s="3" t="str">
        <x:v>Se registró, sin asistencia identificada.</x:v>
      </x:c>
      <x:c r="N60" s="3" t="str">
        <x:v>Validar encaje comercial y posible proveedor/competidor antes de prospección.</x:v>
      </x:c>
      <x:c r="O60" s="3" t="str">
        <x:v>Revisar CRM (cliente, propuesta, oportunidad activa y owner) antes del contacto. Enviar grabación y medir respuesta.</x:v>
      </x:c>
      <x:c r="P60" s="3" t="str"/>
    </x:row>
    <x:row r="61" ht="60" customHeight="1">
      <x:c r="A61" s="3" t="str">
        <x:v>kalthoff@equinox8.com</x:v>
      </x:c>
      <x:c r="B61" s="3" t="str">
        <x:v>Kyle</x:v>
      </x:c>
      <x:c r="C61" s="3" t="str">
        <x:v>Althoff</x:v>
      </x:c>
      <x:c r="D61" s="3" t="str">
        <x:v>Equinox</x:v>
      </x:c>
      <x:c r="E61" s="3" t="str">
        <x:v>United States</x:v>
      </x:c>
      <x:c r="F61" s="3" t="str">
        <x:v>Fueling Conversations</x:v>
      </x:c>
      <x:c r="G61" s="6" t="d">
        <x:v>2026-10-16T12:00:00.000Z</x:v>
      </x:c>
      <x:c r="H61" s="3" t="str">
        <x:v>No-show</x:v>
      </x:c>
      <x:c r="I61" s="3" t="str">
        <x:v>Nurture</x:v>
      </x:c>
      <x:c r="J61" s="3" t="str">
        <x:v>5 - Nurture</x:v>
      </x:c>
      <x:c r="K61" s="7" t="n">
        <x:v>0</x:v>
      </x:c>
      <x:c r="L61" s="3" t="str">
        <x:v>Sin intención comercial documentada</x:v>
      </x:c>
      <x:c r="M61" s="3" t="str">
        <x:v>Se registró, sin asistencia identificada.</x:v>
      </x:c>
      <x:c r="N61" s="3" t="str"/>
      <x:c r="O61" s="3" t="str">
        <x:v>Revisar CRM (cliente, propuesta, oportunidad activa y owner) antes del contacto. Enviar grabación y medir respuesta.</x:v>
      </x:c>
      <x:c r="P61" s="3" t="str"/>
    </x:row>
    <x:row r="62" ht="60" customHeight="1">
      <x:c r="A62" s="3" t="str">
        <x:v>lnelson@kawarthaethanol.ca</x:v>
      </x:c>
      <x:c r="B62" s="3" t="str">
        <x:v>Laura</x:v>
      </x:c>
      <x:c r="C62" s="3" t="str">
        <x:v>Nelson</x:v>
      </x:c>
      <x:c r="D62" s="3" t="str">
        <x:v>Kawartha Ethanol Inc.</x:v>
      </x:c>
      <x:c r="E62" s="3" t="str">
        <x:v>Canada Ontario</x:v>
      </x:c>
      <x:c r="F62" s="3" t="str">
        <x:v>Fueling Conversations</x:v>
      </x:c>
      <x:c r="G62" s="6" t="d">
        <x:v>2026-10-16T12:00:00.000Z</x:v>
      </x:c>
      <x:c r="H62" s="3" t="str">
        <x:v>No-show</x:v>
      </x:c>
      <x:c r="I62" s="3" t="str">
        <x:v>Nurture</x:v>
      </x:c>
      <x:c r="J62" s="3" t="str">
        <x:v>5 - Nurture</x:v>
      </x:c>
      <x:c r="K62" s="7" t="n">
        <x:v>0</x:v>
      </x:c>
      <x:c r="L62" s="3" t="str">
        <x:v>Sin intención comercial documentada</x:v>
      </x:c>
      <x:c r="M62" s="3" t="str">
        <x:v>Se registró, sin asistencia identificada.</x:v>
      </x:c>
      <x:c r="N62" s="3" t="str"/>
      <x:c r="O62" s="3" t="str">
        <x:v>Revisar CRM (cliente, propuesta, oportunidad activa y owner) antes del contacto. Enviar grabación y medir respuesta.</x:v>
      </x:c>
      <x:c r="P62" s="3" t="str"/>
    </x:row>
    <x:row r="63" ht="60" customHeight="1">
      <x:c r="A63" s="3" t="str">
        <x:v>lnielsen@ecoengineers.us</x:v>
      </x:c>
      <x:c r="B63" s="3" t="str">
        <x:v>Lyndsey</x:v>
      </x:c>
      <x:c r="C63" s="3" t="str">
        <x:v>Nielsen</x:v>
      </x:c>
      <x:c r="D63" s="3" t="str">
        <x:v>EcoEngineers</x:v>
      </x:c>
      <x:c r="E63" s="3" t="str">
        <x:v>United States</x:v>
      </x:c>
      <x:c r="F63" s="3" t="str">
        <x:v>Fueling Conversations</x:v>
      </x:c>
      <x:c r="G63" s="6" t="d">
        <x:v>2026-10-16T12:00:00.000Z</x:v>
      </x:c>
      <x:c r="H63" s="3" t="str">
        <x:v>No-show</x:v>
      </x:c>
      <x:c r="I63" s="3" t="str">
        <x:v>Nurture</x:v>
      </x:c>
      <x:c r="J63" s="3" t="str">
        <x:v>5 - Nurture</x:v>
      </x:c>
      <x:c r="K63" s="7" t="n">
        <x:v>0</x:v>
      </x:c>
      <x:c r="L63" s="3" t="str">
        <x:v>Sin intención comercial documentada</x:v>
      </x:c>
      <x:c r="M63" s="3" t="str">
        <x:v>Se registró, sin asistencia identificada.</x:v>
      </x:c>
      <x:c r="N63" s="3" t="str">
        <x:v>Validar encaje comercial y posible proveedor/competidor antes de prospección.</x:v>
      </x:c>
      <x:c r="O63" s="3" t="str">
        <x:v>Revisar CRM (cliente, propuesta, oportunidad activa y owner) antes del contacto. Enviar grabación y medir respuesta.</x:v>
      </x:c>
      <x:c r="P63" s="3" t="str"/>
    </x:row>
    <x:row r="64" ht="60" customHeight="1">
      <x:c r="A64" s="3" t="str">
        <x:v>madelyn.evans@borregaard.com</x:v>
      </x:c>
      <x:c r="B64" s="3" t="str">
        <x:v>Madelyn</x:v>
      </x:c>
      <x:c r="C64" s="3" t="str">
        <x:v>Evans</x:v>
      </x:c>
      <x:c r="D64" s="3" t="str"/>
      <x:c r="E64" s="3" t="str"/>
      <x:c r="F64" s="3" t="str">
        <x:v>Fueling Conversations</x:v>
      </x:c>
      <x:c r="G64" s="6" t="d">
        <x:v>2026-10-16T12:00:00.000Z</x:v>
      </x:c>
      <x:c r="H64" s="3" t="str">
        <x:v>No-show</x:v>
      </x:c>
      <x:c r="I64" s="3" t="str">
        <x:v>Nurture</x:v>
      </x:c>
      <x:c r="J64" s="3" t="str">
        <x:v>5 - Nurture</x:v>
      </x:c>
      <x:c r="K64" s="7" t="n">
        <x:v>0</x:v>
      </x:c>
      <x:c r="L64" s="3" t="str">
        <x:v>Sin intención comercial documentada</x:v>
      </x:c>
      <x:c r="M64" s="3" t="str">
        <x:v>Se registró, sin asistencia identificada.</x:v>
      </x:c>
      <x:c r="N64" s="3" t="str"/>
      <x:c r="O64" s="3" t="str">
        <x:v>Revisar CRM (cliente, propuesta, oportunidad activa y owner) antes del contacto. Enviar grabación y medir respuesta.</x:v>
      </x:c>
      <x:c r="P64" s="3" t="str"/>
    </x:row>
    <x:row r="65" ht="60" customHeight="1">
      <x:c r="A65" s="3" t="str">
        <x:v>maricruz@iberiabioenergy.com</x:v>
      </x:c>
      <x:c r="B65" s="3" t="str">
        <x:v>Mari Cruz</x:v>
      </x:c>
      <x:c r="C65" s="3" t="str">
        <x:v>Ortega Teruel</x:v>
      </x:c>
      <x:c r="D65" s="3" t="str">
        <x:v>Iberia Bioenergy SLU</x:v>
      </x:c>
      <x:c r="E65" s="3" t="str">
        <x:v>Spain</x:v>
      </x:c>
      <x:c r="F65" s="3" t="str">
        <x:v>Fueling Conversations</x:v>
      </x:c>
      <x:c r="G65" s="6" t="d">
        <x:v>2026-10-16T12:00:00.000Z</x:v>
      </x:c>
      <x:c r="H65" s="3" t="str">
        <x:v>No-show</x:v>
      </x:c>
      <x:c r="I65" s="3" t="str">
        <x:v>Nurture</x:v>
      </x:c>
      <x:c r="J65" s="3" t="str">
        <x:v>5 - Nurture</x:v>
      </x:c>
      <x:c r="K65" s="7" t="n">
        <x:v>0</x:v>
      </x:c>
      <x:c r="L65" s="3" t="str">
        <x:v>Sin intención comercial documentada</x:v>
      </x:c>
      <x:c r="M65" s="3" t="str">
        <x:v>Se registró, sin asistencia identificada.</x:v>
      </x:c>
      <x:c r="N65" s="3" t="str"/>
      <x:c r="O65" s="3" t="str">
        <x:v>Revisar CRM (cliente, propuesta, oportunidad activa y owner) antes del contacto. Enviar grabación y medir respuesta.</x:v>
      </x:c>
      <x:c r="P65" s="3" t="str"/>
    </x:row>
    <x:row r="66" ht="60" customHeight="1">
      <x:c r="A66" s="3" t="str">
        <x:v>mcortabarriaraimundez@mail.utdt.edu</x:v>
      </x:c>
      <x:c r="B66" s="3" t="str">
        <x:v>Maria</x:v>
      </x:c>
      <x:c r="C66" s="3" t="str">
        <x:v>Cortabarria Raimundez</x:v>
      </x:c>
      <x:c r="D66" s="3" t="str"/>
      <x:c r="E66" s="3" t="str"/>
      <x:c r="F66" s="3" t="str">
        <x:v>Fueling Conversations</x:v>
      </x:c>
      <x:c r="G66" s="6" t="d">
        <x:v>2026-10-16T12:00:00.000Z</x:v>
      </x:c>
      <x:c r="H66" s="3" t="str">
        <x:v>No-show</x:v>
      </x:c>
      <x:c r="I66" s="3" t="str">
        <x:v>Nurture</x:v>
      </x:c>
      <x:c r="J66" s="3" t="str">
        <x:v>5 - Nurture</x:v>
      </x:c>
      <x:c r="K66" s="7" t="n">
        <x:v>0</x:v>
      </x:c>
      <x:c r="L66" s="3" t="str">
        <x:v>Sin intención comercial documentada</x:v>
      </x:c>
      <x:c r="M66" s="3" t="str">
        <x:v>Se registró, sin asistencia identificada.</x:v>
      </x:c>
      <x:c r="N66" s="3" t="str"/>
      <x:c r="O66" s="3" t="str">
        <x:v>Revisar CRM (cliente, propuesta, oportunidad activa y owner) antes del contacto. Enviar grabación y medir respuesta.</x:v>
      </x:c>
      <x:c r="P66" s="3" t="str"/>
    </x:row>
    <x:row r="67" ht="60" customHeight="1">
      <x:c r="A67" s="3" t="str">
        <x:v>mk@go2-markets.com</x:v>
      </x:c>
      <x:c r="B67" s="3" t="str">
        <x:v>Mat</x:v>
      </x:c>
      <x:c r="C67" s="3" t="str">
        <x:v>Kimani</x:v>
      </x:c>
      <x:c r="D67" s="3" t="str"/>
      <x:c r="E67" s="3" t="str"/>
      <x:c r="F67" s="3" t="str">
        <x:v>Fueling Conversations</x:v>
      </x:c>
      <x:c r="G67" s="6" t="d">
        <x:v>2026-10-16T12:00:00.000Z</x:v>
      </x:c>
      <x:c r="H67" s="3" t="str">
        <x:v>No-show</x:v>
      </x:c>
      <x:c r="I67" s="3" t="str">
        <x:v>Nurture</x:v>
      </x:c>
      <x:c r="J67" s="3" t="str">
        <x:v>5 - Nurture</x:v>
      </x:c>
      <x:c r="K67" s="7" t="n">
        <x:v>0</x:v>
      </x:c>
      <x:c r="L67" s="3" t="str">
        <x:v>Sin intención comercial documentada</x:v>
      </x:c>
      <x:c r="M67" s="3" t="str">
        <x:v>Se registró, sin asistencia identificada.</x:v>
      </x:c>
      <x:c r="N67" s="3" t="str"/>
      <x:c r="O67" s="3" t="str">
        <x:v>Revisar CRM (cliente, propuesta, oportunidad activa y owner) antes del contacto. Enviar grabación y medir respuesta.</x:v>
      </x:c>
      <x:c r="P67" s="3" t="str"/>
    </x:row>
    <x:row r="68" ht="60" customHeight="1">
      <x:c r="A68" s="3" t="str">
        <x:v>matt.leuck@neste.com</x:v>
      </x:c>
      <x:c r="B68" s="3" t="str">
        <x:v>Matt</x:v>
      </x:c>
      <x:c r="C68" s="3" t="str">
        <x:v>Leuck</x:v>
      </x:c>
      <x:c r="D68" s="3" t="str"/>
      <x:c r="E68" s="3" t="str"/>
      <x:c r="F68" s="3" t="str">
        <x:v>Fueling Conversations</x:v>
      </x:c>
      <x:c r="G68" s="6" t="d">
        <x:v>2026-10-16T12:00:00.000Z</x:v>
      </x:c>
      <x:c r="H68" s="3" t="str">
        <x:v>No-show</x:v>
      </x:c>
      <x:c r="I68" s="3" t="str">
        <x:v>Nurture</x:v>
      </x:c>
      <x:c r="J68" s="3" t="str">
        <x:v>5 - Nurture</x:v>
      </x:c>
      <x:c r="K68" s="7" t="n">
        <x:v>0</x:v>
      </x:c>
      <x:c r="L68" s="3" t="str">
        <x:v>Sin intención comercial documentada</x:v>
      </x:c>
      <x:c r="M68" s="3" t="str">
        <x:v>Se registró, sin asistencia identificada.</x:v>
      </x:c>
      <x:c r="N68" s="3" t="str"/>
      <x:c r="O68" s="3" t="str">
        <x:v>Revisar CRM (cliente, propuesta, oportunidad activa y owner) antes del contacto. Enviar grabación y medir respuesta.</x:v>
      </x:c>
      <x:c r="P68" s="3" t="str"/>
    </x:row>
    <x:row r="69" ht="60" customHeight="1">
      <x:c r="A69" s="3" t="str">
        <x:v>mmcbain@edeniq.com</x:v>
      </x:c>
      <x:c r="B69" s="3" t="str">
        <x:v>Matthew</x:v>
      </x:c>
      <x:c r="C69" s="3" t="str">
        <x:v>McBain</x:v>
      </x:c>
      <x:c r="D69" s="3" t="str">
        <x:v>Edeniq</x:v>
      </x:c>
      <x:c r="E69" s="3" t="str">
        <x:v>United States</x:v>
      </x:c>
      <x:c r="F69" s="3" t="str">
        <x:v>Fueling Conversations</x:v>
      </x:c>
      <x:c r="G69" s="6" t="d">
        <x:v>2026-10-16T12:00:00.000Z</x:v>
      </x:c>
      <x:c r="H69" s="3" t="str">
        <x:v>No-show</x:v>
      </x:c>
      <x:c r="I69" s="3" t="str">
        <x:v>Nurture</x:v>
      </x:c>
      <x:c r="J69" s="3" t="str">
        <x:v>5 - Nurture</x:v>
      </x:c>
      <x:c r="K69" s="7" t="n">
        <x:v>0</x:v>
      </x:c>
      <x:c r="L69" s="3" t="str">
        <x:v>Sin intención comercial documentada</x:v>
      </x:c>
      <x:c r="M69" s="3" t="str">
        <x:v>Se registró, sin asistencia identificada.</x:v>
      </x:c>
      <x:c r="N69" s="3" t="str"/>
      <x:c r="O69" s="3" t="str">
        <x:v>Revisar CRM (cliente, propuesta, oportunidad activa y owner) antes del contacto. Enviar grabación y medir respuesta.</x:v>
      </x:c>
      <x:c r="P69" s="3" t="str"/>
    </x:row>
    <x:row r="70" ht="60" customHeight="1">
      <x:c r="A70" s="3" t="str">
        <x:v>maxx@american-ethanol.com</x:v>
      </x:c>
      <x:c r="B70" s="3" t="str">
        <x:v>Maxx</x:v>
      </x:c>
      <x:c r="C70" s="3" t="str">
        <x:v>Lewinger</x:v>
      </x:c>
      <x:c r="D70" s="3" t="str"/>
      <x:c r="E70" s="3" t="str"/>
      <x:c r="F70" s="3" t="str">
        <x:v>Fueling Conversations</x:v>
      </x:c>
      <x:c r="G70" s="6" t="d">
        <x:v>2026-10-16T12:00:00.000Z</x:v>
      </x:c>
      <x:c r="H70" s="3" t="str">
        <x:v>No-show</x:v>
      </x:c>
      <x:c r="I70" s="3" t="str">
        <x:v>Nurture</x:v>
      </x:c>
      <x:c r="J70" s="3" t="str">
        <x:v>5 - Nurture</x:v>
      </x:c>
      <x:c r="K70" s="7" t="n">
        <x:v>0</x:v>
      </x:c>
      <x:c r="L70" s="3" t="str">
        <x:v>Sin intención comercial documentada</x:v>
      </x:c>
      <x:c r="M70" s="3" t="str">
        <x:v>Se registró, sin asistencia identificada.</x:v>
      </x:c>
      <x:c r="N70" s="3" t="str"/>
      <x:c r="O70" s="3" t="str">
        <x:v>Revisar CRM (cliente, propuesta, oportunidad activa y owner) antes del contacto. Enviar grabación y medir respuesta.</x:v>
      </x:c>
      <x:c r="P70" s="3" t="str"/>
    </x:row>
    <x:row r="71" ht="60" customHeight="1">
      <x:c r="A71" s="3" t="str">
        <x:v>meysam.mirarab@cemeng.ca</x:v>
      </x:c>
      <x:c r="B71" s="3" t="str">
        <x:v>Meysam</x:v>
      </x:c>
      <x:c r="C71" s="3" t="str">
        <x:v>Mirarab</x:v>
      </x:c>
      <x:c r="D71" s="3" t="str">
        <x:v>CEM Engineering</x:v>
      </x:c>
      <x:c r="E71" s="3" t="str">
        <x:v>Canada</x:v>
      </x:c>
      <x:c r="F71" s="3" t="str">
        <x:v>Fueling Conversations</x:v>
      </x:c>
      <x:c r="G71" s="6" t="d">
        <x:v>2026-10-16T12:00:00.000Z</x:v>
      </x:c>
      <x:c r="H71" s="3" t="str">
        <x:v>No-show</x:v>
      </x:c>
      <x:c r="I71" s="3" t="str">
        <x:v>Nurture</x:v>
      </x:c>
      <x:c r="J71" s="3" t="str">
        <x:v>5 - Nurture</x:v>
      </x:c>
      <x:c r="K71" s="7" t="n">
        <x:v>0</x:v>
      </x:c>
      <x:c r="L71" s="3" t="str">
        <x:v>Sin intención comercial documentada</x:v>
      </x:c>
      <x:c r="M71" s="3" t="str">
        <x:v>Se registró, sin asistencia identificada.</x:v>
      </x:c>
      <x:c r="N71" s="3" t="str"/>
      <x:c r="O71" s="3" t="str">
        <x:v>Revisar CRM (cliente, propuesta, oportunidad activa y owner) antes del contacto. Enviar grabación y medir respuesta.</x:v>
      </x:c>
      <x:c r="P71" s="3" t="str"/>
    </x:row>
    <x:row r="72" ht="60" customHeight="1">
      <x:c r="A72" s="3" t="str">
        <x:v>michal.przytakoski@53.com</x:v>
      </x:c>
      <x:c r="B72" s="3" t="str">
        <x:v>Mike</x:v>
      </x:c>
      <x:c r="C72" s="3" t="str">
        <x:v>Przytakoski</x:v>
      </x:c>
      <x:c r="D72" s="3" t="str">
        <x:v>5/3 Bank</x:v>
      </x:c>
      <x:c r="E72" s="3" t="str">
        <x:v>United States</x:v>
      </x:c>
      <x:c r="F72" s="3" t="str">
        <x:v>Fueling Conversations</x:v>
      </x:c>
      <x:c r="G72" s="6" t="d">
        <x:v>2026-10-16T12:00:00.000Z</x:v>
      </x:c>
      <x:c r="H72" s="3" t="str">
        <x:v>No-show</x:v>
      </x:c>
      <x:c r="I72" s="3" t="str">
        <x:v>Nurture</x:v>
      </x:c>
      <x:c r="J72" s="3" t="str">
        <x:v>5 - Nurture</x:v>
      </x:c>
      <x:c r="K72" s="7" t="n">
        <x:v>0</x:v>
      </x:c>
      <x:c r="L72" s="3" t="str">
        <x:v>Sin intención comercial documentada</x:v>
      </x:c>
      <x:c r="M72" s="3" t="str">
        <x:v>Se registró, sin asistencia identificada.</x:v>
      </x:c>
      <x:c r="N72" s="3" t="str"/>
      <x:c r="O72" s="3" t="str">
        <x:v>Revisar CRM (cliente, propuesta, oportunidad activa y owner) antes del contacto. Enviar grabación y medir respuesta.</x:v>
      </x:c>
      <x:c r="P72" s="3" t="str"/>
    </x:row>
    <x:row r="73" ht="60" customHeight="1">
      <x:c r="A73" s="3" t="str">
        <x:v>monikarajoria@gmail.com</x:v>
      </x:c>
      <x:c r="B73" s="3" t="str">
        <x:v>Monika</x:v>
      </x:c>
      <x:c r="C73" s="3" t="str">
        <x:v>Rajoria</x:v>
      </x:c>
      <x:c r="D73" s="3" t="str">
        <x:v>EA</x:v>
      </x:c>
      <x:c r="E73" s="3" t="str">
        <x:v>United Kingdom</x:v>
      </x:c>
      <x:c r="F73" s="3" t="str">
        <x:v>Fueling Conversations</x:v>
      </x:c>
      <x:c r="G73" s="6" t="d">
        <x:v>2026-10-16T12:00:00.000Z</x:v>
      </x:c>
      <x:c r="H73" s="3" t="str">
        <x:v>No-show</x:v>
      </x:c>
      <x:c r="I73" s="3" t="str">
        <x:v>Nurture</x:v>
      </x:c>
      <x:c r="J73" s="3" t="str">
        <x:v>5 - Nurture</x:v>
      </x:c>
      <x:c r="K73" s="7" t="n">
        <x:v>0</x:v>
      </x:c>
      <x:c r="L73" s="3" t="str">
        <x:v>Sin intención comercial documentada</x:v>
      </x:c>
      <x:c r="M73" s="3" t="str">
        <x:v>Se registró, sin asistencia identificada.</x:v>
      </x:c>
      <x:c r="N73" s="3" t="str"/>
      <x:c r="O73" s="3" t="str">
        <x:v>Revisar CRM (cliente, propuesta, oportunidad activa y owner) antes del contacto. Enviar grabación y medir respuesta.</x:v>
      </x:c>
      <x:c r="P73" s="3" t="str"/>
    </x:row>
    <x:row r="74" ht="60" customHeight="1">
      <x:c r="A74" s="3" t="str">
        <x:v>neha@capco2.solutions</x:v>
      </x:c>
      <x:c r="B74" s="3" t="str">
        <x:v>Neha</x:v>
      </x:c>
      <x:c r="C74" s="3" t="str">
        <x:v>G</x:v>
      </x:c>
      <x:c r="D74" s="3" t="str">
        <x:v>CapCO2 Solutions</x:v>
      </x:c>
      <x:c r="E74" s="3" t="str">
        <x:v>United States</x:v>
      </x:c>
      <x:c r="F74" s="3" t="str">
        <x:v>Fueling Conversations</x:v>
      </x:c>
      <x:c r="G74" s="6" t="d">
        <x:v>2026-10-16T12:00:00.000Z</x:v>
      </x:c>
      <x:c r="H74" s="3" t="str">
        <x:v>No-show</x:v>
      </x:c>
      <x:c r="I74" s="3" t="str">
        <x:v>Nurture</x:v>
      </x:c>
      <x:c r="J74" s="3" t="str">
        <x:v>5 - Nurture</x:v>
      </x:c>
      <x:c r="K74" s="7" t="n">
        <x:v>0</x:v>
      </x:c>
      <x:c r="L74" s="3" t="str">
        <x:v>Sin intención comercial documentada</x:v>
      </x:c>
      <x:c r="M74" s="3" t="str">
        <x:v>Se registró, sin asistencia identificada.</x:v>
      </x:c>
      <x:c r="N74" s="3" t="str"/>
      <x:c r="O74" s="3" t="str">
        <x:v>Revisar CRM (cliente, propuesta, oportunidad activa y owner) antes del contacto. Enviar grabación y medir respuesta.</x:v>
      </x:c>
      <x:c r="P74" s="3" t="str"/>
    </x:row>
    <x:row r="75" ht="60" customHeight="1">
      <x:c r="A75" s="3" t="str">
        <x:v>niveamar@petrobras.com.br</x:v>
      </x:c>
      <x:c r="B75" s="3" t="str">
        <x:v>Nivea</x:v>
      </x:c>
      <x:c r="C75" s="3" t="str">
        <x:v>Silva</x:v>
      </x:c>
      <x:c r="D75" s="3" t="str">
        <x:v>Petrobras</x:v>
      </x:c>
      <x:c r="E75" s="3" t="str">
        <x:v>Brasil</x:v>
      </x:c>
      <x:c r="F75" s="3" t="str">
        <x:v>Fueling Conversations</x:v>
      </x:c>
      <x:c r="G75" s="6" t="d">
        <x:v>2026-10-16T12:00:00.000Z</x:v>
      </x:c>
      <x:c r="H75" s="3" t="str">
        <x:v>No-show</x:v>
      </x:c>
      <x:c r="I75" s="3" t="str">
        <x:v>Nurture</x:v>
      </x:c>
      <x:c r="J75" s="3" t="str">
        <x:v>5 - Nurture</x:v>
      </x:c>
      <x:c r="K75" s="7" t="n">
        <x:v>0</x:v>
      </x:c>
      <x:c r="L75" s="3" t="str">
        <x:v>Sin intención comercial documentada</x:v>
      </x:c>
      <x:c r="M75" s="3" t="str">
        <x:v>Se registró, sin asistencia identificada.</x:v>
      </x:c>
      <x:c r="N75" s="3" t="str"/>
      <x:c r="O75" s="3" t="str">
        <x:v>Revisar CRM (cliente, propuesta, oportunidad activa y owner) antes del contacto. Enviar grabación y medir respuesta.</x:v>
      </x:c>
      <x:c r="P75" s="3" t="str"/>
    </x:row>
    <x:row r="76" ht="60" customHeight="1">
      <x:c r="A76" s="3" t="str">
        <x:v>patrick@bioledger.io</x:v>
      </x:c>
      <x:c r="B76" s="3" t="str">
        <x:v>Patrick</x:v>
      </x:c>
      <x:c r="C76" s="3" t="str">
        <x:v>Lynch</x:v>
      </x:c>
      <x:c r="D76" s="3" t="str"/>
      <x:c r="E76" s="3" t="str">
        <x:v>United Kingdom</x:v>
      </x:c>
      <x:c r="F76" s="3" t="str">
        <x:v>Fueling Conversations</x:v>
      </x:c>
      <x:c r="G76" s="6" t="d">
        <x:v>2026-10-16T12:00:00.000Z</x:v>
      </x:c>
      <x:c r="H76" s="3" t="str">
        <x:v>No-show</x:v>
      </x:c>
      <x:c r="I76" s="3" t="str">
        <x:v>Nurture</x:v>
      </x:c>
      <x:c r="J76" s="3" t="str">
        <x:v>5 - Nurture</x:v>
      </x:c>
      <x:c r="K76" s="7" t="n">
        <x:v>0</x:v>
      </x:c>
      <x:c r="L76" s="3" t="str">
        <x:v>Sin intención comercial documentada</x:v>
      </x:c>
      <x:c r="M76" s="3" t="str">
        <x:v>Se registró, sin asistencia identificada.</x:v>
      </x:c>
      <x:c r="N76" s="3" t="str"/>
      <x:c r="O76" s="3" t="str">
        <x:v>Revisar CRM (cliente, propuesta, oportunidad activa y owner) antes del contacto. Enviar grabación y medir respuesta.</x:v>
      </x:c>
      <x:c r="P76" s="3" t="str"/>
    </x:row>
    <x:row r="77" ht="60" customHeight="1">
      <x:c r="A77" s="3" t="str">
        <x:v>pauloesterreich@strategicbiofuels.com</x:v>
      </x:c>
      <x:c r="B77" s="3" t="str">
        <x:v>Paul</x:v>
      </x:c>
      <x:c r="C77" s="3" t="str">
        <x:v>Oesterreich</x:v>
      </x:c>
      <x:c r="D77" s="3" t="str">
        <x:v>Strategic Biofuels</x:v>
      </x:c>
      <x:c r="E77" s="3" t="str">
        <x:v>United States</x:v>
      </x:c>
      <x:c r="F77" s="3" t="str">
        <x:v>Fueling Conversations</x:v>
      </x:c>
      <x:c r="G77" s="6" t="d">
        <x:v>2026-10-16T12:00:00.000Z</x:v>
      </x:c>
      <x:c r="H77" s="3" t="str">
        <x:v>No-show</x:v>
      </x:c>
      <x:c r="I77" s="3" t="str">
        <x:v>Nurture</x:v>
      </x:c>
      <x:c r="J77" s="3" t="str">
        <x:v>5 - Nurture</x:v>
      </x:c>
      <x:c r="K77" s="7" t="n">
        <x:v>0</x:v>
      </x:c>
      <x:c r="L77" s="3" t="str">
        <x:v>Sin intención comercial documentada</x:v>
      </x:c>
      <x:c r="M77" s="3" t="str">
        <x:v>Se registró, sin asistencia identificada.</x:v>
      </x:c>
      <x:c r="N77" s="3" t="str"/>
      <x:c r="O77" s="3" t="str">
        <x:v>Revisar CRM (cliente, propuesta, oportunidad activa y owner) antes del contacto. Enviar grabación y medir respuesta.</x:v>
      </x:c>
      <x:c r="P77" s="3" t="str"/>
    </x:row>
    <x:row r="78" ht="60" customHeight="1">
      <x:c r="A78" s="3" t="str">
        <x:v>peter@safdesk.ca</x:v>
      </x:c>
      <x:c r="B78" s="3" t="str">
        <x:v>Peter</x:v>
      </x:c>
      <x:c r="C78" s="3" t="str">
        <x:v>Ronn</x:v>
      </x:c>
      <x:c r="D78" s="3" t="str">
        <x:v>Safdesk Ltd.</x:v>
      </x:c>
      <x:c r="E78" s="3" t="str">
        <x:v>Canada</x:v>
      </x:c>
      <x:c r="F78" s="3" t="str">
        <x:v>Fueling Conversations</x:v>
      </x:c>
      <x:c r="G78" s="6" t="d">
        <x:v>2026-10-16T12:00:00.000Z</x:v>
      </x:c>
      <x:c r="H78" s="3" t="str">
        <x:v>No-show</x:v>
      </x:c>
      <x:c r="I78" s="3" t="str">
        <x:v>Nurture</x:v>
      </x:c>
      <x:c r="J78" s="3" t="str">
        <x:v>5 - Nurture</x:v>
      </x:c>
      <x:c r="K78" s="7" t="n">
        <x:v>0</x:v>
      </x:c>
      <x:c r="L78" s="3" t="str">
        <x:v>Sin intención comercial documentada</x:v>
      </x:c>
      <x:c r="M78" s="3" t="str">
        <x:v>Se registró, sin asistencia identificada.</x:v>
      </x:c>
      <x:c r="N78" s="3" t="str"/>
      <x:c r="O78" s="3" t="str">
        <x:v>Revisar CRM (cliente, propuesta, oportunidad activa y owner) antes del contacto. Enviar grabación y medir respuesta.</x:v>
      </x:c>
      <x:c r="P78" s="3" t="str"/>
    </x:row>
    <x:row r="79" ht="60" customHeight="1">
      <x:c r="A79" s="3" t="str">
        <x:v>rnicholson@bioveritas.com</x:v>
      </x:c>
      <x:c r="B79" s="3" t="str">
        <x:v>Ruby</x:v>
      </x:c>
      <x:c r="C79" s="3" t="str">
        <x:v>Nicholson</x:v>
      </x:c>
      <x:c r="D79" s="3" t="str">
        <x:v>BioVeritas</x:v>
      </x:c>
      <x:c r="E79" s="3" t="str">
        <x:v>United States</x:v>
      </x:c>
      <x:c r="F79" s="3" t="str">
        <x:v>Fueling Conversations</x:v>
      </x:c>
      <x:c r="G79" s="6" t="d">
        <x:v>2026-10-16T12:00:00.000Z</x:v>
      </x:c>
      <x:c r="H79" s="3" t="str">
        <x:v>No-show</x:v>
      </x:c>
      <x:c r="I79" s="3" t="str">
        <x:v>Nurture</x:v>
      </x:c>
      <x:c r="J79" s="3" t="str">
        <x:v>5 - Nurture</x:v>
      </x:c>
      <x:c r="K79" s="7" t="n">
        <x:v>0</x:v>
      </x:c>
      <x:c r="L79" s="3" t="str">
        <x:v>Sin intención comercial documentada</x:v>
      </x:c>
      <x:c r="M79" s="3" t="str">
        <x:v>Se registró, sin asistencia identificada.</x:v>
      </x:c>
      <x:c r="N79" s="3" t="str"/>
      <x:c r="O79" s="3" t="str">
        <x:v>Revisar CRM (cliente, propuesta, oportunidad activa y owner) antes del contacto. Enviar grabación y medir respuesta.</x:v>
      </x:c>
      <x:c r="P79" s="3" t="str"/>
    </x:row>
    <x:row r="80" ht="60" customHeight="1">
      <x:c r="A80" s="3" t="str">
        <x:v>sally@capco2.solutions</x:v>
      </x:c>
      <x:c r="B80" s="3" t="str">
        <x:v>Sally</x:v>
      </x:c>
      <x:c r="C80" s="3" t="str">
        <x:v>Hart</x:v>
      </x:c>
      <x:c r="D80" s="3" t="str">
        <x:v>CapCO2 Solutions</x:v>
      </x:c>
      <x:c r="E80" s="3" t="str">
        <x:v>United States</x:v>
      </x:c>
      <x:c r="F80" s="3" t="str">
        <x:v>Fueling Conversations</x:v>
      </x:c>
      <x:c r="G80" s="6" t="d">
        <x:v>2026-10-16T12:00:00.000Z</x:v>
      </x:c>
      <x:c r="H80" s="3" t="str">
        <x:v>No-show</x:v>
      </x:c>
      <x:c r="I80" s="3" t="str">
        <x:v>Nurture</x:v>
      </x:c>
      <x:c r="J80" s="3" t="str">
        <x:v>5 - Nurture</x:v>
      </x:c>
      <x:c r="K80" s="7" t="n">
        <x:v>0</x:v>
      </x:c>
      <x:c r="L80" s="3" t="str">
        <x:v>Sin intención comercial documentada</x:v>
      </x:c>
      <x:c r="M80" s="3" t="str">
        <x:v>Se registró, sin asistencia identificada.</x:v>
      </x:c>
      <x:c r="N80" s="3" t="str"/>
      <x:c r="O80" s="3" t="str">
        <x:v>Revisar CRM (cliente, propuesta, oportunidad activa y owner) antes del contacto. Enviar grabación y medir respuesta.</x:v>
      </x:c>
      <x:c r="P80" s="3" t="str"/>
    </x:row>
    <x:row r="81" ht="60" customHeight="1">
      <x:c r="A81" s="3" t="str">
        <x:v>samyak.pandey@spglobal.com</x:v>
      </x:c>
      <x:c r="B81" s="3" t="str">
        <x:v>Samyak</x:v>
      </x:c>
      <x:c r="C81" s="3" t="str">
        <x:v>Pandey</x:v>
      </x:c>
      <x:c r="D81" s="3" t="str">
        <x:v>S&amp;P Global</x:v>
      </x:c>
      <x:c r="E81" s="3" t="str">
        <x:v>India</x:v>
      </x:c>
      <x:c r="F81" s="3" t="str">
        <x:v>Fueling Conversations</x:v>
      </x:c>
      <x:c r="G81" s="6" t="d">
        <x:v>2026-10-16T12:00:00.000Z</x:v>
      </x:c>
      <x:c r="H81" s="3" t="str">
        <x:v>No-show</x:v>
      </x:c>
      <x:c r="I81" s="3" t="str">
        <x:v>Nurture</x:v>
      </x:c>
      <x:c r="J81" s="3" t="str">
        <x:v>5 - Nurture</x:v>
      </x:c>
      <x:c r="K81" s="7" t="n">
        <x:v>0</x:v>
      </x:c>
      <x:c r="L81" s="3" t="str">
        <x:v>Sin intención comercial documentada</x:v>
      </x:c>
      <x:c r="M81" s="3" t="str">
        <x:v>Se registró, sin asistencia identificada.</x:v>
      </x:c>
      <x:c r="N81" s="3" t="str"/>
      <x:c r="O81" s="3" t="str">
        <x:v>Revisar CRM (cliente, propuesta, oportunidad activa y owner) antes del contacto. Enviar grabación y medir respuesta.</x:v>
      </x:c>
      <x:c r="P81" s="3" t="str"/>
    </x:row>
    <x:row r="82" ht="60" customHeight="1">
      <x:c r="A82" s="3" t="str">
        <x:v>steve@sdcenerserve.com</x:v>
      </x:c>
      <x:c r="B82" s="3" t="str">
        <x:v>steve</x:v>
      </x:c>
      <x:c r="C82" s="3" t="str">
        <x:v>dorcheus</x:v>
      </x:c>
      <x:c r="D82" s="3" t="str">
        <x:v>SDC Enerserve</x:v>
      </x:c>
      <x:c r="E82" s="3" t="str">
        <x:v>United States</x:v>
      </x:c>
      <x:c r="F82" s="3" t="str">
        <x:v>Fueling Conversations</x:v>
      </x:c>
      <x:c r="G82" s="6" t="d">
        <x:v>2026-10-16T12:00:00.000Z</x:v>
      </x:c>
      <x:c r="H82" s="3" t="str">
        <x:v>No-show</x:v>
      </x:c>
      <x:c r="I82" s="3" t="str">
        <x:v>Nurture</x:v>
      </x:c>
      <x:c r="J82" s="3" t="str">
        <x:v>5 - Nurture</x:v>
      </x:c>
      <x:c r="K82" s="7" t="n">
        <x:v>0</x:v>
      </x:c>
      <x:c r="L82" s="3" t="str">
        <x:v>Sin intención comercial documentada</x:v>
      </x:c>
      <x:c r="M82" s="3" t="str">
        <x:v>Se registró, sin asistencia identificada.</x:v>
      </x:c>
      <x:c r="N82" s="3" t="str"/>
      <x:c r="O82" s="3" t="str">
        <x:v>Revisar CRM (cliente, propuesta, oportunidad activa y owner) antes del contacto. Enviar grabación y medir respuesta.</x:v>
      </x:c>
      <x:c r="P82" s="3" t="str"/>
    </x:row>
    <x:row r="83" ht="60" customHeight="1">
      <x:c r="A83" s="3" t="str">
        <x:v>tjrashaud@xemplarcarbon.com</x:v>
      </x:c>
      <x:c r="B83" s="3" t="str">
        <x:v>Tarique</x:v>
      </x:c>
      <x:c r="C83" s="3" t="str">
        <x:v>Rashaud</x:v>
      </x:c>
      <x:c r="D83" s="3" t="str">
        <x:v>Xemplar Carbon &amp; Capital LLC</x:v>
      </x:c>
      <x:c r="E83" s="3" t="str">
        <x:v>United States</x:v>
      </x:c>
      <x:c r="F83" s="3" t="str">
        <x:v>Fueling Conversations</x:v>
      </x:c>
      <x:c r="G83" s="6" t="d">
        <x:v>2026-10-16T12:00:00.000Z</x:v>
      </x:c>
      <x:c r="H83" s="3" t="str">
        <x:v>No-show</x:v>
      </x:c>
      <x:c r="I83" s="3" t="str">
        <x:v>Nurture</x:v>
      </x:c>
      <x:c r="J83" s="3" t="str">
        <x:v>5 - Nurture</x:v>
      </x:c>
      <x:c r="K83" s="7" t="n">
        <x:v>0</x:v>
      </x:c>
      <x:c r="L83" s="3" t="str">
        <x:v>Sin intención comercial documentada</x:v>
      </x:c>
      <x:c r="M83" s="3" t="str">
        <x:v>Se registró, sin asistencia identificada.</x:v>
      </x:c>
      <x:c r="N83" s="3" t="str"/>
      <x:c r="O83" s="3" t="str">
        <x:v>Revisar CRM (cliente, propuesta, oportunidad activa y owner) antes del contacto. Enviar grabación y medir respuesta.</x:v>
      </x:c>
      <x:c r="P83" s="3" t="str"/>
    </x:row>
    <x:row r="84" ht="60" customHeight="1">
      <x:c r="A84" s="3" t="str">
        <x:v>togaranko@octocoinc.com</x:v>
      </x:c>
      <x:c r="B84" s="3" t="str">
        <x:v>Thomas</x:v>
      </x:c>
      <x:c r="C84" s="3" t="str">
        <x:v>Ogaranko</x:v>
      </x:c>
      <x:c r="D84" s="3" t="str">
        <x:v>Octoco Inc.</x:v>
      </x:c>
      <x:c r="E84" s="3" t="str">
        <x:v>Canada</x:v>
      </x:c>
      <x:c r="F84" s="3" t="str">
        <x:v>Fueling Conversations</x:v>
      </x:c>
      <x:c r="G84" s="6" t="d">
        <x:v>2026-10-16T12:00:00.000Z</x:v>
      </x:c>
      <x:c r="H84" s="3" t="str">
        <x:v>No-show</x:v>
      </x:c>
      <x:c r="I84" s="3" t="str">
        <x:v>Nurture</x:v>
      </x:c>
      <x:c r="J84" s="3" t="str">
        <x:v>5 - Nurture</x:v>
      </x:c>
      <x:c r="K84" s="7" t="n">
        <x:v>0</x:v>
      </x:c>
      <x:c r="L84" s="3" t="str">
        <x:v>Sin intención comercial documentada</x:v>
      </x:c>
      <x:c r="M84" s="3" t="str">
        <x:v>Se registró, sin asistencia identificada.</x:v>
      </x:c>
      <x:c r="N84" s="3" t="str"/>
      <x:c r="O84" s="3" t="str">
        <x:v>Revisar CRM (cliente, propuesta, oportunidad activa y owner) antes del contacto. Enviar grabación y medir respuesta.</x:v>
      </x:c>
      <x:c r="P84" s="3" t="str"/>
    </x:row>
    <x:row r="85" ht="60" customHeight="1">
      <x:c r="A85" s="3" t="str">
        <x:v>tori_brooks@treeimprovement.org</x:v>
      </x:c>
      <x:c r="B85" s="3" t="str">
        <x:v>Tori</x:v>
      </x:c>
      <x:c r="C85" s="3" t="str">
        <x:v>Brooks</x:v>
      </x:c>
      <x:c r="D85" s="3" t="str">
        <x:v>NCSU Tree Improvement Program</x:v>
      </x:c>
      <x:c r="E85" s="3" t="str">
        <x:v>United States</x:v>
      </x:c>
      <x:c r="F85" s="3" t="str">
        <x:v>Fueling Conversations</x:v>
      </x:c>
      <x:c r="G85" s="6" t="d">
        <x:v>2026-10-16T12:00:00.000Z</x:v>
      </x:c>
      <x:c r="H85" s="3" t="str">
        <x:v>No-show</x:v>
      </x:c>
      <x:c r="I85" s="3" t="str">
        <x:v>Nurture</x:v>
      </x:c>
      <x:c r="J85" s="3" t="str">
        <x:v>5 - Nurture</x:v>
      </x:c>
      <x:c r="K85" s="7" t="n">
        <x:v>0</x:v>
      </x:c>
      <x:c r="L85" s="3" t="str">
        <x:v>Sin intención comercial documentada</x:v>
      </x:c>
      <x:c r="M85" s="3" t="str">
        <x:v>Se registró, sin asistencia identificada.</x:v>
      </x:c>
      <x:c r="N85" s="3" t="str"/>
      <x:c r="O85" s="3" t="str">
        <x:v>Revisar CRM (cliente, propuesta, oportunidad activa y owner) antes del contacto. Enviar grabación y medir respuesta.</x:v>
      </x:c>
      <x:c r="P85" s="3" t="str"/>
    </x:row>
    <x:row r="86" ht="60" customHeight="1">
      <x:c r="A86" s="3" t="str">
        <x:v>tracydwilson@besheanwe.com</x:v>
      </x:c>
      <x:c r="B86" s="3" t="str">
        <x:v>Tracy D</x:v>
      </x:c>
      <x:c r="C86" s="3" t="str">
        <x:v>Wilson</x:v>
      </x:c>
      <x:c r="D86" s="3" t="str">
        <x:v>Nuecofab</x:v>
      </x:c>
      <x:c r="E86" s="3" t="str">
        <x:v>United States</x:v>
      </x:c>
      <x:c r="F86" s="3" t="str">
        <x:v>Fueling Conversations</x:v>
      </x:c>
      <x:c r="G86" s="6" t="d">
        <x:v>2026-10-16T12:00:00.000Z</x:v>
      </x:c>
      <x:c r="H86" s="3" t="str">
        <x:v>No-show</x:v>
      </x:c>
      <x:c r="I86" s="3" t="str">
        <x:v>Nurture</x:v>
      </x:c>
      <x:c r="J86" s="3" t="str">
        <x:v>5 - Nurture</x:v>
      </x:c>
      <x:c r="K86" s="7" t="n">
        <x:v>0</x:v>
      </x:c>
      <x:c r="L86" s="3" t="str">
        <x:v>Sin intención comercial documentada</x:v>
      </x:c>
      <x:c r="M86" s="3" t="str">
        <x:v>Se registró, sin asistencia identificada.</x:v>
      </x:c>
      <x:c r="N86" s="3" t="str"/>
      <x:c r="O86" s="3" t="str">
        <x:v>Revisar CRM (cliente, propuesta, oportunidad activa y owner) antes del contacto. Enviar grabación y medir respuesta.</x:v>
      </x:c>
      <x:c r="P86" s="3" t="str"/>
    </x:row>
    <x:row r="87" ht="60" customHeight="1">
      <x:c r="A87" s="3" t="str">
        <x:v>virginia@blueridgebiofuels.com</x:v>
      </x:c>
      <x:c r="B87" s="3" t="str">
        <x:v>Virginia</x:v>
      </x:c>
      <x:c r="C87" s="3" t="str">
        <x:v>Bennett</x:v>
      </x:c>
      <x:c r="D87" s="3" t="str">
        <x:v>Lifecycle Renewables</x:v>
      </x:c>
      <x:c r="E87" s="3" t="str">
        <x:v>United States</x:v>
      </x:c>
      <x:c r="F87" s="3" t="str">
        <x:v>Fueling Conversations</x:v>
      </x:c>
      <x:c r="G87" s="6" t="d">
        <x:v>2026-10-16T12:00:00.000Z</x:v>
      </x:c>
      <x:c r="H87" s="3" t="str">
        <x:v>No-show</x:v>
      </x:c>
      <x:c r="I87" s="3" t="str">
        <x:v>Nurture</x:v>
      </x:c>
      <x:c r="J87" s="3" t="str">
        <x:v>5 - Nurture</x:v>
      </x:c>
      <x:c r="K87" s="7" t="n">
        <x:v>0</x:v>
      </x:c>
      <x:c r="L87" s="3" t="str">
        <x:v>Sin intención comercial documentada</x:v>
      </x:c>
      <x:c r="M87" s="3" t="str">
        <x:v>Se registró, sin asistencia identificada.</x:v>
      </x:c>
      <x:c r="N87" s="3" t="str"/>
      <x:c r="O87" s="3" t="str">
        <x:v>Revisar CRM (cliente, propuesta, oportunidad activa y owner) antes del contacto. Enviar grabación y medir respuesta.</x:v>
      </x:c>
      <x:c r="P87" s="3" t="str"/>
    </x:row>
  </x:sheetData>
  <x:conditionalFormatting sqref="I2:I87">
    <x:cfRule type="containsText" dxfId="1" priority="1" operator="containsText" text="Hot potencial"/>
  </x:conditionalFormatting>
  <x:pageMargins left="0.7" right="0.7" top="0.75" bottom="0.75" header="0.3" footer="0.3"/>
  <x:tableParts count="1">
    <x:tablePart xmlns:r="http://schemas.openxmlformats.org/officeDocument/2006/relationships" r:id="R0cf23c4e91f641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9" hidden="0" customWidth="1"/>
    <x:col min="3" max="3" width="22" hidden="0" customWidth="1"/>
    <x:col min="4" max="4" width="22" hidden="0" customWidth="1"/>
    <x:col min="5" max="5" width="22" hidden="0" customWidth="1"/>
    <x:col min="6" max="6" width="51" hidden="0" customWidth="1"/>
  </x:cols>
  <x:sheetData>
    <x:row r="1" ht="40" customHeight="1">
      <x:c r="A1" s="5" t="str">
        <x:v>Email</x:v>
      </x:c>
      <x:c r="B1" s="5" t="str">
        <x:v>Nombre</x:v>
      </x:c>
      <x:c r="C1" s="5" t="str">
        <x:v>Motivo</x:v>
      </x:c>
      <x:c r="D1" s="5" t="str">
        <x:v>Registrado</x:v>
      </x:c>
      <x:c r="E1" s="5" t="str">
        <x:v>Asistió</x:v>
      </x:c>
      <x:c r="F1" s="5" t="str">
        <x:v>Aliases</x:v>
      </x:c>
    </x:row>
    <x:row r="2" ht="45" customHeight="1">
      <x:c r="A2" s="3" t="str">
        <x:v>gvallori@controlunion.com</x:v>
      </x:c>
      <x:c r="B2" s="3" t="str">
        <x:v>Geronimo Vallori</x:v>
      </x:c>
      <x:c r="C2" s="3" t="str">
        <x:v>Interno</x:v>
      </x:c>
      <x:c r="D2" s="3" t="str">
        <x:v>Sí</x:v>
      </x:c>
      <x:c r="E2" s="3" t="str">
        <x:v>No</x:v>
      </x:c>
      <x:c r="F2" s="3" t="str"/>
    </x:row>
    <x:row r="3" ht="45" customHeight="1">
      <x:c r="A3" s="3" t="str">
        <x:v>jgebbie@controlunion.com</x:v>
      </x:c>
      <x:c r="B3" s="3" t="str">
        <x:v>Juan Gebbie</x:v>
      </x:c>
      <x:c r="C3" s="3" t="str">
        <x:v>Interno</x:v>
      </x:c>
      <x:c r="D3" s="3" t="str">
        <x:v>Sí</x:v>
      </x:c>
      <x:c r="E3" s="3" t="str">
        <x:v>No</x:v>
      </x:c>
      <x:c r="F3" s="3" t="str"/>
    </x:row>
    <x:row r="4" ht="45" customHeight="1">
      <x:c r="A4" s="3" t="str">
        <x:v>vcolombo@controlunion.com</x:v>
      </x:c>
      <x:c r="B4" s="3" t="str">
        <x:v>victoria colombo</x:v>
      </x:c>
      <x:c r="C4" s="3" t="str">
        <x:v>Interno</x:v>
      </x:c>
      <x:c r="D4" s="3" t="str">
        <x:v>Sí</x:v>
      </x:c>
      <x:c r="E4" s="3" t="str">
        <x:v>Sí</x:v>
      </x:c>
      <x:c r="F4" s="3" t="str">
        <x:v>vcolombo@pcugroup.com</x:v>
      </x:c>
    </x:row>
    <x:row r="5" ht="45" customHeight="1">
      <x:c r="A5" s="3" t="str">
        <x:v>fmarty@onepeterson.com</x:v>
      </x:c>
      <x:c r="B5" s="3" t="str">
        <x:v>Federika Marty</x:v>
      </x:c>
      <x:c r="C5" s="3" t="str">
        <x:v>Interno</x:v>
      </x:c>
      <x:c r="D5" s="3" t="str">
        <x:v>Sí</x:v>
      </x:c>
      <x:c r="E5" s="3" t="str">
        <x:v>No</x:v>
      </x:c>
      <x:c r="F5" s="3" t="str"/>
    </x:row>
    <x:row r="6" ht="45" customHeight="1">
      <x:c r="A6" s="3" t="str">
        <x:v>vpagan@onepeterson.com</x:v>
      </x:c>
      <x:c r="B6" s="3" t="str">
        <x:v>viviana Pagan</x:v>
      </x:c>
      <x:c r="C6" s="3" t="str">
        <x:v>Interno</x:v>
      </x:c>
      <x:c r="D6" s="3" t="str">
        <x:v>Sí</x:v>
      </x:c>
      <x:c r="E6" s="3" t="str">
        <x:v>No</x:v>
      </x:c>
      <x:c r="F6" s="3" t="str"/>
    </x:row>
    <x:row r="7" ht="45" customHeight="1">
      <x:c r="A7" s="3" t="str">
        <x:v>amartinezg@controlunion.com</x:v>
      </x:c>
      <x:c r="B7" s="3" t="str">
        <x:v>Andrés Martínez Garcia</x:v>
      </x:c>
      <x:c r="C7" s="3" t="str">
        <x:v>Interno</x:v>
      </x:c>
      <x:c r="D7" s="3" t="str">
        <x:v>Sí</x:v>
      </x:c>
      <x:c r="E7" s="3" t="str">
        <x:v>No</x:v>
      </x:c>
      <x:c r="F7" s="3" t="str"/>
    </x:row>
    <x:row r="8" ht="45" customHeight="1">
      <x:c r="A8" s="3" t="str">
        <x:v>smorrone@controlunion.com</x:v>
      </x:c>
      <x:c r="B8" s="3" t="str">
        <x:v>Sebastian Morrone</x:v>
      </x:c>
      <x:c r="C8" s="3" t="str">
        <x:v>Interno</x:v>
      </x:c>
      <x:c r="D8" s="3" t="str">
        <x:v>Sí</x:v>
      </x:c>
      <x:c r="E8" s="3" t="str">
        <x:v>Sí</x:v>
      </x:c>
      <x:c r="F8" s="3" t="str">
        <x:v>smorrone@pcugroup.com</x:v>
      </x:c>
    </x:row>
    <x:row r="9" ht="45" customHeight="1">
      <x:c r="A9" s="3" t="str">
        <x:v>ibenavides@controlunion.com</x:v>
      </x:c>
      <x:c r="B9" s="3" t="str">
        <x:v>Ignacio Benavides</x:v>
      </x:c>
      <x:c r="C9" s="3" t="str">
        <x:v>Interno</x:v>
      </x:c>
      <x:c r="D9" s="3" t="str">
        <x:v>Sí</x:v>
      </x:c>
      <x:c r="E9" s="3" t="str">
        <x:v>Sí</x:v>
      </x:c>
      <x:c r="F9" s="3" t="str">
        <x:v>ibenavides@pcugroup.com</x:v>
      </x:c>
    </x:row>
    <x:row r="10" ht="45" customHeight="1">
      <x:c r="A10" s="3" t="str">
        <x:v>crainero@controlunion.com</x:v>
      </x:c>
      <x:c r="B10" s="3" t="str">
        <x:v>Carlos Rainero</x:v>
      </x:c>
      <x:c r="C10" s="3" t="str">
        <x:v>Interno</x:v>
      </x:c>
      <x:c r="D10" s="3" t="str">
        <x:v>Sí</x:v>
      </x:c>
      <x:c r="E10" s="3" t="str">
        <x:v>Sí</x:v>
      </x:c>
      <x:c r="F10" s="3" t="str">
        <x:v>crainero@pcugroup.com</x:v>
      </x:c>
    </x:row>
    <x:row r="11" ht="45" customHeight="1">
      <x:c r="A11" s="3" t="str">
        <x:v>ifalcone@controlunion.com</x:v>
      </x:c>
      <x:c r="B11" s="3" t="str">
        <x:v>Ignacio Falcone</x:v>
      </x:c>
      <x:c r="C11" s="3" t="str">
        <x:v>Interno</x:v>
      </x:c>
      <x:c r="D11" s="3" t="str">
        <x:v>Sí</x:v>
      </x:c>
      <x:c r="E11" s="3" t="str">
        <x:v>Sí</x:v>
      </x:c>
      <x:c r="F11" s="3" t="str">
        <x:v>ifalcone@pcugroup.com</x:v>
      </x:c>
    </x:row>
    <x:row r="12" ht="45" customHeight="1">
      <x:c r="A12" s="3" t="str">
        <x:v>gviale@controlunion.com</x:v>
      </x:c>
      <x:c r="B12" s="3" t="str">
        <x:v>Gonzalo Viale</x:v>
      </x:c>
      <x:c r="C12" s="3" t="str">
        <x:v>Interno</x:v>
      </x:c>
      <x:c r="D12" s="3" t="str">
        <x:v>Sí</x:v>
      </x:c>
      <x:c r="E12" s="3" t="str">
        <x:v>Sí</x:v>
      </x:c>
      <x:c r="F12" s="3" t="str">
        <x:v>gviale@pcugroup.com</x:v>
      </x:c>
    </x:row>
    <x:row r="13" ht="45" customHeight="1">
      <x:c r="A13" s="3" t="str">
        <x:v>fmorresi@controlunion.com</x:v>
      </x:c>
      <x:c r="B13" s="3" t="str">
        <x:v>Fausto Morresi</x:v>
      </x:c>
      <x:c r="C13" s="3" t="str">
        <x:v>Interno</x:v>
      </x:c>
      <x:c r="D13" s="3" t="str">
        <x:v>Sí</x:v>
      </x:c>
      <x:c r="E13" s="3" t="str">
        <x:v>Sí</x:v>
      </x:c>
      <x:c r="F13" s="3" t="str">
        <x:v>fmorresi@pcugroup.com</x:v>
      </x:c>
    </x:row>
    <x:row r="14" ht="45" customHeight="1">
      <x:c r="A14" s="3" t="str">
        <x:v>fuslenghi@controlunion.com</x:v>
      </x:c>
      <x:c r="B14" s="3" t="str">
        <x:v>Fernando Rodriguez Uslenghi</x:v>
      </x:c>
      <x:c r="C14" s="3" t="str">
        <x:v>Interno</x:v>
      </x:c>
      <x:c r="D14" s="3" t="str">
        <x:v>Sí</x:v>
      </x:c>
      <x:c r="E14" s="3" t="str">
        <x:v>Sí</x:v>
      </x:c>
      <x:c r="F14" s="3" t="str">
        <x:v>fuslenghi@contrlunion.com; fuslenghi@pcugroup.com</x:v>
      </x:c>
    </x:row>
    <x:row r="15" ht="45" customHeight="1">
      <x:c r="A15" s="3" t="str">
        <x:v>fcapoulat@controlunion.com</x:v>
      </x:c>
      <x:c r="B15" s="3" t="str">
        <x:v>Francisco Capoulat</x:v>
      </x:c>
      <x:c r="C15" s="3" t="str">
        <x:v>Interno</x:v>
      </x:c>
      <x:c r="D15" s="3" t="str">
        <x:v>No</x:v>
      </x:c>
      <x:c r="E15" s="3" t="str">
        <x:v>Sí</x:v>
      </x:c>
      <x:c r="F15" s="3" t="str">
        <x:v>fcapoulat@pcugroup.com</x:v>
      </x:c>
    </x:row>
    <x:row r="16" ht="45" customHeight="1">
      <x:c r="A16" s="3" t="str">
        <x:v>belenlacroze@onepeterson.com</x:v>
      </x:c>
      <x:c r="B16" s="3" t="str">
        <x:v>Belen Lacroze</x:v>
      </x:c>
      <x:c r="C16" s="3" t="str">
        <x:v>Interno</x:v>
      </x:c>
      <x:c r="D16" s="3" t="str">
        <x:v>No</x:v>
      </x:c>
      <x:c r="E16" s="3" t="str">
        <x:v>Sí</x:v>
      </x:c>
      <x:c r="F16" s="3" t="str">
        <x:v>belenlacroze@pcugroup.com</x:v>
      </x:c>
    </x:row>
    <x:row r="17" ht="45" customHeight="1">
      <x:c r="A17" s="3" t="str">
        <x:v>robin@lcfcoalition.com</x:v>
      </x:c>
      <x:c r="B17" s="3" t="str">
        <x:v>Robin Vercruse (LCFC) (No comprobado)</x:v>
      </x:c>
      <x:c r="C17" s="3" t="str">
        <x:v>Speaker</x:v>
      </x:c>
      <x:c r="D17" s="3" t="str">
        <x:v>No</x:v>
      </x:c>
      <x:c r="E17" s="3" t="str">
        <x:v>Sí</x:v>
      </x:c>
      <x:c r="F17" s="3" t="str"/>
    </x:row>
    <x:row r="18" ht="45" customHeight="1">
      <x:c r="A18" s="3" t="str">
        <x:v>dlindenmuth@calbioenergy.com</x:v>
      </x:c>
      <x:c r="B18" s="3" t="str">
        <x:v>David Lindenmuth</x:v>
      </x:c>
      <x:c r="C18" s="3" t="str">
        <x:v>Speaker</x:v>
      </x:c>
      <x:c r="D18" s="3" t="str">
        <x:v>No</x:v>
      </x:c>
      <x:c r="E18" s="3" t="str">
        <x:v>Sí</x:v>
      </x:c>
      <x:c r="F18" s="3" t="str"/>
    </x:row>
    <x:row r="19" ht="45" customHeight="1">
      <x:c r="A19" s="3" t="str">
        <x:v>lhanke@onepeterson.com</x:v>
      </x:c>
      <x:c r="B19" s="3" t="str">
        <x:v>Lisa Hanke</x:v>
      </x:c>
      <x:c r="C19" s="3" t="str">
        <x:v>Interno</x:v>
      </x:c>
      <x:c r="D19" s="3" t="str">
        <x:v>No</x:v>
      </x:c>
      <x:c r="E19" s="3" t="str">
        <x:v>Sí</x:v>
      </x:c>
      <x:c r="F19" s="3" t="str">
        <x:v>lhanke@pcugroup.com</x:v>
      </x:c>
    </x:row>
  </x:sheetData>
  <x:pageMargins left="0.7" right="0.7" top="0.75" bottom="0.75" header="0.3" footer="0.3"/>
  <x:tableParts count="1">
    <x:tablePart xmlns:r="http://schemas.openxmlformats.org/officeDocument/2006/relationships" r:id="R9fb1713ba4e04c0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39" hidden="0" customWidth="1"/>
    <x:col min="4" max="4" width="23" hidden="0" customWidth="1"/>
    <x:col min="5" max="5" width="22" hidden="0" customWidth="1"/>
    <x:col min="6" max="6" width="31" hidden="0" customWidth="1"/>
    <x:col min="7" max="7" width="22" hidden="0" customWidth="1"/>
  </x:cols>
  <x:sheetData>
    <x:row r="1" ht="40" customHeight="1">
      <x:c r="A1" s="5" t="str">
        <x:v>Nombre de registro</x:v>
      </x:c>
      <x:c r="B1" s="5" t="str">
        <x:v>Apellidos de registro</x:v>
      </x:c>
      <x:c r="C1" s="5" t="str">
        <x:v>Correo electrónico de registro</x:v>
      </x:c>
      <x:c r="D1" s="5" t="str">
        <x:v>Hora de registro</x:v>
      </x:c>
      <x:c r="E1" s="5" t="str">
        <x:v>Estado del registro</x:v>
      </x:c>
      <x:c r="F1" s="5" t="str">
        <x:v>Organización</x:v>
      </x:c>
      <x:c r="G1" s="5" t="str">
        <x:v>País o región</x:v>
      </x:c>
    </x:row>
    <x:row r="2" ht="45" customHeight="1">
      <x:c r="A2" s="3" t="str">
        <x:v>Geronimo</x:v>
      </x:c>
      <x:c r="B2" s="3" t="str">
        <x:v>Vallori</x:v>
      </x:c>
      <x:c r="C2" s="3" t="str">
        <x:v>gvallori@controlunion.com</x:v>
      </x:c>
      <x:c r="D2" s="3" t="str">
        <x:v>9/17/26, 12:14:39 PM</x:v>
      </x:c>
      <x:c r="E2" s="3" t="str">
        <x:v>Registrado</x:v>
      </x:c>
      <x:c r="F2" s="3" t="str">
        <x:v>Control Union Argentina</x:v>
      </x:c>
      <x:c r="G2" s="3" t="str">
        <x:v>Argentina</x:v>
      </x:c>
    </x:row>
    <x:row r="3" ht="45" customHeight="1">
      <x:c r="A3" s="3" t="str">
        <x:v>Darlene</x:v>
      </x:c>
      <x:c r="B3" s="3" t="str">
        <x:v>Brooks</x:v>
      </x:c>
      <x:c r="C3" s="3" t="str">
        <x:v>darleneb@ncpllc.net</x:v>
      </x:c>
      <x:c r="D3" s="3" t="str">
        <x:v>9/17/26, 1:20:12 PM</x:v>
      </x:c>
      <x:c r="E3" s="3" t="str">
        <x:v>Registrado</x:v>
      </x:c>
      <x:c r="F3" s="3" t="str">
        <x:v>Nebraska Corn Processing, LLC</x:v>
      </x:c>
      <x:c r="G3" s="3" t="str">
        <x:v>United States</x:v>
      </x:c>
    </x:row>
    <x:row r="4" ht="45" customHeight="1">
      <x:c r="A4" s="3" t="str">
        <x:v>Juan</x:v>
      </x:c>
      <x:c r="B4" s="3" t="str">
        <x:v>Gebbie</x:v>
      </x:c>
      <x:c r="C4" s="3" t="str">
        <x:v>jgebbie@controlunion.com</x:v>
      </x:c>
      <x:c r="D4" s="3" t="str">
        <x:v>9/17/26, 8:29:50 PM</x:v>
      </x:c>
      <x:c r="E4" s="3" t="str">
        <x:v>Registrado</x:v>
      </x:c>
      <x:c r="F4" s="3" t="str">
        <x:v>Control Union Argentina</x:v>
      </x:c>
      <x:c r="G4" s="3" t="str">
        <x:v>Argentina</x:v>
      </x:c>
    </x:row>
    <x:row r="5" ht="45" customHeight="1">
      <x:c r="A5" s="3" t="str">
        <x:v>victoria</x:v>
      </x:c>
      <x:c r="B5" s="3" t="str">
        <x:v>colombo</x:v>
      </x:c>
      <x:c r="C5" s="3" t="str">
        <x:v>vcolombo@controlunion.com</x:v>
      </x:c>
      <x:c r="D5" s="3" t="str">
        <x:v>9/21/26, 9:48:51 AM</x:v>
      </x:c>
      <x:c r="E5" s="3" t="str">
        <x:v>Registrado</x:v>
      </x:c>
      <x:c r="F5" s="3" t="str">
        <x:v>CU</x:v>
      </x:c>
      <x:c r="G5" s="3" t="str">
        <x:v>arg</x:v>
      </x:c>
    </x:row>
    <x:row r="6" ht="45" customHeight="1">
      <x:c r="A6" s="3" t="str">
        <x:v>Jamie</x:v>
      </x:c>
      <x:c r="B6" s="3" t="str">
        <x:v>Denbow</x:v>
      </x:c>
      <x:c r="C6" s="3" t="str">
        <x:v>jamie_denbow@g3.ca</x:v>
      </x:c>
      <x:c r="D6" s="3" t="str">
        <x:v>9/21/26, 11:21:45 AM</x:v>
      </x:c>
      <x:c r="E6" s="3" t="str">
        <x:v>Registrado</x:v>
      </x:c>
      <x:c r="F6" s="3" t="str">
        <x:v>G3 Canada Ltd.</x:v>
      </x:c>
      <x:c r="G6" s="3" t="str">
        <x:v>Canada</x:v>
      </x:c>
    </x:row>
    <x:row r="7" ht="45" customHeight="1">
      <x:c r="A7" s="3" t="str">
        <x:v>Bridgette</x:v>
      </x:c>
      <x:c r="B7" s="3" t="str">
        <x:v>Duniece</x:v>
      </x:c>
      <x:c r="C7" s="3" t="str">
        <x:v>bridgetted@permolex.com</x:v>
      </x:c>
      <x:c r="D7" s="3" t="str">
        <x:v>9/21/26, 11:45:14 AM</x:v>
      </x:c>
      <x:c r="E7" s="3" t="str">
        <x:v>Registrado</x:v>
      </x:c>
      <x:c r="F7" s="3" t="str">
        <x:v>Permolex</x:v>
      </x:c>
      <x:c r="G7" s="3" t="str">
        <x:v>Canada</x:v>
      </x:c>
    </x:row>
    <x:row r="8" ht="45" customHeight="1">
      <x:c r="A8" s="3" t="str">
        <x:v>Ed</x:v>
      </x:c>
      <x:c r="B8" s="3" t="str">
        <x:v>Watts</x:v>
      </x:c>
      <x:c r="C8" s="3" t="str">
        <x:v>ed@virescoad.com</x:v>
      </x:c>
      <x:c r="D8" s="3" t="str">
        <x:v>9/22/26, 9:56:26 AM</x:v>
      </x:c>
      <x:c r="E8" s="3" t="str">
        <x:v>Registrado</x:v>
      </x:c>
      <x:c r="F8" s="3" t="str">
        <x:v>Viresco</x:v>
      </x:c>
      <x:c r="G8" s="3" t="str">
        <x:v>United States</x:v>
      </x:c>
    </x:row>
    <x:row r="9" ht="45" customHeight="1">
      <x:c r="A9" s="3" t="str">
        <x:v>Federika</x:v>
      </x:c>
      <x:c r="B9" s="3" t="str">
        <x:v>Marty</x:v>
      </x:c>
      <x:c r="C9" s="3" t="str">
        <x:v>fmarty@onepeterson.com</x:v>
      </x:c>
      <x:c r="D9" s="3" t="str">
        <x:v>9/22/26, 10:02:33 AM</x:v>
      </x:c>
      <x:c r="E9" s="3" t="str">
        <x:v>Registrado</x:v>
      </x:c>
      <x:c r="F9" s="3" t="str">
        <x:v>Delphy Ag Advisory </x:v>
      </x:c>
      <x:c r="G9" s="3" t="str">
        <x:v>United States</x:v>
      </x:c>
    </x:row>
    <x:row r="10" ht="45" customHeight="1">
      <x:c r="A10" s="3" t="str">
        <x:v>John</x:v>
      </x:c>
      <x:c r="B10" s="3" t="str">
        <x:v>Justus</x:v>
      </x:c>
      <x:c r="C10" s="3" t="str">
        <x:v>jjustus@reverecontrol.com</x:v>
      </x:c>
      <x:c r="D10" s="3" t="str">
        <x:v>9/22/26, 10:35:20 AM</x:v>
      </x:c>
      <x:c r="E10" s="3" t="str">
        <x:v>Registrado</x:v>
      </x:c>
      <x:c r="F10" s="3" t="str">
        <x:v>Revere Control Systems</x:v>
      </x:c>
      <x:c r="G10" s="3" t="str">
        <x:v>United States</x:v>
      </x:c>
    </x:row>
    <x:row r="11" ht="45" customHeight="1">
      <x:c r="A11" s="3" t="str">
        <x:v>Julia</x:v>
      </x:c>
      <x:c r="B11" s="3" t="str">
        <x:v>Szilvas</x:v>
      </x:c>
      <x:c r="C11" s="3" t="str">
        <x:v>jszilvas@quasareg.com</x:v>
      </x:c>
      <x:c r="D11" s="3" t="str">
        <x:v>9/22/26, 10:43:33 AM</x:v>
      </x:c>
      <x:c r="E11" s="3" t="str">
        <x:v>Registrado</x:v>
      </x:c>
      <x:c r="F11" s="3" t="str">
        <x:v>quasar energy group</x:v>
      </x:c>
      <x:c r="G11" s="3" t="str">
        <x:v>United States</x:v>
      </x:c>
    </x:row>
    <x:row r="12" ht="45" customHeight="1">
      <x:c r="A12" s="3" t="str">
        <x:v>Maxx</x:v>
      </x:c>
      <x:c r="B12" s="3" t="str">
        <x:v>Lewinger</x:v>
      </x:c>
      <x:c r="C12" s="3" t="str">
        <x:v>maxx@american-ethanol.com</x:v>
      </x:c>
      <x:c r="D12" s="3" t="str">
        <x:v>9/22/26, 11:20:30 AM</x:v>
      </x:c>
      <x:c r="E12" s="3" t="str">
        <x:v>Registrado</x:v>
      </x:c>
      <x:c r="F12" s="3" t="str"/>
      <x:c r="G12" s="3" t="str"/>
    </x:row>
    <x:row r="13" ht="45" customHeight="1">
      <x:c r="A13" s="3" t="str">
        <x:v>Jenyfer</x:v>
      </x:c>
      <x:c r="B13" s="3" t="str">
        <x:v>Lapish</x:v>
      </x:c>
      <x:c r="C13" s="3" t="str">
        <x:v>jlapish@thumbbioenergy.com</x:v>
      </x:c>
      <x:c r="D13" s="3" t="str">
        <x:v>9/22/26, 12:16:32 PM</x:v>
      </x:c>
      <x:c r="E13" s="3" t="str">
        <x:v>Registrado</x:v>
      </x:c>
      <x:c r="F13" s="3" t="str">
        <x:v>Thumb BioEnergy </x:v>
      </x:c>
      <x:c r="G13" s="3" t="str">
        <x:v>United States</x:v>
      </x:c>
    </x:row>
    <x:row r="14" ht="45" customHeight="1">
      <x:c r="A14" s="3" t="str">
        <x:v>Elizabeth</x:v>
      </x:c>
      <x:c r="B14" s="3" t="str">
        <x:v>Thomas</x:v>
      </x:c>
      <x:c r="C14" s="3" t="str">
        <x:v>elizabeth.thomas@calumetspecialty.com</x:v>
      </x:c>
      <x:c r="D14" s="3" t="str">
        <x:v>9/22/26, 1:52:38 PM</x:v>
      </x:c>
      <x:c r="E14" s="3" t="str">
        <x:v>Registrado</x:v>
      </x:c>
      <x:c r="F14" s="3" t="str">
        <x:v>Montana Renewables</x:v>
      </x:c>
      <x:c r="G14" s="3" t="str">
        <x:v>United States</x:v>
      </x:c>
    </x:row>
    <x:row r="15" ht="45" customHeight="1">
      <x:c r="A15" s="3" t="str">
        <x:v>Henry</x:v>
      </x:c>
      <x:c r="B15" s="3" t="str">
        <x:v>Sherrington</x:v>
      </x:c>
      <x:c r="C15" s="3" t="str">
        <x:v>hsherrington@amerracapital.com</x:v>
      </x:c>
      <x:c r="D15" s="3" t="str">
        <x:v>9/22/26, 6:17:50 PM</x:v>
      </x:c>
      <x:c r="E15" s="3" t="str">
        <x:v>Registrado</x:v>
      </x:c>
      <x:c r="F15" s="3" t="str">
        <x:v>AMERRA Capital Management</x:v>
      </x:c>
      <x:c r="G15" s="3" t="str">
        <x:v>United States</x:v>
      </x:c>
    </x:row>
    <x:row r="16" ht="45" customHeight="1">
      <x:c r="A16" s="3" t="str">
        <x:v>James</x:v>
      </x:c>
      <x:c r="B16" s="3" t="str">
        <x:v>Augustine</x:v>
      </x:c>
      <x:c r="C16" s="3" t="str">
        <x:v>jamesa@suncountryhighway.ca</x:v>
      </x:c>
      <x:c r="D16" s="3" t="str">
        <x:v>9/23/26, 12:56:12 PM</x:v>
      </x:c>
      <x:c r="E16" s="3" t="str">
        <x:v>Registrado</x:v>
      </x:c>
      <x:c r="F16" s="3" t="str">
        <x:v>Sun Country Highway </x:v>
      </x:c>
      <x:c r="G16" s="3" t="str">
        <x:v>Canada</x:v>
      </x:c>
    </x:row>
    <x:row r="17" ht="45" customHeight="1">
      <x:c r="A17" s="3" t="str">
        <x:v>Raphael</x:v>
      </x:c>
      <x:c r="B17" s="3" t="str">
        <x:v>Berkien</x:v>
      </x:c>
      <x:c r="C17" s="3" t="str">
        <x:v>rberkien@transworldtechinc.com</x:v>
      </x:c>
      <x:c r="D17" s="3" t="str">
        <x:v>9/23/26, 9:19:55 PM</x:v>
      </x:c>
      <x:c r="E17" s="3" t="str">
        <x:v>Registrado</x:v>
      </x:c>
      <x:c r="F17" s="3" t="str">
        <x:v>Transworld Technologies Inc.</x:v>
      </x:c>
      <x:c r="G17" s="3" t="str">
        <x:v>USA</x:v>
      </x:c>
    </x:row>
    <x:row r="18" ht="45" customHeight="1">
      <x:c r="A18" s="3" t="str">
        <x:v>Darren</x:v>
      </x:c>
      <x:c r="B18" s="3" t="str">
        <x:v>Ongyerth</x:v>
      </x:c>
      <x:c r="C18" s="3" t="str">
        <x:v>dongyerth@azuresf.com</x:v>
      </x:c>
      <x:c r="D18" s="3" t="str">
        <x:v>9/24/26, 5:23:02 PM</x:v>
      </x:c>
      <x:c r="E18" s="3" t="str">
        <x:v>Registrado</x:v>
      </x:c>
      <x:c r="F18" s="3" t="str">
        <x:v>Azure Sustainable Fuels Corp.</x:v>
      </x:c>
      <x:c r="G18" s="3" t="str">
        <x:v>Canada</x:v>
      </x:c>
    </x:row>
    <x:row r="19" ht="45" customHeight="1">
      <x:c r="A19" s="3" t="str">
        <x:v>Chelsa</x:v>
      </x:c>
      <x:c r="B19" s="3" t="str">
        <x:v>Oren</x:v>
      </x:c>
      <x:c r="C19" s="3" t="str">
        <x:v>coren@ecoengineers.us</x:v>
      </x:c>
      <x:c r="D19" s="3" t="str">
        <x:v>9/29/26, 12:15:43 PM</x:v>
      </x:c>
      <x:c r="E19" s="3" t="str">
        <x:v>Registrado</x:v>
      </x:c>
      <x:c r="F19" s="3" t="str">
        <x:v>EcoEngineers</x:v>
      </x:c>
      <x:c r="G19" s="3" t="str">
        <x:v>USA</x:v>
      </x:c>
    </x:row>
    <x:row r="20" ht="45" customHeight="1">
      <x:c r="A20" s="3" t="str">
        <x:v>Claude</x:v>
      </x:c>
      <x:c r="B20" s="3" t="str">
        <x:v>Luster III</x:v>
      </x:c>
      <x:c r="C20" s="3" t="str">
        <x:v>claude@lr3tech.com</x:v>
      </x:c>
      <x:c r="D20" s="3" t="str">
        <x:v>9/29/26, 12:39:38 PM</x:v>
      </x:c>
      <x:c r="E20" s="3" t="str">
        <x:v>Registrado</x:v>
      </x:c>
      <x:c r="F20" s="3" t="str">
        <x:v>LR3Technologies LLC</x:v>
      </x:c>
      <x:c r="G20" s="3" t="str">
        <x:v>United States</x:v>
      </x:c>
    </x:row>
    <x:row r="21" ht="45" customHeight="1">
      <x:c r="A21" s="3" t="str">
        <x:v>Paul</x:v>
      </x:c>
      <x:c r="B21" s="3" t="str">
        <x:v>Oesterreich</x:v>
      </x:c>
      <x:c r="C21" s="3" t="str">
        <x:v>pauloesterreich@strategicbiofuels.com</x:v>
      </x:c>
      <x:c r="D21" s="3" t="str">
        <x:v>9/29/26, 12:52:50 PM</x:v>
      </x:c>
      <x:c r="E21" s="3" t="str">
        <x:v>Registrado</x:v>
      </x:c>
      <x:c r="F21" s="3" t="str">
        <x:v>Strategic Biofuels </x:v>
      </x:c>
      <x:c r="G21" s="3" t="str">
        <x:v>United States</x:v>
      </x:c>
    </x:row>
    <x:row r="22" ht="45" customHeight="1">
      <x:c r="A22" s="3" t="str">
        <x:v>Samyak</x:v>
      </x:c>
      <x:c r="B22" s="3" t="str">
        <x:v>Pandey</x:v>
      </x:c>
      <x:c r="C22" s="3" t="str">
        <x:v>samyak.pandey@spglobal.com</x:v>
      </x:c>
      <x:c r="D22" s="3" t="str">
        <x:v>9/29/26, 1:52:56 PM</x:v>
      </x:c>
      <x:c r="E22" s="3" t="str">
        <x:v>Registrado</x:v>
      </x:c>
      <x:c r="F22" s="3" t="str">
        <x:v>S&amp;P Global</x:v>
      </x:c>
      <x:c r="G22" s="3" t="str">
        <x:v>India</x:v>
      </x:c>
    </x:row>
    <x:row r="23" ht="45" customHeight="1">
      <x:c r="A23" s="3" t="str">
        <x:v>Lyndsey</x:v>
      </x:c>
      <x:c r="B23" s="3" t="str">
        <x:v>Nielsen</x:v>
      </x:c>
      <x:c r="C23" s="3" t="str">
        <x:v>lnielsen@ecoengineers.us</x:v>
      </x:c>
      <x:c r="D23" s="3" t="str">
        <x:v>9/29/26, 3:43:39 PM</x:v>
      </x:c>
      <x:c r="E23" s="3" t="str">
        <x:v>Registrado</x:v>
      </x:c>
      <x:c r="F23" s="3" t="str">
        <x:v>EcoEngineers</x:v>
      </x:c>
      <x:c r="G23" s="3" t="str">
        <x:v>US</x:v>
      </x:c>
    </x:row>
    <x:row r="24" ht="45" customHeight="1">
      <x:c r="A24" s="3" t="str">
        <x:v>Nivea</x:v>
      </x:c>
      <x:c r="B24" s="3" t="str">
        <x:v>Silva</x:v>
      </x:c>
      <x:c r="C24" s="3" t="str">
        <x:v>niveamar@petrobras.com.br</x:v>
      </x:c>
      <x:c r="D24" s="3" t="str">
        <x:v>9/29/26, 4:58:58 PM</x:v>
      </x:c>
      <x:c r="E24" s="3" t="str">
        <x:v>Registrado</x:v>
      </x:c>
      <x:c r="F24" s="3" t="str">
        <x:v>Petrobras</x:v>
      </x:c>
      <x:c r="G24" s="3" t="str">
        <x:v>Brasil</x:v>
      </x:c>
    </x:row>
    <x:row r="25" ht="45" customHeight="1">
      <x:c r="A25" s="3" t="str">
        <x:v>Ruby</x:v>
      </x:c>
      <x:c r="B25" s="3" t="str">
        <x:v>Nicholson</x:v>
      </x:c>
      <x:c r="C25" s="3" t="str">
        <x:v>rnicholson@bioveritas.com</x:v>
      </x:c>
      <x:c r="D25" s="3" t="str">
        <x:v>9/29/26, 6:19:32 PM</x:v>
      </x:c>
      <x:c r="E25" s="3" t="str">
        <x:v>Registrado</x:v>
      </x:c>
      <x:c r="F25" s="3" t="str">
        <x:v>BioVeritas</x:v>
      </x:c>
      <x:c r="G25" s="3" t="str">
        <x:v>United States</x:v>
      </x:c>
    </x:row>
    <x:row r="26" ht="45" customHeight="1">
      <x:c r="A26" s="3" t="str">
        <x:v>Patrick</x:v>
      </x:c>
      <x:c r="B26" s="3" t="str">
        <x:v>Lynch</x:v>
      </x:c>
      <x:c r="C26" s="3" t="str">
        <x:v>patrick@bioledger.io</x:v>
      </x:c>
      <x:c r="D26" s="3" t="str">
        <x:v>9/29/26, 6:37:20 PM</x:v>
      </x:c>
      <x:c r="E26" s="3" t="str">
        <x:v>Registrado</x:v>
      </x:c>
      <x:c r="F26" s="3" t="str"/>
      <x:c r="G26" s="3" t="str">
        <x:v>United Kingdom</x:v>
      </x:c>
    </x:row>
    <x:row r="27" ht="45" customHeight="1">
      <x:c r="A27" s="3" t="str">
        <x:v>Mari Cruz</x:v>
      </x:c>
      <x:c r="B27" s="3" t="str">
        <x:v>Ortega Teruel</x:v>
      </x:c>
      <x:c r="C27" s="3" t="str">
        <x:v>maricruz@iberiabioenergy.com</x:v>
      </x:c>
      <x:c r="D27" s="3" t="str">
        <x:v>9/30/26, 12:36:15 AM</x:v>
      </x:c>
      <x:c r="E27" s="3" t="str">
        <x:v>Registrado</x:v>
      </x:c>
      <x:c r="F27" s="3" t="str">
        <x:v>Iberia Bioenergy SLU</x:v>
      </x:c>
      <x:c r="G27" s="3" t="str">
        <x:v>Spain</x:v>
      </x:c>
    </x:row>
    <x:row r="28" ht="45" customHeight="1">
      <x:c r="A28" s="3" t="str">
        <x:v>Jonathan</x:v>
      </x:c>
      <x:c r="B28" s="3" t="str">
        <x:v>Vacari</x:v>
      </x:c>
      <x:c r="C28" s="3" t="str">
        <x:v>jonathan.vacari@neste.com</x:v>
      </x:c>
      <x:c r="D28" s="3" t="str">
        <x:v>9/30/26, 12:39:36 PM</x:v>
      </x:c>
      <x:c r="E28" s="3" t="str">
        <x:v>Registrado</x:v>
      </x:c>
      <x:c r="F28" s="3" t="str">
        <x:v>Neste</x:v>
      </x:c>
      <x:c r="G28" s="3" t="str">
        <x:v>Brazil</x:v>
      </x:c>
    </x:row>
    <x:row r="29" ht="45" customHeight="1">
      <x:c r="A29" s="3" t="str">
        <x:v>Alexandra</x:v>
      </x:c>
      <x:c r="B29" s="3" t="str">
        <x:v>Krus</x:v>
      </x:c>
      <x:c r="C29" s="3" t="str">
        <x:v>alexandra.krus@calumetspecialty.com</x:v>
      </x:c>
      <x:c r="D29" s="3" t="str">
        <x:v>10/01/26, 3:15:34 PM</x:v>
      </x:c>
      <x:c r="E29" s="3" t="str">
        <x:v>Registrado</x:v>
      </x:c>
      <x:c r="F29" s="3" t="str">
        <x:v>Montana Renewables, LLC</x:v>
      </x:c>
      <x:c r="G29" s="3" t="str">
        <x:v>United States</x:v>
      </x:c>
    </x:row>
    <x:row r="30" ht="45" customHeight="1">
      <x:c r="A30" s="3" t="str">
        <x:v>Geoffrey</x:v>
      </x:c>
      <x:c r="B30" s="3" t="str">
        <x:v>Fichtl</x:v>
      </x:c>
      <x:c r="C30" s="3" t="str">
        <x:v>geoff.fichtl@lanzajet.com</x:v>
      </x:c>
      <x:c r="D30" s="3" t="str">
        <x:v>10/01/26, 3:18:39 PM</x:v>
      </x:c>
      <x:c r="E30" s="3" t="str">
        <x:v>Registrado</x:v>
      </x:c>
      <x:c r="F30" s="3" t="str">
        <x:v>LanzaJet</x:v>
      </x:c>
      <x:c r="G30" s="3" t="str">
        <x:v>United States</x:v>
      </x:c>
    </x:row>
    <x:row r="31" ht="45" customHeight="1">
      <x:c r="A31" s="3" t="str">
        <x:v>Jennifer</x:v>
      </x:c>
      <x:c r="B31" s="3" t="str">
        <x:v>McIsaac</x:v>
      </x:c>
      <x:c r="C31" s="3" t="str">
        <x:v>jmcisaac@clearbluemarkets.com</x:v>
      </x:c>
      <x:c r="D31" s="3" t="str">
        <x:v>10/01/26, 4:50:24 PM</x:v>
      </x:c>
      <x:c r="E31" s="3" t="str">
        <x:v>Registrado</x:v>
      </x:c>
      <x:c r="F31" s="3" t="str">
        <x:v>ClearBlue </x:v>
      </x:c>
      <x:c r="G31" s="3" t="str">
        <x:v>Usa</x:v>
      </x:c>
    </x:row>
    <x:row r="32" ht="45" customHeight="1">
      <x:c r="A32" s="3" t="str">
        <x:v>Jack</x:v>
      </x:c>
      <x:c r="B32" s="3" t="str">
        <x:v>Rosa</x:v>
      </x:c>
      <x:c r="C32" s="3" t="str">
        <x:v>jrosa@calbioenergy.com</x:v>
      </x:c>
      <x:c r="D32" s="3" t="str">
        <x:v>10/01/26, 8:14:40 PM</x:v>
      </x:c>
      <x:c r="E32" s="3" t="str">
        <x:v>Registrado</x:v>
      </x:c>
      <x:c r="F32" s="3" t="str">
        <x:v>California Bioenergy</x:v>
      </x:c>
      <x:c r="G32" s="3" t="str">
        <x:v>United States</x:v>
      </x:c>
    </x:row>
    <x:row r="33" ht="45" customHeight="1">
      <x:c r="A33" s="3" t="str">
        <x:v>Evelyn</x:v>
      </x:c>
      <x:c r="B33" s="3" t="str">
        <x:v>Patrell-Fazio</x:v>
      </x:c>
      <x:c r="C33" s="3" t="str">
        <x:v>evelyn.patrellfazio@stxgroup.com</x:v>
      </x:c>
      <x:c r="D33" s="3" t="str">
        <x:v>10/05/26, 4:26:49 PM</x:v>
      </x:c>
      <x:c r="E33" s="3" t="str">
        <x:v>Registrado</x:v>
      </x:c>
      <x:c r="F33" s="3" t="str">
        <x:v>STX Group</x:v>
      </x:c>
      <x:c r="G33" s="3" t="str">
        <x:v>NEW YORK ,NY</x:v>
      </x:c>
    </x:row>
    <x:row r="34" ht="45" customHeight="1">
      <x:c r="A34" s="3" t="str">
        <x:v>Kari</x:v>
      </x:c>
      <x:c r="B34" s="3" t="str">
        <x:v>McDonald</x:v>
      </x:c>
      <x:c r="C34" s="3" t="str">
        <x:v>kari@bioenergy-solutions.com</x:v>
      </x:c>
      <x:c r="D34" s="3" t="str">
        <x:v>10/06/26, 9:57:07 AM</x:v>
      </x:c>
      <x:c r="E34" s="3" t="str">
        <x:v>Registrado</x:v>
      </x:c>
      <x:c r="F34" s="3" t="str">
        <x:v>Bio Energy Solutions Inc</x:v>
      </x:c>
      <x:c r="G34" s="3" t="str">
        <x:v>Canada</x:v>
      </x:c>
    </x:row>
    <x:row r="35" ht="45" customHeight="1">
      <x:c r="A35" s="3" t="str">
        <x:v>Matt</x:v>
      </x:c>
      <x:c r="B35" s="3" t="str">
        <x:v>Leuck</x:v>
      </x:c>
      <x:c r="C35" s="3" t="str">
        <x:v>matt.leuck@neste.com</x:v>
      </x:c>
      <x:c r="D35" s="3" t="str">
        <x:v>10/06/26, 10:03:49 AM</x:v>
      </x:c>
      <x:c r="E35" s="3" t="str">
        <x:v>Registrado</x:v>
      </x:c>
      <x:c r="F35" s="3" t="str"/>
      <x:c r="G35" s="3" t="str"/>
    </x:row>
    <x:row r="36" ht="45" customHeight="1">
      <x:c r="A36" s="3" t="str">
        <x:v>Meysam</x:v>
      </x:c>
      <x:c r="B36" s="3" t="str">
        <x:v>Mirarab</x:v>
      </x:c>
      <x:c r="C36" s="3" t="str">
        <x:v>meysam.mirarab@cemeng.ca</x:v>
      </x:c>
      <x:c r="D36" s="3" t="str">
        <x:v>10/06/26, 10:10:25 AM</x:v>
      </x:c>
      <x:c r="E36" s="3" t="str">
        <x:v>Registrado</x:v>
      </x:c>
      <x:c r="F36" s="3" t="str">
        <x:v>CEM Engineering</x:v>
      </x:c>
      <x:c r="G36" s="3" t="str">
        <x:v>Canada</x:v>
      </x:c>
    </x:row>
    <x:row r="37" ht="45" customHeight="1">
      <x:c r="A37" s="3" t="str">
        <x:v>Madelyn</x:v>
      </x:c>
      <x:c r="B37" s="3" t="str">
        <x:v>Evans</x:v>
      </x:c>
      <x:c r="C37" s="3" t="str">
        <x:v>madelyn.evans@borregaard.com</x:v>
      </x:c>
      <x:c r="D37" s="3" t="str">
        <x:v>10/06/26, 10:12:09 AM</x:v>
      </x:c>
      <x:c r="E37" s="3" t="str">
        <x:v>Registrado</x:v>
      </x:c>
      <x:c r="F37" s="3" t="str"/>
      <x:c r="G37" s="3" t="str"/>
    </x:row>
    <x:row r="38" ht="45" customHeight="1">
      <x:c r="A38" s="3" t="str">
        <x:v>Hugo</x:v>
      </x:c>
      <x:c r="B38" s="3" t="str">
        <x:v>Morais</x:v>
      </x:c>
      <x:c r="C38" s="3" t="str">
        <x:v>morais@katzen.com</x:v>
      </x:c>
      <x:c r="D38" s="3" t="str">
        <x:v>10/06/26, 10:32:42 AM</x:v>
      </x:c>
      <x:c r="E38" s="3" t="str">
        <x:v>Registrado</x:v>
      </x:c>
      <x:c r="F38" s="3" t="str">
        <x:v>KATZEN International, Inc.</x:v>
      </x:c>
      <x:c r="G38" s="3" t="str">
        <x:v>USA</x:v>
      </x:c>
    </x:row>
    <x:row r="39" ht="45" customHeight="1">
      <x:c r="A39" s="3" t="str">
        <x:v>Diana</x:v>
      </x:c>
      <x:c r="B39" s="3" t="str">
        <x:v>Ramirez</x:v>
      </x:c>
      <x:c r="C39" s="3" t="str">
        <x:v>diana@ergbio.com</x:v>
      </x:c>
      <x:c r="D39" s="3" t="str">
        <x:v>10/06/26, 10:52:19 AM</x:v>
      </x:c>
      <x:c r="E39" s="3" t="str">
        <x:v>Registrado</x:v>
      </x:c>
      <x:c r="F39" s="3" t="str">
        <x:v>ERG BIO</x:v>
      </x:c>
      <x:c r="G39" s="3" t="str">
        <x:v>USA/CA</x:v>
      </x:c>
    </x:row>
    <x:row r="40" ht="45" customHeight="1">
      <x:c r="A40" s="3" t="str">
        <x:v>Nimrod</x:v>
      </x:c>
      <x:c r="B40" s="3" t="str">
        <x:v>Kux</x:v>
      </x:c>
      <x:c r="C40" s="3" t="str">
        <x:v>rod.kux@takachar.com</x:v>
      </x:c>
      <x:c r="D40" s="3" t="str">
        <x:v>10/06/26, 11:47:05 AM</x:v>
      </x:c>
      <x:c r="E40" s="3" t="str">
        <x:v>Registrado</x:v>
      </x:c>
      <x:c r="F40" s="3" t="str"/>
      <x:c r="G40" s="3" t="str"/>
    </x:row>
    <x:row r="41" ht="45" customHeight="1">
      <x:c r="A41" s="3" t="str">
        <x:v>Sally</x:v>
      </x:c>
      <x:c r="B41" s="3" t="str">
        <x:v>Hart</x:v>
      </x:c>
      <x:c r="C41" s="3" t="str">
        <x:v>sally@capco2.solutions</x:v>
      </x:c>
      <x:c r="D41" s="3" t="str">
        <x:v>10/06/26, 11:51:13 AM</x:v>
      </x:c>
      <x:c r="E41" s="3" t="str">
        <x:v>Registrado</x:v>
      </x:c>
      <x:c r="F41" s="3" t="str">
        <x:v>CapCO2 Solutions</x:v>
      </x:c>
      <x:c r="G41" s="3" t="str">
        <x:v>United States</x:v>
      </x:c>
    </x:row>
    <x:row r="42" ht="45" customHeight="1">
      <x:c r="A42" s="3" t="str">
        <x:v>Kathleen</x:v>
      </x:c>
      <x:c r="B42" s="3" t="str">
        <x:v>Wight</x:v>
      </x:c>
      <x:c r="C42" s="3" t="str">
        <x:v>kwight@worldenergy.net</x:v>
      </x:c>
      <x:c r="D42" s="3" t="str">
        <x:v>10/06/26, 12:14:12 PM</x:v>
      </x:c>
      <x:c r="E42" s="3" t="str">
        <x:v>Registrado</x:v>
      </x:c>
      <x:c r="F42" s="3" t="str">
        <x:v>World Energy</x:v>
      </x:c>
      <x:c r="G42" s="3" t="str">
        <x:v>USA</x:v>
      </x:c>
    </x:row>
    <x:row r="43" ht="45" customHeight="1">
      <x:c r="A43" s="3" t="str">
        <x:v>Neha</x:v>
      </x:c>
      <x:c r="B43" s="3" t="str">
        <x:v>G</x:v>
      </x:c>
      <x:c r="C43" s="3" t="str">
        <x:v>neha@capco2.solutions</x:v>
      </x:c>
      <x:c r="D43" s="3" t="str">
        <x:v>10/06/26, 12:18:48 PM</x:v>
      </x:c>
      <x:c r="E43" s="3" t="str">
        <x:v>Registrado</x:v>
      </x:c>
      <x:c r="F43" s="3" t="str">
        <x:v>CapCO2 Solutions </x:v>
      </x:c>
      <x:c r="G43" s="3" t="str">
        <x:v>United States</x:v>
      </x:c>
    </x:row>
    <x:row r="44" ht="45" customHeight="1">
      <x:c r="A44" s="3" t="str">
        <x:v>Kristine</x:v>
      </x:c>
      <x:c r="B44" s="3" t="str">
        <x:v>Klavers</x:v>
      </x:c>
      <x:c r="C44" s="3" t="str">
        <x:v>kklavers@ecoengineers.us</x:v>
      </x:c>
      <x:c r="D44" s="3" t="str">
        <x:v>10/06/26, 12:31:10 PM</x:v>
      </x:c>
      <x:c r="E44" s="3" t="str">
        <x:v>Registrado</x:v>
      </x:c>
      <x:c r="F44" s="3" t="str">
        <x:v>EcoEngineers</x:v>
      </x:c>
      <x:c r="G44" s="3" t="str">
        <x:v>United States</x:v>
      </x:c>
    </x:row>
    <x:row r="45" ht="45" customHeight="1">
      <x:c r="A45" s="3" t="str">
        <x:v>Tracy D</x:v>
      </x:c>
      <x:c r="B45" s="3" t="str">
        <x:v>Wilson</x:v>
      </x:c>
      <x:c r="C45" s="3" t="str">
        <x:v>tracydwilson@besheanwe.com</x:v>
      </x:c>
      <x:c r="D45" s="3" t="str">
        <x:v>10/06/26, 1:05:07 PM</x:v>
      </x:c>
      <x:c r="E45" s="3" t="str">
        <x:v>Registrado</x:v>
      </x:c>
      <x:c r="F45" s="3" t="str">
        <x:v>Nuecofab</x:v>
      </x:c>
      <x:c r="G45" s="3" t="str">
        <x:v>United States</x:v>
      </x:c>
    </x:row>
    <x:row r="46" ht="45" customHeight="1">
      <x:c r="A46" s="3" t="str">
        <x:v>Kyle</x:v>
      </x:c>
      <x:c r="B46" s="3" t="str">
        <x:v>Althoff</x:v>
      </x:c>
      <x:c r="C46" s="3" t="str">
        <x:v>kalthoff@equinox8.com</x:v>
      </x:c>
      <x:c r="D46" s="3" t="str">
        <x:v>10/06/26, 2:05:19 PM</x:v>
      </x:c>
      <x:c r="E46" s="3" t="str">
        <x:v>Registrado</x:v>
      </x:c>
      <x:c r="F46" s="3" t="str">
        <x:v>Equinox</x:v>
      </x:c>
      <x:c r="G46" s="3" t="str">
        <x:v>United States</x:v>
      </x:c>
    </x:row>
    <x:row r="47" ht="45" customHeight="1">
      <x:c r="A47" s="3" t="str">
        <x:v>Eduardo</x:v>
      </x:c>
      <x:c r="B47" s="3" t="str">
        <x:v>Santillan-Jimenez</x:v>
      </x:c>
      <x:c r="C47" s="3" t="str">
        <x:v>esant3@uky.edu</x:v>
      </x:c>
      <x:c r="D47" s="3" t="str">
        <x:v>10/06/26, 3:01:07 PM</x:v>
      </x:c>
      <x:c r="E47" s="3" t="str">
        <x:v>Registrado</x:v>
      </x:c>
      <x:c r="F47" s="3" t="str">
        <x:v>University of Kentucky</x:v>
      </x:c>
      <x:c r="G47" s="3" t="str">
        <x:v>United States</x:v>
      </x:c>
    </x:row>
    <x:row r="48" ht="45" customHeight="1">
      <x:c r="A48" s="3" t="str">
        <x:v>Eric</x:v>
      </x:c>
      <x:c r="B48" s="3" t="str">
        <x:v>Seck</x:v>
      </x:c>
      <x:c r="C48" s="3" t="str">
        <x:v>eric@mercuriusbiorefining.com</x:v>
      </x:c>
      <x:c r="D48" s="3" t="str">
        <x:v>10/06/26, 3:50:49 PM</x:v>
      </x:c>
      <x:c r="E48" s="3" t="str">
        <x:v>Registrado</x:v>
      </x:c>
      <x:c r="F48" s="3" t="str"/>
      <x:c r="G48" s="3" t="str"/>
    </x:row>
    <x:row r="49" ht="45" customHeight="1">
      <x:c r="A49" s="3" t="str">
        <x:v>Justin</x:v>
      </x:c>
      <x:c r="B49" s="3" t="str">
        <x:v>Cao</x:v>
      </x:c>
      <x:c r="C49" s="3" t="str">
        <x:v>justin.cao@cratos.de</x:v>
      </x:c>
      <x:c r="D49" s="3" t="str">
        <x:v>10/06/26, 5:36:34 PM</x:v>
      </x:c>
      <x:c r="E49" s="3" t="str">
        <x:v>Registrado</x:v>
      </x:c>
      <x:c r="F49" s="3" t="str"/>
      <x:c r="G49" s="3" t="str"/>
    </x:row>
    <x:row r="50" ht="45" customHeight="1">
      <x:c r="A50" s="3" t="str">
        <x:v>Tracy</x:v>
      </x:c>
      <x:c r="B50" s="3" t="str">
        <x:v>Snider</x:v>
      </x:c>
      <x:c r="C50" s="3" t="str">
        <x:v>tsnider@soy.org</x:v>
      </x:c>
      <x:c r="D50" s="3" t="str">
        <x:v>10/06/26, 6:31:01 PM</x:v>
      </x:c>
      <x:c r="E50" s="3" t="str">
        <x:v>Registrado</x:v>
      </x:c>
      <x:c r="F50" s="3" t="str">
        <x:v>American Soybean Association</x:v>
      </x:c>
      <x:c r="G50" s="3" t="str">
        <x:v>USA</x:v>
      </x:c>
    </x:row>
    <x:row r="51" ht="45" customHeight="1">
      <x:c r="A51" s="3" t="str">
        <x:v>Hubert</x:v>
      </x:c>
      <x:c r="B51" s="3" t="str">
        <x:v>Piatkowski</x:v>
      </x:c>
      <x:c r="C51" s="3" t="str">
        <x:v>hpiatkowski73@gmail.com</x:v>
      </x:c>
      <x:c r="D51" s="3" t="str">
        <x:v>10/07/26, 11:29:10 AM</x:v>
      </x:c>
      <x:c r="E51" s="3" t="str">
        <x:v>Registrado</x:v>
      </x:c>
      <x:c r="F51" s="3" t="str"/>
      <x:c r="G51" s="3" t="str">
        <x:v>Canada</x:v>
      </x:c>
    </x:row>
    <x:row r="52" ht="45" customHeight="1">
      <x:c r="A52" s="3" t="str">
        <x:v>Andy</x:v>
      </x:c>
      <x:c r="B52" s="3" t="str">
        <x:v>Raines</x:v>
      </x:c>
      <x:c r="C52" s="3" t="str">
        <x:v>araines@restorationbio.com</x:v>
      </x:c>
      <x:c r="D52" s="3" t="str">
        <x:v>10/07/26, 11:50:35 AM</x:v>
      </x:c>
      <x:c r="E52" s="3" t="str">
        <x:v>Registrado</x:v>
      </x:c>
      <x:c r="F52" s="3" t="str">
        <x:v>Restoration Bioproducts</x:v>
      </x:c>
      <x:c r="G52" s="3" t="str">
        <x:v>US</x:v>
      </x:c>
    </x:row>
    <x:row r="53" ht="45" customHeight="1">
      <x:c r="A53" s="3" t="str">
        <x:v>Ken</x:v>
      </x:c>
      <x:c r="B53" s="3" t="str">
        <x:v>Beach</x:v>
      </x:c>
      <x:c r="C53" s="3" t="str">
        <x:v>ken@beachwayeco.com</x:v>
      </x:c>
      <x:c r="D53" s="3" t="str">
        <x:v>10/07/26, 12:56:26 PM</x:v>
      </x:c>
      <x:c r="E53" s="3" t="str">
        <x:v>Registrado</x:v>
      </x:c>
      <x:c r="F53" s="3" t="str">
        <x:v>Beachway EcoSearch LLC</x:v>
      </x:c>
      <x:c r="G53" s="3" t="str">
        <x:v>United States</x:v>
      </x:c>
    </x:row>
    <x:row r="54" ht="45" customHeight="1">
      <x:c r="A54" s="3" t="str">
        <x:v>Jeff</x:v>
      </x:c>
      <x:c r="B54" s="3" t="str">
        <x:v>Klingenberg</x:v>
      </x:c>
      <x:c r="C54" s="3" t="str">
        <x:v>jeff.klingenberg@visionbioseeds.com</x:v>
      </x:c>
      <x:c r="D54" s="3" t="str">
        <x:v>10/07/26, 1:15:11 PM</x:v>
      </x:c>
      <x:c r="E54" s="3" t="str">
        <x:v>Registrado</x:v>
      </x:c>
      <x:c r="F54" s="3" t="str">
        <x:v>Vision Bioenergy Oilseeds LLC</x:v>
      </x:c>
      <x:c r="G54" s="3" t="str">
        <x:v>United States</x:v>
      </x:c>
    </x:row>
    <x:row r="55" ht="45" customHeight="1">
      <x:c r="A55" s="3" t="str">
        <x:v>Jennifer</x:v>
      </x:c>
      <x:c r="B55" s="3" t="str">
        <x:v>Swartz</x:v>
      </x:c>
      <x:c r="C55" s="3" t="str">
        <x:v>jswartz@calbioenergy.com</x:v>
      </x:c>
      <x:c r="D55" s="3" t="str">
        <x:v>10/08/26, 12:19:33 PM</x:v>
      </x:c>
      <x:c r="E55" s="3" t="str">
        <x:v>Registrado</x:v>
      </x:c>
      <x:c r="F55" s="3" t="str">
        <x:v>California Bioenergy</x:v>
      </x:c>
      <x:c r="G55" s="3" t="str">
        <x:v>United States</x:v>
      </x:c>
    </x:row>
    <x:row r="56" ht="45" customHeight="1">
      <x:c r="A56" s="3" t="str">
        <x:v>Julien</x:v>
      </x:c>
      <x:c r="B56" s="3" t="str">
        <x:v>Lampron</x:v>
      </x:c>
      <x:c r="C56" s="3" t="str">
        <x:v>julien.lampron@remabec.com</x:v>
      </x:c>
      <x:c r="D56" s="3" t="str">
        <x:v>10/08/26, 1:39:18 PM</x:v>
      </x:c>
      <x:c r="E56" s="3" t="str">
        <x:v>Registrado</x:v>
      </x:c>
      <x:c r="F56" s="3" t="str">
        <x:v>Remabec</x:v>
      </x:c>
      <x:c r="G56" s="3" t="str">
        <x:v>Canada</x:v>
      </x:c>
    </x:row>
    <x:row r="57" ht="45" customHeight="1">
      <x:c r="A57" s="3" t="str">
        <x:v>Kevin</x:v>
      </x:c>
      <x:c r="B57" s="3" t="str">
        <x:v>Zhang</x:v>
      </x:c>
      <x:c r="C57" s="3" t="str">
        <x:v>kevin.zhang@jupengbio.com</x:v>
      </x:c>
      <x:c r="D57" s="3" t="str">
        <x:v>10/08/26, 3:06:27 PM</x:v>
      </x:c>
      <x:c r="E57" s="3" t="str">
        <x:v>Registrado</x:v>
      </x:c>
      <x:c r="F57" s="3" t="str">
        <x:v>Jupeng Bio</x:v>
      </x:c>
      <x:c r="G57" s="3" t="str">
        <x:v>United States</x:v>
      </x:c>
    </x:row>
    <x:row r="58" ht="45" customHeight="1">
      <x:c r="A58" s="3" t="str">
        <x:v>Tori</x:v>
      </x:c>
      <x:c r="B58" s="3" t="str">
        <x:v>Brooks</x:v>
      </x:c>
      <x:c r="C58" s="3" t="str">
        <x:v>tori_brooks@treeimprovement.org</x:v>
      </x:c>
      <x:c r="D58" s="3" t="str">
        <x:v>10/08/26, 3:09:14 PM</x:v>
      </x:c>
      <x:c r="E58" s="3" t="str">
        <x:v>Registrado</x:v>
      </x:c>
      <x:c r="F58" s="3" t="str">
        <x:v>NCSU Tree Improvement Program</x:v>
      </x:c>
      <x:c r="G58" s="3" t="str">
        <x:v>USA</x:v>
      </x:c>
    </x:row>
    <x:row r="59" ht="45" customHeight="1">
      <x:c r="A59" s="3" t="str">
        <x:v>Cathy</x:v>
      </x:c>
      <x:c r="B59" s="3" t="str">
        <x:v>Escamilla</x:v>
      </x:c>
      <x:c r="C59" s="3" t="str">
        <x:v>cescami@ampolusa.com</x:v>
      </x:c>
      <x:c r="D59" s="3" t="str">
        <x:v>10/08/26, 3:10:43 PM</x:v>
      </x:c>
      <x:c r="E59" s="3" t="str">
        <x:v>Registrado</x:v>
      </x:c>
      <x:c r="F59" s="3" t="str">
        <x:v>Ampol US Trading, LLC</x:v>
      </x:c>
      <x:c r="G59" s="3" t="str">
        <x:v>United States</x:v>
      </x:c>
    </x:row>
    <x:row r="60" ht="45" customHeight="1">
      <x:c r="A60" s="3" t="str">
        <x:v>Mike</x:v>
      </x:c>
      <x:c r="B60" s="3" t="str">
        <x:v>Perry</x:v>
      </x:c>
      <x:c r="C60" s="3" t="str">
        <x:v>mperry@forestconcepts.com</x:v>
      </x:c>
      <x:c r="D60" s="3" t="str">
        <x:v>10/08/26, 3:12:30 PM</x:v>
      </x:c>
      <x:c r="E60" s="3" t="str">
        <x:v>Registrado</x:v>
      </x:c>
      <x:c r="F60" s="3" t="str">
        <x:v>Forest Concepts, LLC</x:v>
      </x:c>
      <x:c r="G60" s="3" t="str">
        <x:v>United States</x:v>
      </x:c>
    </x:row>
    <x:row r="61" ht="45" customHeight="1">
      <x:c r="A61" s="3" t="str">
        <x:v>Antonio</x:v>
      </x:c>
      <x:c r="B61" s="3" t="str">
        <x:v>Villaluenga</x:v>
      </x:c>
      <x:c r="C61" s="3" t="str">
        <x:v>antonio@thermafuels.com</x:v>
      </x:c>
      <x:c r="D61" s="3" t="str">
        <x:v>10/08/26, 3:23:41 PM</x:v>
      </x:c>
      <x:c r="E61" s="3" t="str">
        <x:v>Registrado</x:v>
      </x:c>
      <x:c r="F61" s="3" t="str"/>
      <x:c r="G61" s="3" t="str"/>
    </x:row>
    <x:row r="62" ht="45" customHeight="1">
      <x:c r="A62" s="3" t="str">
        <x:v>John</x:v>
      </x:c>
      <x:c r="B62" s="3" t="str">
        <x:v>Rollins</x:v>
      </x:c>
      <x:c r="C62" s="3" t="str">
        <x:v>jrollins@phibro.com</x:v>
      </x:c>
      <x:c r="D62" s="3" t="str">
        <x:v>10/08/26, 3:27:40 PM</x:v>
      </x:c>
      <x:c r="E62" s="3" t="str">
        <x:v>Registrado</x:v>
      </x:c>
      <x:c r="F62" s="3" t="str">
        <x:v>Phibro rCB LLC</x:v>
      </x:c>
      <x:c r="G62" s="3" t="str">
        <x:v>United States</x:v>
      </x:c>
    </x:row>
    <x:row r="63" ht="45" customHeight="1">
      <x:c r="A63" s="3" t="str">
        <x:v>Mat</x:v>
      </x:c>
      <x:c r="B63" s="3" t="str">
        <x:v>Kimani</x:v>
      </x:c>
      <x:c r="C63" s="3" t="str">
        <x:v>mk@go2-markets.com</x:v>
      </x:c>
      <x:c r="D63" s="3" t="str">
        <x:v>10/08/26, 3:50:50 PM</x:v>
      </x:c>
      <x:c r="E63" s="3" t="str">
        <x:v>Registrado</x:v>
      </x:c>
      <x:c r="F63" s="3" t="str"/>
      <x:c r="G63" s="3" t="str"/>
    </x:row>
    <x:row r="64" ht="45" customHeight="1">
      <x:c r="A64" s="3" t="str">
        <x:v>Cheri</x:v>
      </x:c>
      <x:c r="B64" s="3" t="str">
        <x:v>Garcia</x:v>
      </x:c>
      <x:c r="C64" s="3" t="str">
        <x:v>rcsmgarcia@yahoo.com</x:v>
      </x:c>
      <x:c r="D64" s="3" t="str">
        <x:v>10/08/26, 10:59:55 PM</x:v>
      </x:c>
      <x:c r="E64" s="3" t="str">
        <x:v>Registrado</x:v>
      </x:c>
      <x:c r="F64" s="3" t="str"/>
      <x:c r="G64" s="3" t="str">
        <x:v>USA</x:v>
      </x:c>
    </x:row>
    <x:row r="65" ht="45" customHeight="1">
      <x:c r="A65" s="3" t="str">
        <x:v>Maria</x:v>
      </x:c>
      <x:c r="B65" s="3" t="str">
        <x:v>Cortabarria Raimundez</x:v>
      </x:c>
      <x:c r="C65" s="3" t="str">
        <x:v>mcortabarriaraimundez@mail.utdt.edu</x:v>
      </x:c>
      <x:c r="D65" s="3" t="str">
        <x:v>10/09/26, 12:58:16 PM</x:v>
      </x:c>
      <x:c r="E65" s="3" t="str">
        <x:v>Registrado</x:v>
      </x:c>
      <x:c r="F65" s="3" t="str"/>
      <x:c r="G65" s="3" t="str"/>
    </x:row>
    <x:row r="66" ht="45" customHeight="1">
      <x:c r="A66" s="3" t="str">
        <x:v>Virginia</x:v>
      </x:c>
      <x:c r="B66" s="3" t="str">
        <x:v>Bennett</x:v>
      </x:c>
      <x:c r="C66" s="3" t="str">
        <x:v>virginia@blueridgebiofuels.com</x:v>
      </x:c>
      <x:c r="D66" s="3" t="str">
        <x:v>10/12/26, 3:02:53 PM</x:v>
      </x:c>
      <x:c r="E66" s="3" t="str">
        <x:v>Registrado</x:v>
      </x:c>
      <x:c r="F66" s="3" t="str">
        <x:v>Lifecycle Renewables</x:v>
      </x:c>
      <x:c r="G66" s="3" t="str">
        <x:v>United States</x:v>
      </x:c>
    </x:row>
    <x:row r="67" ht="45" customHeight="1">
      <x:c r="A67" s="3" t="str">
        <x:v>Laura</x:v>
      </x:c>
      <x:c r="B67" s="3" t="str">
        <x:v>Nelson</x:v>
      </x:c>
      <x:c r="C67" s="3" t="str">
        <x:v>lnelson@kawarthaethanol.ca</x:v>
      </x:c>
      <x:c r="D67" s="3" t="str">
        <x:v>10/12/26, 4:02:06 PM</x:v>
      </x:c>
      <x:c r="E67" s="3" t="str">
        <x:v>Registrado</x:v>
      </x:c>
      <x:c r="F67" s="3" t="str">
        <x:v>Kawartha Ethanol Inc. </x:v>
      </x:c>
      <x:c r="G67" s="3" t="str">
        <x:v>Canada Ontario </x:v>
      </x:c>
    </x:row>
    <x:row r="68" ht="45" customHeight="1">
      <x:c r="A68" s="3" t="str">
        <x:v>Jason</x:v>
      </x:c>
      <x:c r="B68" s="3" t="str">
        <x:v>Mennino</x:v>
      </x:c>
      <x:c r="C68" s="3" t="str">
        <x:v>menninojason@bfusa.com</x:v>
      </x:c>
      <x:c r="D68" s="3" t="str">
        <x:v>10/13/26, 8:46:33 AM</x:v>
      </x:c>
      <x:c r="E68" s="3" t="str">
        <x:v>Registrado</x:v>
      </x:c>
      <x:c r="F68" s="3" t="str">
        <x:v>Bridgestone Americas</x:v>
      </x:c>
      <x:c r="G68" s="3" t="str">
        <x:v>USA</x:v>
      </x:c>
    </x:row>
    <x:row r="69" ht="45" customHeight="1">
      <x:c r="A69" s="3" t="str">
        <x:v>Jessica</x:v>
      </x:c>
      <x:c r="B69" s="3" t="str">
        <x:v>Quarino</x:v>
      </x:c>
      <x:c r="C69" s="3" t="str">
        <x:v>jquarino@gmail.com</x:v>
      </x:c>
      <x:c r="D69" s="3" t="str">
        <x:v>10/13/26, 1:22:20 PM</x:v>
      </x:c>
      <x:c r="E69" s="3" t="str">
        <x:v>Registrado</x:v>
      </x:c>
      <x:c r="F69" s="3" t="str">
        <x:v>EcoEnginners</x:v>
      </x:c>
      <x:c r="G69" s="3" t="str">
        <x:v>USA</x:v>
      </x:c>
    </x:row>
    <x:row r="70" ht="45" customHeight="1">
      <x:c r="A70" s="3" t="str">
        <x:v>Jessica</x:v>
      </x:c>
      <x:c r="B70" s="3" t="str">
        <x:v>Quarino</x:v>
      </x:c>
      <x:c r="C70" s="3" t="str">
        <x:v>jquarino@ecoengineers.us</x:v>
      </x:c>
      <x:c r="D70" s="3" t="str">
        <x:v>10/13/26, 1:26:47 PM</x:v>
      </x:c>
      <x:c r="E70" s="3" t="str">
        <x:v>Registrado</x:v>
      </x:c>
      <x:c r="F70" s="3" t="str">
        <x:v>EcoEngineers</x:v>
      </x:c>
      <x:c r="G70" s="3" t="str">
        <x:v>USA</x:v>
      </x:c>
    </x:row>
    <x:row r="71" ht="45" customHeight="1">
      <x:c r="A71" s="3" t="str">
        <x:v>Josh</x:v>
      </x:c>
      <x:c r="B71" s="3" t="str">
        <x:v>Rahm</x:v>
      </x:c>
      <x:c r="C71" s="3" t="str">
        <x:v>jrahm@soy.org</x:v>
      </x:c>
      <x:c r="D71" s="3" t="str">
        <x:v>10/13/26, 1:26:57 PM</x:v>
      </x:c>
      <x:c r="E71" s="3" t="str">
        <x:v>Registrado</x:v>
      </x:c>
      <x:c r="F71" s="3" t="str">
        <x:v>American Soybean Association</x:v>
      </x:c>
      <x:c r="G71" s="3" t="str">
        <x:v>United States</x:v>
      </x:c>
    </x:row>
    <x:row r="72" ht="45" customHeight="1">
      <x:c r="A72" s="3" t="str">
        <x:v>Mike</x:v>
      </x:c>
      <x:c r="B72" s="3" t="str">
        <x:v>Przytakoski</x:v>
      </x:c>
      <x:c r="C72" s="3" t="str">
        <x:v>michal.przytakoski@53.com</x:v>
      </x:c>
      <x:c r="D72" s="3" t="str">
        <x:v>10/13/26, 2:47:29 PM</x:v>
      </x:c>
      <x:c r="E72" s="3" t="str">
        <x:v>Registrado</x:v>
      </x:c>
      <x:c r="F72" s="3" t="str">
        <x:v>5/3 Bank</x:v>
      </x:c>
      <x:c r="G72" s="3" t="str">
        <x:v>United States</x:v>
      </x:c>
    </x:row>
    <x:row r="73" ht="45" customHeight="1">
      <x:c r="A73" s="3" t="str">
        <x:v>viviana</x:v>
      </x:c>
      <x:c r="B73" s="3" t="str">
        <x:v>Pagan</x:v>
      </x:c>
      <x:c r="C73" s="3" t="str">
        <x:v>vpagan@onepeterson.com</x:v>
      </x:c>
      <x:c r="D73" s="3" t="str">
        <x:v>10/13/26, 3:03:58 PM</x:v>
      </x:c>
      <x:c r="E73" s="3" t="str">
        <x:v>Registrado</x:v>
      </x:c>
      <x:c r="F73" s="3" t="str">
        <x:v>Peterson Solutions NA</x:v>
      </x:c>
      <x:c r="G73" s="3" t="str">
        <x:v>United States</x:v>
      </x:c>
    </x:row>
    <x:row r="74" ht="45" customHeight="1">
      <x:c r="A74" s="3" t="str">
        <x:v>Thomas</x:v>
      </x:c>
      <x:c r="B74" s="3" t="str">
        <x:v>Ogaranko</x:v>
      </x:c>
      <x:c r="C74" s="3" t="str">
        <x:v>togaranko@octocoinc.com</x:v>
      </x:c>
      <x:c r="D74" s="3" t="str">
        <x:v>10/13/26, 3:18:10 PM</x:v>
      </x:c>
      <x:c r="E74" s="3" t="str">
        <x:v>Registrado</x:v>
      </x:c>
      <x:c r="F74" s="3" t="str">
        <x:v>Octoco Inc.</x:v>
      </x:c>
      <x:c r="G74" s="3" t="str">
        <x:v>Canada</x:v>
      </x:c>
    </x:row>
    <x:row r="75" ht="45" customHeight="1">
      <x:c r="A75" s="3" t="str">
        <x:v>Genevieve</x:v>
      </x:c>
      <x:c r="B75" s="3" t="str">
        <x:v>Grainger</x:v>
      </x:c>
      <x:c r="C75" s="3" t="str">
        <x:v>genevieve.grainger@gmail.com</x:v>
      </x:c>
      <x:c r="D75" s="3" t="str">
        <x:v>10/13/26, 3:31:27 PM</x:v>
      </x:c>
      <x:c r="E75" s="3" t="str">
        <x:v>Registrado</x:v>
      </x:c>
      <x:c r="F75" s="3" t="str"/>
      <x:c r="G75" s="3" t="str">
        <x:v>canada</x:v>
      </x:c>
    </x:row>
    <x:row r="76" ht="45" customHeight="1">
      <x:c r="A76" s="3" t="str">
        <x:v>Jennifer</x:v>
      </x:c>
      <x:c r="B76" s="3" t="str">
        <x:v>Aurandt-Pilgrim</x:v>
      </x:c>
      <x:c r="C76" s="3" t="str">
        <x:v>jenniferaurandt@marquisinc.com</x:v>
      </x:c>
      <x:c r="D76" s="3" t="str">
        <x:v>10/13/26, 4:03:09 PM</x:v>
      </x:c>
      <x:c r="E76" s="3" t="str">
        <x:v>Registrado</x:v>
      </x:c>
      <x:c r="F76" s="3" t="str">
        <x:v>Marquis</x:v>
      </x:c>
      <x:c r="G76" s="3" t="str">
        <x:v>Us</x:v>
      </x:c>
    </x:row>
    <x:row r="77" ht="45" customHeight="1">
      <x:c r="A77" s="3" t="str">
        <x:v>Anshul</x:v>
      </x:c>
      <x:c r="B77" s="3" t="str">
        <x:v>Jain</x:v>
      </x:c>
      <x:c r="C77" s="3" t="str">
        <x:v>anshuljain753@gmail.com</x:v>
      </x:c>
      <x:c r="D77" s="3" t="str">
        <x:v>10/13/26, 4:35:25 PM</x:v>
      </x:c>
      <x:c r="E77" s="3" t="str">
        <x:v>Registrado</x:v>
      </x:c>
      <x:c r="F77" s="3" t="str">
        <x:v>Biotown Biogas </x:v>
      </x:c>
      <x:c r="G77" s="3" t="str">
        <x:v>USA</x:v>
      </x:c>
    </x:row>
    <x:row r="78" ht="45" customHeight="1">
      <x:c r="A78" s="3" t="str">
        <x:v>Anshul</x:v>
      </x:c>
      <x:c r="B78" s="3" t="str">
        <x:v>Jain</x:v>
      </x:c>
      <x:c r="C78" s="3" t="str">
        <x:v>anshul@biotownbiogas.com</x:v>
      </x:c>
      <x:c r="D78" s="3" t="str">
        <x:v>10/13/26, 4:36:12 PM</x:v>
      </x:c>
      <x:c r="E78" s="3" t="str">
        <x:v>Registrado</x:v>
      </x:c>
      <x:c r="F78" s="3" t="str">
        <x:v>Biotown Biogas</x:v>
      </x:c>
      <x:c r="G78" s="3" t="str">
        <x:v>USA</x:v>
      </x:c>
    </x:row>
    <x:row r="79" ht="45" customHeight="1">
      <x:c r="A79" s="3" t="str">
        <x:v>Adam</x:v>
      </x:c>
      <x:c r="B79" s="3" t="str">
        <x:v>Gross</x:v>
      </x:c>
      <x:c r="C79" s="3" t="str">
        <x:v>adam@newgrowthtalent.com</x:v>
      </x:c>
      <x:c r="D79" s="3" t="str">
        <x:v>10/13/26, 5:20:12 PM</x:v>
      </x:c>
      <x:c r="E79" s="3" t="str">
        <x:v>Registrado</x:v>
      </x:c>
      <x:c r="F79" s="3" t="str">
        <x:v>New Growth Talent </x:v>
      </x:c>
      <x:c r="G79" s="3" t="str">
        <x:v>United States</x:v>
      </x:c>
    </x:row>
    <x:row r="80" ht="45" customHeight="1">
      <x:c r="A80" s="3" t="str">
        <x:v>Monika</x:v>
      </x:c>
      <x:c r="B80" s="3" t="str">
        <x:v>Rajoria</x:v>
      </x:c>
      <x:c r="C80" s="3" t="str">
        <x:v>monikarajoria@gmail.com</x:v>
      </x:c>
      <x:c r="D80" s="3" t="str">
        <x:v>10/13/26, 5:40:24 PM</x:v>
      </x:c>
      <x:c r="E80" s="3" t="str">
        <x:v>Registrado</x:v>
      </x:c>
      <x:c r="F80" s="3" t="str">
        <x:v>EA</x:v>
      </x:c>
      <x:c r="G80" s="3" t="str">
        <x:v>United Kingdom </x:v>
      </x:c>
    </x:row>
    <x:row r="81" ht="45" customHeight="1">
      <x:c r="A81" s="3" t="str">
        <x:v>Hubert</x:v>
      </x:c>
      <x:c r="B81" s="3" t="str">
        <x:v>Piatkowski</x:v>
      </x:c>
      <x:c r="C81" s="3" t="str">
        <x:v>hubert@p2i2.ca</x:v>
      </x:c>
      <x:c r="D81" s="3" t="str">
        <x:v>10/14/26, 11:14:37 AM</x:v>
      </x:c>
      <x:c r="E81" s="3" t="str">
        <x:v>Registrado</x:v>
      </x:c>
      <x:c r="F81" s="3" t="str">
        <x:v>P2i2</x:v>
      </x:c>
      <x:c r="G81" s="3" t="str">
        <x:v>Canada</x:v>
      </x:c>
    </x:row>
    <x:row r="82" ht="45" customHeight="1">
      <x:c r="A82" s="3" t="str">
        <x:v>Melissa</x:v>
      </x:c>
      <x:c r="B82" s="3" t="str">
        <x:v>McDonald</x:v>
      </x:c>
      <x:c r="C82" s="3" t="str">
        <x:v>melissa@roslin.ca</x:v>
      </x:c>
      <x:c r="D82" s="3" t="str">
        <x:v>10/14/26, 1:25:18 PM</x:v>
      </x:c>
      <x:c r="E82" s="3" t="str">
        <x:v>Registrado</x:v>
      </x:c>
      <x:c r="F82" s="3" t="str">
        <x:v>ROSLIN GROUP OF COMPANIES</x:v>
      </x:c>
      <x:c r="G82" s="3" t="str">
        <x:v>Canada</x:v>
      </x:c>
    </x:row>
    <x:row r="83" ht="45" customHeight="1">
      <x:c r="A83" s="3" t="str">
        <x:v>Tarique</x:v>
      </x:c>
      <x:c r="B83" s="3" t="str">
        <x:v>Rashaud</x:v>
      </x:c>
      <x:c r="C83" s="3" t="str">
        <x:v>tjrashaud@xemplarcarbon.com</x:v>
      </x:c>
      <x:c r="D83" s="3" t="str">
        <x:v>10/14/26, 3:03:53 PM</x:v>
      </x:c>
      <x:c r="E83" s="3" t="str">
        <x:v>Registrado</x:v>
      </x:c>
      <x:c r="F83" s="3" t="str">
        <x:v>Xemplar Carbon &amp; Capital LLC</x:v>
      </x:c>
      <x:c r="G83" s="3" t="str">
        <x:v>United States</x:v>
      </x:c>
    </x:row>
    <x:row r="84" ht="45" customHeight="1">
      <x:c r="A84" s="3" t="str">
        <x:v>Alicia</x:v>
      </x:c>
      <x:c r="B84" s="3" t="str">
        <x:v>Jones</x:v>
      </x:c>
      <x:c r="C84" s="3" t="str">
        <x:v>alicia.jones@amspecgroup.com</x:v>
      </x:c>
      <x:c r="D84" s="3" t="str">
        <x:v>10/14/26, 3:04:24 PM</x:v>
      </x:c>
      <x:c r="E84" s="3" t="str">
        <x:v>Registrado</x:v>
      </x:c>
      <x:c r="F84" s="3" t="str"/>
      <x:c r="G84" s="3" t="str"/>
    </x:row>
    <x:row r="85" ht="45" customHeight="1">
      <x:c r="A85" s="3" t="str">
        <x:v>Corey</x:v>
      </x:c>
      <x:c r="B85" s="3" t="str">
        <x:v>Lavinsky</x:v>
      </x:c>
      <x:c r="C85" s="3" t="str">
        <x:v>corey.lavinsky@calumet.com</x:v>
      </x:c>
      <x:c r="D85" s="3" t="str">
        <x:v>10/14/26, 3:22:31 PM</x:v>
      </x:c>
      <x:c r="E85" s="3" t="str">
        <x:v>Registrado</x:v>
      </x:c>
      <x:c r="F85" s="3" t="str">
        <x:v>Montana Renewables</x:v>
      </x:c>
      <x:c r="G85" s="3" t="str">
        <x:v>United States</x:v>
      </x:c>
    </x:row>
    <x:row r="86" ht="45" customHeight="1">
      <x:c r="A86" s="3" t="str">
        <x:v>Matthew</x:v>
      </x:c>
      <x:c r="B86" s="3" t="str">
        <x:v>McBain</x:v>
      </x:c>
      <x:c r="C86" s="3" t="str">
        <x:v>mmcbain@edeniq.com</x:v>
      </x:c>
      <x:c r="D86" s="3" t="str">
        <x:v>10/14/26, 3:27:41 PM</x:v>
      </x:c>
      <x:c r="E86" s="3" t="str">
        <x:v>Registrado</x:v>
      </x:c>
      <x:c r="F86" s="3" t="str">
        <x:v>Edeniq</x:v>
      </x:c>
      <x:c r="G86" s="3" t="str">
        <x:v>United States</x:v>
      </x:c>
    </x:row>
    <x:row r="87" ht="45" customHeight="1">
      <x:c r="A87" s="3" t="str">
        <x:v>Peter</x:v>
      </x:c>
      <x:c r="B87" s="3" t="str">
        <x:v>Ronn</x:v>
      </x:c>
      <x:c r="C87" s="3" t="str">
        <x:v>peter@safdesk.ca</x:v>
      </x:c>
      <x:c r="D87" s="3" t="str">
        <x:v>10/14/26, 7:28:14 PM</x:v>
      </x:c>
      <x:c r="E87" s="3" t="str">
        <x:v>Registrado</x:v>
      </x:c>
      <x:c r="F87" s="3" t="str">
        <x:v>Safdesk Ltd.</x:v>
      </x:c>
      <x:c r="G87" s="3" t="str">
        <x:v>Canada</x:v>
      </x:c>
    </x:row>
    <x:row r="88" ht="45" customHeight="1">
      <x:c r="A88" s="3" t="str">
        <x:v>Geoffrey</x:v>
      </x:c>
      <x:c r="B88" s="3" t="str">
        <x:v>mather</x:v>
      </x:c>
      <x:c r="C88" s="3" t="str">
        <x:v>geoffreymather@nextenergyfuels.com</x:v>
      </x:c>
      <x:c r="D88" s="3" t="str">
        <x:v>10/15/26, 9:51:23 PM</x:v>
      </x:c>
      <x:c r="E88" s="3" t="str">
        <x:v>Registrado</x:v>
      </x:c>
      <x:c r="F88" s="3" t="str">
        <x:v>next energy fuels</x:v>
      </x:c>
      <x:c r="G88" s="3" t="str">
        <x:v>usa</x:v>
      </x:c>
    </x:row>
    <x:row r="89" ht="45" customHeight="1">
      <x:c r="A89" s="3" t="str">
        <x:v>Andrés</x:v>
      </x:c>
      <x:c r="B89" s="3" t="str">
        <x:v>Martínez Garcia</x:v>
      </x:c>
      <x:c r="C89" s="3" t="str">
        <x:v>amartinezg@controlunion.com</x:v>
      </x:c>
      <x:c r="D89" s="3" t="str">
        <x:v>10/16/26, 3:17:18 AM</x:v>
      </x:c>
      <x:c r="E89" s="3" t="str">
        <x:v>Registrado</x:v>
      </x:c>
      <x:c r="F89" s="3" t="str"/>
      <x:c r="G89" s="3" t="str"/>
    </x:row>
    <x:row r="90" ht="45" customHeight="1">
      <x:c r="A90" s="3" t="str">
        <x:v>Victor</x:v>
      </x:c>
      <x:c r="B90" s="3" t="str">
        <x:v>Garlington</x:v>
      </x:c>
      <x:c r="C90" s="3" t="str">
        <x:v>mail@bioeconomysolutions.com</x:v>
      </x:c>
      <x:c r="D90" s="3" t="str">
        <x:v>10/16/26, 4:33:07 AM</x:v>
      </x:c>
      <x:c r="E90" s="3" t="str">
        <x:v>Registrado</x:v>
      </x:c>
      <x:c r="F90" s="3" t="str">
        <x:v>BioEonomy Solutions</x:v>
      </x:c>
      <x:c r="G90" s="3" t="str">
        <x:v>United States</x:v>
      </x:c>
    </x:row>
    <x:row r="91" ht="45" customHeight="1">
      <x:c r="A91" s="3" t="str">
        <x:v>Alejandro</x:v>
      </x:c>
      <x:c r="B91" s="3" t="str">
        <x:v>Sanguinetti</x:v>
      </x:c>
      <x:c r="C91" s="3" t="str">
        <x:v>alejuansanguinetti@gmail.com</x:v>
      </x:c>
      <x:c r="D91" s="3" t="str">
        <x:v>10/16/26, 11:20:14 AM</x:v>
      </x:c>
      <x:c r="E91" s="3" t="str">
        <x:v>Registrado</x:v>
      </x:c>
      <x:c r="F91" s="3" t="str">
        <x:v>UCES</x:v>
      </x:c>
      <x:c r="G91" s="3" t="str">
        <x:v>Spain</x:v>
      </x:c>
    </x:row>
    <x:row r="92" ht="45" customHeight="1">
      <x:c r="A92" s="3" t="str">
        <x:v>Sebastian</x:v>
      </x:c>
      <x:c r="B92" s="3" t="str">
        <x:v>Morrone</x:v>
      </x:c>
      <x:c r="C92" s="3" t="str">
        <x:v>smorrone@controlunion.com</x:v>
      </x:c>
      <x:c r="D92" s="3" t="str">
        <x:v>10/16/26, 11:40:02 AM</x:v>
      </x:c>
      <x:c r="E92" s="3" t="str">
        <x:v>Registrado</x:v>
      </x:c>
      <x:c r="F92" s="3" t="str">
        <x:v>Control Union Argentina S.A.</x:v>
      </x:c>
      <x:c r="G92" s="3" t="str">
        <x:v>Argentina</x:v>
      </x:c>
    </x:row>
    <x:row r="93" ht="45" customHeight="1">
      <x:c r="A93" s="3" t="str">
        <x:v>Ignacio</x:v>
      </x:c>
      <x:c r="B93" s="3" t="str">
        <x:v>Benavides</x:v>
      </x:c>
      <x:c r="C93" s="3" t="str">
        <x:v>ibenavides@controlunion.com</x:v>
      </x:c>
      <x:c r="D93" s="3" t="str">
        <x:v>10/16/26, 11:47:09 AM</x:v>
      </x:c>
      <x:c r="E93" s="3" t="str">
        <x:v>Registrado</x:v>
      </x:c>
      <x:c r="F93" s="3" t="str">
        <x:v>Control union </x:v>
      </x:c>
      <x:c r="G93" s="3" t="str">
        <x:v>Brasil </x:v>
      </x:c>
    </x:row>
    <x:row r="94" ht="45" customHeight="1">
      <x:c r="A94" s="3" t="str">
        <x:v>Carlos</x:v>
      </x:c>
      <x:c r="B94" s="3" t="str">
        <x:v>Rainero</x:v>
      </x:c>
      <x:c r="C94" s="3" t="str">
        <x:v>crainero@controlunion.com</x:v>
      </x:c>
      <x:c r="D94" s="3" t="str">
        <x:v>10/16/26, 11:51:30 AM</x:v>
      </x:c>
      <x:c r="E94" s="3" t="str">
        <x:v>Registrado</x:v>
      </x:c>
      <x:c r="F94" s="3" t="str">
        <x:v>CONTROL UNION CANADA</x:v>
      </x:c>
      <x:c r="G94" s="3" t="str">
        <x:v>Canada</x:v>
      </x:c>
    </x:row>
    <x:row r="95" ht="45" customHeight="1">
      <x:c r="A95" s="3" t="str">
        <x:v>Ignacio</x:v>
      </x:c>
      <x:c r="B95" s="3" t="str">
        <x:v>Falcone</x:v>
      </x:c>
      <x:c r="C95" s="3" t="str">
        <x:v>ifalcone@controlunion.com</x:v>
      </x:c>
      <x:c r="D95" s="3" t="str">
        <x:v>10/16/26, 12:23:31 PM</x:v>
      </x:c>
      <x:c r="E95" s="3" t="str">
        <x:v>Registrado</x:v>
      </x:c>
      <x:c r="F95" s="3" t="str">
        <x:v>Control Union</x:v>
      </x:c>
      <x:c r="G95" s="3" t="str">
        <x:v>Colombia</x:v>
      </x:c>
    </x:row>
    <x:row r="96" ht="45" customHeight="1">
      <x:c r="A96" s="3" t="str">
        <x:v>Gonzalo</x:v>
      </x:c>
      <x:c r="B96" s="3" t="str">
        <x:v>Viale</x:v>
      </x:c>
      <x:c r="C96" s="3" t="str">
        <x:v>gviale@controlunion.com</x:v>
      </x:c>
      <x:c r="D96" s="3" t="str">
        <x:v>10/16/26, 12:23:33 PM</x:v>
      </x:c>
      <x:c r="E96" s="3" t="str">
        <x:v>Registrado</x:v>
      </x:c>
      <x:c r="F96" s="3" t="str">
        <x:v>Control Union Argentina S.A.</x:v>
      </x:c>
      <x:c r="G96" s="3" t="str">
        <x:v>Argentina</x:v>
      </x:c>
    </x:row>
    <x:row r="97" ht="45" customHeight="1">
      <x:c r="A97" s="3" t="str">
        <x:v>Clyde</x:v>
      </x:c>
      <x:c r="B97" s="3" t="str">
        <x:v>Payn</x:v>
      </x:c>
      <x:c r="C97" s="3" t="str">
        <x:v>cpayn@catalystgrp.com</x:v>
      </x:c>
      <x:c r="D97" s="3" t="str">
        <x:v>10/16/26, 12:33:13 PM</x:v>
      </x:c>
      <x:c r="E97" s="3" t="str">
        <x:v>Registrado</x:v>
      </x:c>
      <x:c r="F97" s="3" t="str"/>
      <x:c r="G97" s="3" t="str"/>
    </x:row>
    <x:row r="98" ht="45" customHeight="1">
      <x:c r="A98" s="3" t="str">
        <x:v>Greg</x:v>
      </x:c>
      <x:c r="B98" s="3" t="str">
        <x:v>Douma</x:v>
      </x:c>
      <x:c r="C98" s="3" t="str">
        <x:v>gdouma@calbioenergy.com</x:v>
      </x:c>
      <x:c r="D98" s="3" t="str">
        <x:v>10/16/26, 3:02:30 PM</x:v>
      </x:c>
      <x:c r="E98" s="3" t="str">
        <x:v>Registrado</x:v>
      </x:c>
      <x:c r="F98" s="3" t="str">
        <x:v>California Bioenergy</x:v>
      </x:c>
      <x:c r="G98" s="3" t="str">
        <x:v>United States</x:v>
      </x:c>
    </x:row>
    <x:row r="99" ht="45" customHeight="1">
      <x:c r="A99" s="3" t="str">
        <x:v>steve</x:v>
      </x:c>
      <x:c r="B99" s="3" t="str">
        <x:v>dorcheus</x:v>
      </x:c>
      <x:c r="C99" s="3" t="str">
        <x:v>steve@sdcenerserve.com</x:v>
      </x:c>
      <x:c r="D99" s="3" t="str">
        <x:v>10/16/26, 3:03:23 PM</x:v>
      </x:c>
      <x:c r="E99" s="3" t="str">
        <x:v>Registrado</x:v>
      </x:c>
      <x:c r="F99" s="3" t="str">
        <x:v>SDC Enerserve</x:v>
      </x:c>
      <x:c r="G99" s="3" t="str">
        <x:v>usa</x:v>
      </x:c>
    </x:row>
    <x:row r="100" ht="45" customHeight="1">
      <x:c r="A100" s="3" t="str">
        <x:v>Fausto</x:v>
      </x:c>
      <x:c r="B100" s="3" t="str">
        <x:v>Morresi</x:v>
      </x:c>
      <x:c r="C100" s="3" t="str">
        <x:v>fmorresi@controlunion.com</x:v>
      </x:c>
      <x:c r="D100" s="3" t="str">
        <x:v>10/16/26, 4:02:28 PM</x:v>
      </x:c>
      <x:c r="E100" s="3" t="str">
        <x:v>Registrado</x:v>
      </x:c>
      <x:c r="F100" s="3" t="str">
        <x:v>Control Union</x:v>
      </x:c>
      <x:c r="G100" s="3" t="str">
        <x:v>Argentina</x:v>
      </x:c>
    </x:row>
    <x:row r="101" ht="45" customHeight="1">
      <x:c r="A101" s="3" t="str">
        <x:v>Fernando</x:v>
      </x:c>
      <x:c r="B101" s="3" t="str">
        <x:v>Rodriguez Uslenghi</x:v>
      </x:c>
      <x:c r="C101" s="3" t="str">
        <x:v>fuslenghi@contrlunion.com</x:v>
      </x:c>
      <x:c r="D101" s="3" t="str">
        <x:v>10/16/26, 4:05:27 PM</x:v>
      </x:c>
      <x:c r="E101" s="3" t="str">
        <x:v>Registrado</x:v>
      </x:c>
      <x:c r="F101" s="3" t="str"/>
      <x:c r="G101" s="3" t="str">
        <x:v>United states</x:v>
      </x:c>
    </x:row>
    <x:row r="102" ht="45" customHeight="1">
      <x:c r="A102" s="3" t="str">
        <x:v>Fernando</x:v>
      </x:c>
      <x:c r="B102" s="3" t="str">
        <x:v>Rodriguez Uslenghi</x:v>
      </x:c>
      <x:c r="C102" s="3" t="str">
        <x:v>fuslenghi@controlunion.com</x:v>
      </x:c>
      <x:c r="D102" s="3" t="str">
        <x:v>10/16/26, 4:07:37 PM</x:v>
      </x:c>
      <x:c r="E102" s="3" t="str">
        <x:v>Registrado</x:v>
      </x:c>
      <x:c r="F102" s="3" t="str">
        <x:v>Control Union </x:v>
      </x:c>
      <x:c r="G102" s="3" t="str">
        <x:v>United States</x:v>
      </x:c>
    </x:row>
    <x:row r="103" ht="45" customHeight="1">
      <x:c r="A103" s="3" t="str">
        <x:v>Guillermo</x:v>
      </x:c>
      <x:c r="B103" s="3" t="str">
        <x:v>Aguirre Gomez</x:v>
      </x:c>
      <x:c r="C103" s="3" t="str">
        <x:v>gaguirre@ecoengineers.us</x:v>
      </x:c>
      <x:c r="D103" s="3" t="str">
        <x:v>10/16/26, 4:10:58 PM</x:v>
      </x:c>
      <x:c r="E103" s="3" t="str">
        <x:v>Registrado</x:v>
      </x:c>
      <x:c r="F103" s="3" t="str">
        <x:v>EcoEngineers</x:v>
      </x:c>
      <x:c r="G103" s="3" t="str">
        <x:v>USA</x:v>
      </x:c>
    </x:row>
    <x:row r="104" ht="45" customHeight="1">
      <x:c r="A104" s="3" t="str">
        <x:v>Greg</x:v>
      </x:c>
      <x:c r="B104" s="3" t="str">
        <x:v>Hall</x:v>
      </x:c>
      <x:c r="C104" s="3" t="str">
        <x:v>greg.hall@petrogenium.com</x:v>
      </x:c>
      <x:c r="D104" s="3" t="str">
        <x:v>10/16/26, 4:24:52 PM</x:v>
      </x:c>
      <x:c r="E104" s="3" t="str">
        <x:v>Registrado</x:v>
      </x:c>
      <x:c r="F104" s="3" t="str">
        <x:v>Petrogenium</x:v>
      </x:c>
      <x:c r="G104" s="3" t="str">
        <x:v>United States</x:v>
      </x:c>
    </x:row>
  </x:sheetData>
  <x:pageMargins left="0.7" right="0.7" top="0.75" bottom="0.75" header="0.3" footer="0.3"/>
  <x:tableParts count="1">
    <x:tablePart xmlns:r="http://schemas.openxmlformats.org/officeDocument/2006/relationships" r:id="R0bea138745514e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24" hidden="0" customWidth="1"/>
    <x:col min="5" max="5" width="37" hidden="0" customWidth="1"/>
    <x:col min="6" max="6" width="37" hidden="0" customWidth="1"/>
    <x:col min="7" max="7" width="22" hidden="0" customWidth="1"/>
    <x:col min="8" max="8" width="22" hidden="0" customWidth="1"/>
    <x:col min="9" max="9" width="23" hidden="0" customWidth="1"/>
    <x:col min="10" max="10" width="39" hidden="0" customWidth="1"/>
    <x:col min="11" max="11" width="23" hidden="0" customWidth="1"/>
    <x:col min="12" max="12" width="22" hidden="0" customWidth="1"/>
    <x:col min="13" max="13" width="31" hidden="0" customWidth="1"/>
    <x:col min="14" max="14" width="22" hidden="0" customWidth="1"/>
    <x:col min="15" max="15" width="50" hidden="0" customWidth="1"/>
    <x:col min="16" max="16" width="51" hidden="0" customWidth="1"/>
    <x:col min="17" max="17" width="59" hidden="0" customWidth="1"/>
    <x:col min="18" max="18" width="52" hidden="0" customWidth="1"/>
    <x:col min="19" max="19" width="31" hidden="0" customWidth="1"/>
    <x:col min="20" max="20" width="35" hidden="0" customWidth="1"/>
    <x:col min="21" max="21" width="32" hidden="0" customWidth="1"/>
    <x:col min="22" max="22" width="34" hidden="0" customWidth="1"/>
    <x:col min="23" max="23" width="34" hidden="0" customWidth="1"/>
    <x:col min="24" max="24" width="31" hidden="0" customWidth="1"/>
    <x:col min="25" max="25" width="31" hidden="0" customWidth="1"/>
    <x:col min="26" max="26" width="29" hidden="0" customWidth="1"/>
    <x:col min="27" max="27" width="24" hidden="0" customWidth="1"/>
    <x:col min="28" max="28" width="25" hidden="0" customWidth="1"/>
    <x:col min="29" max="29" width="27" hidden="0" customWidth="1"/>
  </x:cols>
  <x:sheetData>
    <x:row r="1" ht="40" customHeight="1">
      <x:c r="A1" s="5" t="str">
        <x:v>Nombre</x:v>
      </x:c>
      <x:c r="B1" s="5" t="str">
        <x:v>Primera entrada</x:v>
      </x:c>
      <x:c r="C1" s="5" t="str">
        <x:v>Última salida</x:v>
      </x:c>
      <x:c r="D1" s="5" t="str">
        <x:v>Duración de la reunión</x:v>
      </x:c>
      <x:c r="E1" s="5" t="str">
        <x:v>Correo electrónico</x:v>
      </x:c>
      <x:c r="F1" s="5" t="str">
        <x:v>Id. de participante (UPN)</x:v>
      </x:c>
      <x:c r="G1" s="5" t="str">
        <x:v>Rol</x:v>
      </x:c>
      <x:c r="H1" s="5" t="str">
        <x:v>Nombre de registro</x:v>
      </x:c>
      <x:c r="I1" s="5" t="str">
        <x:v>Apellidos de registro</x:v>
      </x:c>
      <x:c r="J1" s="5" t="str">
        <x:v>Correo electrónico de registro</x:v>
      </x:c>
      <x:c r="K1" s="5" t="str">
        <x:v>Hora de registro</x:v>
      </x:c>
      <x:c r="L1" s="5" t="str">
        <x:v>Estado del registro</x:v>
      </x:c>
      <x:c r="M1" s="5" t="str">
        <x:v>Organización</x:v>
      </x:c>
      <x:c r="N1" s="5" t="str">
        <x:v>País o región</x:v>
      </x:c>
      <x:c r="O1" s="5" t="str">
        <x:v>Interacción: preguntas de Preguntas y respuestas</x:v>
      </x:c>
      <x:c r="P1" s="5" t="str">
        <x:v>Interacción: respuestas de Preguntas y respuestas</x:v>
      </x:c>
      <x:c r="Q1" s="5" t="str">
        <x:v>Interacción: mejores respuestas de Preguntas y respuestas</x:v>
      </x:c>
      <x:c r="R1" s="5" t="str">
        <x:v>Interacción: discusiones de Preguntas y respuestas</x:v>
      </x:c>
      <x:c r="S1" s="5" t="str">
        <x:v>Interacción: Reacción-Aplauso</x:v>
      </x:c>
      <x:c r="T1" s="5" t="str">
        <x:v>Interacción: Reacción-Me divierte</x:v>
      </x:c>
      <x:c r="U1" s="5" t="str">
        <x:v>Interacción: Reacción-Me gusta</x:v>
      </x:c>
      <x:c r="V1" s="5" t="str">
        <x:v>Interacción: Reacción-Me encanta</x:v>
      </x:c>
      <x:c r="W1" s="5" t="str">
        <x:v>Interacción: Reacción-Me asombra</x:v>
      </x:c>
      <x:c r="X1" s="5" t="str">
        <x:v>Interacción: Cámara encendida</x:v>
      </x:c>
      <x:c r="Y1" s="5" t="str">
        <x:v>Interacción: Manos levantadas</x:v>
      </x:c>
      <x:c r="Z1" s="5" t="str">
        <x:v>Interacción: Audio activado</x:v>
      </x:c>
      <x:c r="AA1" s="5" t="str">
        <x:v>Engagement: Camera Off</x:v>
      </x:c>
      <x:c r="AB1" s="5" t="str">
        <x:v>Engagement: Server Mute</x:v>
      </x:c>
      <x:c r="AC1" s="5" t="str">
        <x:v>Engagement: Server Unmute</x:v>
      </x:c>
    </x:row>
    <x:row r="2" ht="45" customHeight="1">
      <x:c r="A2" s="3" t="str">
        <x:v>Francisco Capoulat</x:v>
      </x:c>
      <x:c r="B2" s="3" t="str">
        <x:v>10/16/26, 3:43:07 PM</x:v>
      </x:c>
      <x:c r="C2" s="3" t="str">
        <x:v>10/16/26, 5:08:30 PM</x:v>
      </x:c>
      <x:c r="D2" s="3" t="str">
        <x:v>1 h 12 min 5s</x:v>
      </x:c>
      <x:c r="E2" s="3" t="str">
        <x:v>fcapoulat@controlunion.com</x:v>
      </x:c>
      <x:c r="F2" s="3" t="str">
        <x:v>fcapoulat@pcugroup.com</x:v>
      </x:c>
      <x:c r="G2" s="3" t="str">
        <x:v>Organizador</x:v>
      </x:c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>
        <x:v>2</x:v>
      </x:c>
      <x:c r="Y2" s="3" t="str"/>
      <x:c r="Z2" s="3" t="str">
        <x:v>2</x:v>
      </x:c>
      <x:c r="AA2" s="3" t="str">
        <x:v>2</x:v>
      </x:c>
      <x:c r="AB2" s="3" t="str"/>
      <x:c r="AC2" s="3" t="str"/>
    </x:row>
    <x:row r="3" ht="45" customHeight="1">
      <x:c r="A3" s="3" t="str">
        <x:v>Belen Lacroze</x:v>
      </x:c>
      <x:c r="B3" s="3" t="str">
        <x:v>10/16/26, 4:00:54 PM</x:v>
      </x:c>
      <x:c r="C3" s="3" t="str">
        <x:v>10/16/26, 4:59:20 PM</x:v>
      </x:c>
      <x:c r="D3" s="3" t="str">
        <x:v>58 min 25s</x:v>
      </x:c>
      <x:c r="E3" s="3" t="str">
        <x:v>belenlacroze@onepeterson.com</x:v>
      </x:c>
      <x:c r="F3" s="3" t="str">
        <x:v>belenlacroze@pcugroup.com</x:v>
      </x:c>
      <x:c r="G3" s="3" t="str">
        <x:v>Organizador</x:v>
      </x:c>
      <x:c r="H3" s="3" t="str"/>
      <x:c r="I3" s="3" t="str"/>
      <x:c r="J3" s="3" t="str"/>
      <x:c r="K3" s="3" t="str"/>
      <x:c r="L3" s="3" t="str"/>
      <x:c r="M3" s="3" t="str"/>
      <x:c r="N3" s="3" t="str"/>
      <x:c r="O3" s="3" t="str"/>
      <x:c r="P3" s="3" t="str"/>
      <x:c r="Q3" s="3" t="str"/>
      <x:c r="R3" s="3" t="str"/>
      <x:c r="S3" s="3" t="str"/>
      <x:c r="T3" s="3" t="str"/>
      <x:c r="U3" s="3" t="str"/>
      <x:c r="V3" s="3" t="str"/>
      <x:c r="W3" s="3" t="str"/>
      <x:c r="X3" s="3" t="str">
        <x:v>1</x:v>
      </x:c>
      <x:c r="Y3" s="3" t="str"/>
      <x:c r="Z3" s="3" t="str">
        <x:v>1</x:v>
      </x:c>
      <x:c r="AA3" s="3" t="str">
        <x:v>1</x:v>
      </x:c>
      <x:c r="AB3" s="3" t="str"/>
      <x:c r="AC3" s="3" t="str"/>
    </x:row>
    <x:row r="4" ht="45" customHeight="1">
      <x:c r="A4" s="3" t="str">
        <x:v>Victoria Colombo</x:v>
      </x:c>
      <x:c r="B4" s="3" t="str">
        <x:v>10/16/26, 4:15:18 PM</x:v>
      </x:c>
      <x:c r="C4" s="3" t="str">
        <x:v>10/16/26, 4:55:08 PM</x:v>
      </x:c>
      <x:c r="D4" s="3" t="str">
        <x:v>39 min 50s</x:v>
      </x:c>
      <x:c r="E4" s="3" t="str">
        <x:v>vcolombo@controlunion.com</x:v>
      </x:c>
      <x:c r="F4" s="3" t="str">
        <x:v>vcolombo@pcugroup.com</x:v>
      </x:c>
      <x:c r="G4" s="3" t="str">
        <x:v>Organizador</x:v>
      </x:c>
      <x:c r="H4" s="3" t="str"/>
      <x:c r="I4" s="3" t="str"/>
      <x:c r="J4" s="3" t="str"/>
      <x:c r="K4" s="3" t="str"/>
      <x:c r="L4" s="3" t="str"/>
      <x:c r="M4" s="3" t="str"/>
      <x:c r="N4" s="3" t="str"/>
      <x:c r="O4" s="3" t="str"/>
      <x:c r="P4" s="3" t="str"/>
      <x:c r="Q4" s="3" t="str"/>
      <x:c r="R4" s="3" t="str"/>
      <x:c r="S4" s="3" t="str"/>
      <x:c r="T4" s="3" t="str"/>
      <x:c r="U4" s="3" t="str"/>
      <x:c r="V4" s="3" t="str"/>
      <x:c r="W4" s="3" t="str"/>
      <x:c r="X4" s="3" t="str"/>
      <x:c r="Y4" s="3" t="str"/>
      <x:c r="Z4" s="3" t="str"/>
      <x:c r="AA4" s="3" t="str"/>
      <x:c r="AB4" s="3" t="str"/>
      <x:c r="AC4" s="3" t="str"/>
    </x:row>
    <x:row r="5" ht="45" customHeight="1">
      <x:c r="A5" s="3" t="str">
        <x:v>Claude Luster</x:v>
      </x:c>
      <x:c r="B5" s="3" t="str">
        <x:v>10/16/26, 3:05:08 PM</x:v>
      </x:c>
      <x:c r="C5" s="3" t="str">
        <x:v>10/16/26, 4:59:59 PM</x:v>
      </x:c>
      <x:c r="D5" s="3" t="str">
        <x:v>1 h 54 min 51s</x:v>
      </x:c>
      <x:c r="E5" s="3" t="str"/>
      <x:c r="F5" s="3" t="str"/>
      <x:c r="G5" s="3" t="str">
        <x:v>Asistente</x:v>
      </x:c>
      <x:c r="H5" s="3" t="str">
        <x:v>Claude</x:v>
      </x:c>
      <x:c r="I5" s="3" t="str">
        <x:v>Luster III</x:v>
      </x:c>
      <x:c r="J5" s="3" t="str">
        <x:v>claude@lr3tech.com</x:v>
      </x:c>
      <x:c r="K5" s="3" t="str">
        <x:v>9/29/26, 12:39:38 PM</x:v>
      </x:c>
      <x:c r="L5" s="3" t="str">
        <x:v>Registrado</x:v>
      </x:c>
      <x:c r="M5" s="3" t="str">
        <x:v>LR3Technologies LLC</x:v>
      </x:c>
      <x:c r="N5" s="3" t="str">
        <x:v>United States</x:v>
      </x:c>
      <x:c r="O5" s="3" t="str"/>
      <x:c r="P5" s="3" t="str"/>
      <x:c r="Q5" s="3" t="str"/>
      <x:c r="R5" s="3" t="str"/>
      <x:c r="S5" s="3" t="str"/>
      <x:c r="T5" s="3" t="str"/>
      <x:c r="U5" s="3" t="str"/>
      <x:c r="V5" s="3" t="str"/>
      <x:c r="W5" s="3" t="str"/>
      <x:c r="X5" s="3" t="str"/>
      <x:c r="Y5" s="3" t="str"/>
      <x:c r="Z5" s="3" t="str">
        <x:v>1</x:v>
      </x:c>
      <x:c r="AA5" s="3" t="str"/>
      <x:c r="AB5" s="3" t="str"/>
      <x:c r="AC5" s="3" t="str">
        <x:v>1</x:v>
      </x:c>
    </x:row>
    <x:row r="6" ht="45" customHeight="1">
      <x:c r="A6" s="3" t="str">
        <x:v>Henry Sherrington</x:v>
      </x:c>
      <x:c r="B6" s="3" t="str">
        <x:v>10/16/26, 3:25:55 PM</x:v>
      </x:c>
      <x:c r="C6" s="3" t="str">
        <x:v>10/16/26, 4:53:43 PM</x:v>
      </x:c>
      <x:c r="D6" s="3" t="str">
        <x:v>1 h 27 min 48s</x:v>
      </x:c>
      <x:c r="E6" s="3" t="str">
        <x:v>hsherrington@amerracapital.com</x:v>
      </x:c>
      <x:c r="F6" s="3" t="str">
        <x:v>hsherrington@amerracapital.com</x:v>
      </x:c>
      <x:c r="G6" s="3" t="str">
        <x:v>Asistente</x:v>
      </x:c>
      <x:c r="H6" s="3" t="str">
        <x:v>Henry</x:v>
      </x:c>
      <x:c r="I6" s="3" t="str">
        <x:v>Sherrington</x:v>
      </x:c>
      <x:c r="J6" s="3" t="str">
        <x:v>hsherrington@amerracapital.com</x:v>
      </x:c>
      <x:c r="K6" s="3" t="str">
        <x:v>9/22/26, 6:17:50 PM</x:v>
      </x:c>
      <x:c r="L6" s="3" t="str">
        <x:v>Registrado</x:v>
      </x:c>
      <x:c r="M6" s="3" t="str">
        <x:v>AMERRA Capital Management</x:v>
      </x:c>
      <x:c r="N6" s="3" t="str">
        <x:v>United States</x:v>
      </x:c>
      <x:c r="O6" s="3" t="str"/>
      <x:c r="P6" s="3" t="str"/>
      <x:c r="Q6" s="3" t="str"/>
      <x:c r="R6" s="3" t="str"/>
      <x:c r="S6" s="3" t="str"/>
      <x:c r="T6" s="3" t="str"/>
      <x:c r="U6" s="3" t="str"/>
      <x:c r="V6" s="3" t="str"/>
      <x:c r="W6" s="3" t="str"/>
      <x:c r="X6" s="3" t="str"/>
      <x:c r="Y6" s="3" t="str"/>
      <x:c r="Z6" s="3" t="str"/>
      <x:c r="AA6" s="3" t="str"/>
      <x:c r="AB6" s="3" t="str"/>
      <x:c r="AC6" s="3" t="str"/>
    </x:row>
    <x:row r="7" ht="45" customHeight="1">
      <x:c r="A7" s="3" t="str">
        <x:v>Robin Vercruse (LCFC) (No comprobado)</x:v>
      </x:c>
      <x:c r="B7" s="3" t="str">
        <x:v>10/16/26, 3:43:37 PM</x:v>
      </x:c>
      <x:c r="C7" s="3" t="str">
        <x:v>10/16/26, 4:59:13 PM</x:v>
      </x:c>
      <x:c r="D7" s="3" t="str">
        <x:v>1 h 15 min 36s</x:v>
      </x:c>
      <x:c r="E7" s="3" t="str">
        <x:v>robin@lcfcoalition.com</x:v>
      </x:c>
      <x:c r="F7" s="3" t="str">
        <x:v>robin@lcfcoalition.com</x:v>
      </x:c>
      <x:c r="G7" s="3" t="str">
        <x:v>Moderador externo</x:v>
      </x:c>
      <x:c r="H7" s="3" t="str"/>
      <x:c r="I7" s="3" t="str"/>
      <x:c r="J7" s="3" t="str"/>
      <x:c r="K7" s="3" t="str"/>
      <x:c r="L7" s="3" t="str"/>
      <x:c r="M7" s="3" t="str"/>
      <x:c r="N7" s="3" t="str"/>
      <x:c r="O7" s="3" t="str"/>
      <x:c r="P7" s="3" t="str"/>
      <x:c r="Q7" s="3" t="str"/>
      <x:c r="R7" s="3" t="str"/>
      <x:c r="S7" s="3" t="str"/>
      <x:c r="T7" s="3" t="str"/>
      <x:c r="U7" s="3" t="str"/>
      <x:c r="V7" s="3" t="str"/>
      <x:c r="W7" s="3" t="str"/>
      <x:c r="X7" s="3" t="str">
        <x:v>2</x:v>
      </x:c>
      <x:c r="Y7" s="3" t="str"/>
      <x:c r="Z7" s="3" t="str">
        <x:v>3</x:v>
      </x:c>
      <x:c r="AA7" s="3" t="str">
        <x:v>1</x:v>
      </x:c>
      <x:c r="AB7" s="3" t="str"/>
      <x:c r="AC7" s="3" t="str"/>
    </x:row>
    <x:row r="8" ht="45" customHeight="1">
      <x:c r="A8" s="3" t="str">
        <x:v>David Lindenmuth</x:v>
      </x:c>
      <x:c r="B8" s="3" t="str">
        <x:v>10/16/26, 3:46:29 PM</x:v>
      </x:c>
      <x:c r="C8" s="3" t="str">
        <x:v>10/16/26, 4:59:23 PM</x:v>
      </x:c>
      <x:c r="D8" s="3" t="str">
        <x:v>1 h 12 min 53s</x:v>
      </x:c>
      <x:c r="E8" s="3" t="str">
        <x:v>dlindenmuth@calbioenergy.com</x:v>
      </x:c>
      <x:c r="F8" s="3" t="str">
        <x:v>dlindenmuth@calbioenergy.com</x:v>
      </x:c>
      <x:c r="G8" s="3" t="str">
        <x:v>Moderador externo</x:v>
      </x:c>
      <x:c r="H8" s="3" t="str"/>
      <x:c r="I8" s="3" t="str"/>
      <x:c r="J8" s="3" t="str"/>
      <x:c r="K8" s="3" t="str"/>
      <x:c r="L8" s="3" t="str"/>
      <x:c r="M8" s="3" t="str"/>
      <x:c r="N8" s="3" t="str"/>
      <x:c r="O8" s="3" t="str"/>
      <x:c r="P8" s="3" t="str"/>
      <x:c r="Q8" s="3" t="str"/>
      <x:c r="R8" s="3" t="str"/>
      <x:c r="S8" s="3" t="str"/>
      <x:c r="T8" s="3" t="str"/>
      <x:c r="U8" s="3" t="str"/>
      <x:c r="V8" s="3" t="str"/>
      <x:c r="W8" s="3" t="str"/>
      <x:c r="X8" s="3" t="str">
        <x:v>2</x:v>
      </x:c>
      <x:c r="Y8" s="3" t="str"/>
      <x:c r="Z8" s="3" t="str">
        <x:v>3</x:v>
      </x:c>
      <x:c r="AA8" s="3" t="str">
        <x:v>2</x:v>
      </x:c>
      <x:c r="AB8" s="3" t="str"/>
      <x:c r="AC8" s="3" t="str"/>
    </x:row>
    <x:row r="9" ht="45" customHeight="1">
      <x:c r="A9" s="3" t="str">
        <x:v>Lisa Hanke</x:v>
      </x:c>
      <x:c r="B9" s="3" t="str">
        <x:v>10/16/26, 3:52:20 PM</x:v>
      </x:c>
      <x:c r="C9" s="3" t="str">
        <x:v>10/16/26, 4:59:17 PM</x:v>
      </x:c>
      <x:c r="D9" s="3" t="str">
        <x:v>1 h 6 min 56s</x:v>
      </x:c>
      <x:c r="E9" s="3" t="str">
        <x:v>lhanke@onepeterson.com</x:v>
      </x:c>
      <x:c r="F9" s="3" t="str">
        <x:v>lhanke@pcugroup.com</x:v>
      </x:c>
      <x:c r="G9" s="3" t="str">
        <x:v>Moderador</x:v>
      </x:c>
      <x:c r="H9" s="3" t="str"/>
      <x:c r="I9" s="3" t="str"/>
      <x:c r="J9" s="3" t="str"/>
      <x:c r="K9" s="3" t="str"/>
      <x:c r="L9" s="3" t="str"/>
      <x:c r="M9" s="3" t="str"/>
      <x:c r="N9" s="3" t="str"/>
      <x:c r="O9" s="3" t="str"/>
      <x:c r="P9" s="3" t="str"/>
      <x:c r="Q9" s="3" t="str"/>
      <x:c r="R9" s="3" t="str">
        <x:v>1</x:v>
      </x:c>
      <x:c r="S9" s="3" t="str"/>
      <x:c r="T9" s="3" t="str"/>
      <x:c r="U9" s="3" t="str"/>
      <x:c r="V9" s="3" t="str"/>
      <x:c r="W9" s="3" t="str"/>
      <x:c r="X9" s="3" t="str">
        <x:v>1</x:v>
      </x:c>
      <x:c r="Y9" s="3" t="str"/>
      <x:c r="Z9" s="3" t="str">
        <x:v>2</x:v>
      </x:c>
      <x:c r="AA9" s="3" t="str"/>
      <x:c r="AB9" s="3" t="str"/>
      <x:c r="AC9" s="3" t="str"/>
    </x:row>
    <x:row r="10" ht="45" customHeight="1">
      <x:c r="A10" s="3" t="str">
        <x:v>Raphael Berkien</x:v>
      </x:c>
      <x:c r="B10" s="3" t="str">
        <x:v>10/16/26, 3:54:27 PM</x:v>
      </x:c>
      <x:c r="C10" s="3" t="str">
        <x:v>10/16/26, 4:02:19 PM</x:v>
      </x:c>
      <x:c r="D10" s="3" t="str">
        <x:v>3 min 56s</x:v>
      </x:c>
      <x:c r="E10" s="3" t="str">
        <x:v>rberkien@transworldtechinc.com</x:v>
      </x:c>
      <x:c r="F10" s="3" t="str">
        <x:v>rberkien@transworldtechinc.com</x:v>
      </x:c>
      <x:c r="G10" s="3" t="str">
        <x:v>Asistente</x:v>
      </x:c>
      <x:c r="H10" s="3" t="str">
        <x:v>Raphael</x:v>
      </x:c>
      <x:c r="I10" s="3" t="str">
        <x:v>Berkien</x:v>
      </x:c>
      <x:c r="J10" s="3" t="str">
        <x:v>rberkien@transworldtechinc.com</x:v>
      </x:c>
      <x:c r="K10" s="3" t="str">
        <x:v>9/23/26, 9:19:55 PM</x:v>
      </x:c>
      <x:c r="L10" s="3" t="str">
        <x:v>Registrado</x:v>
      </x:c>
      <x:c r="M10" s="3" t="str">
        <x:v>Transworld Technologies Inc.</x:v>
      </x:c>
      <x:c r="N10" s="3" t="str">
        <x:v>USA</x:v>
      </x:c>
      <x:c r="O10" s="3" t="str"/>
      <x:c r="P10" s="3" t="str"/>
      <x:c r="Q10" s="3" t="str"/>
      <x:c r="R10" s="3" t="str"/>
      <x:c r="S10" s="3" t="str"/>
      <x:c r="T10" s="3" t="str"/>
      <x:c r="U10" s="3" t="str"/>
      <x:c r="V10" s="3" t="str"/>
      <x:c r="W10" s="3" t="str"/>
      <x:c r="X10" s="3" t="str"/>
      <x:c r="Y10" s="3" t="str"/>
      <x:c r="Z10" s="3" t="str"/>
      <x:c r="AA10" s="3" t="str"/>
      <x:c r="AB10" s="3" t="str"/>
      <x:c r="AC10" s="3" t="str"/>
    </x:row>
    <x:row r="11" ht="45" customHeight="1">
      <x:c r="A11" s="3" t="str">
        <x:v>Sebastian Morrone</x:v>
      </x:c>
      <x:c r="B11" s="3" t="str">
        <x:v>10/16/26, 3:57:39 PM</x:v>
      </x:c>
      <x:c r="C11" s="3" t="str">
        <x:v>10/16/26, 4:10:40 PM</x:v>
      </x:c>
      <x:c r="D11" s="3" t="str">
        <x:v>13 min</x:v>
      </x:c>
      <x:c r="E11" s="3" t="str">
        <x:v>smorrone@controlunion.com</x:v>
      </x:c>
      <x:c r="F11" s="3" t="str">
        <x:v>smorrone@pcugroup.com</x:v>
      </x:c>
      <x:c r="G11" s="3" t="str">
        <x:v>Asistente</x:v>
      </x:c>
      <x:c r="H11" s="3" t="str">
        <x:v>Sebastian</x:v>
      </x:c>
      <x:c r="I11" s="3" t="str">
        <x:v>Morrone</x:v>
      </x:c>
      <x:c r="J11" s="3" t="str">
        <x:v>smorrone@controlunion.com</x:v>
      </x:c>
      <x:c r="K11" s="3" t="str">
        <x:v>10/16/26, 11:40:02 AM</x:v>
      </x:c>
      <x:c r="L11" s="3" t="str">
        <x:v>Registrado</x:v>
      </x:c>
      <x:c r="M11" s="3" t="str">
        <x:v>Control Union Argentina S.A.</x:v>
      </x:c>
      <x:c r="N11" s="3" t="str">
        <x:v>Argentina</x:v>
      </x:c>
      <x:c r="O11" s="3" t="str"/>
      <x:c r="P11" s="3" t="str"/>
      <x:c r="Q11" s="3" t="str"/>
      <x:c r="R11" s="3" t="str"/>
      <x:c r="S11" s="3" t="str"/>
      <x:c r="T11" s="3" t="str"/>
      <x:c r="U11" s="3" t="str"/>
      <x:c r="V11" s="3" t="str"/>
      <x:c r="W11" s="3" t="str"/>
      <x:c r="X11" s="3" t="str"/>
      <x:c r="Y11" s="3" t="str"/>
      <x:c r="Z11" s="3" t="str"/>
      <x:c r="AA11" s="3" t="str"/>
      <x:c r="AB11" s="3" t="str"/>
      <x:c r="AC11" s="3" t="str"/>
    </x:row>
    <x:row r="12" ht="45" customHeight="1">
      <x:c r="A12" s="3" t="str">
        <x:v>Mennino, Jason</x:v>
      </x:c>
      <x:c r="B12" s="3" t="str">
        <x:v>10/16/26, 3:59:02 PM</x:v>
      </x:c>
      <x:c r="C12" s="3" t="str">
        <x:v>10/16/26, 4:26:09 PM</x:v>
      </x:c>
      <x:c r="D12" s="3" t="str">
        <x:v>27 min 6s</x:v>
      </x:c>
      <x:c r="E12" s="3" t="str">
        <x:v>MenninoJason@bfusa.com</x:v>
      </x:c>
      <x:c r="F12" s="3" t="str">
        <x:v>MenninoJason@BFUSA.com</x:v>
      </x:c>
      <x:c r="G12" s="3" t="str">
        <x:v>Asistente</x:v>
      </x:c>
      <x:c r="H12" s="3" t="str">
        <x:v>Jason</x:v>
      </x:c>
      <x:c r="I12" s="3" t="str">
        <x:v>Mennino</x:v>
      </x:c>
      <x:c r="J12" s="3" t="str">
        <x:v>menninojason@bfusa.com</x:v>
      </x:c>
      <x:c r="K12" s="3" t="str">
        <x:v>10/13/26, 8:46:33 AM</x:v>
      </x:c>
      <x:c r="L12" s="3" t="str">
        <x:v>Registrado</x:v>
      </x:c>
      <x:c r="M12" s="3" t="str">
        <x:v>Bridgestone Americas</x:v>
      </x:c>
      <x:c r="N12" s="3" t="str">
        <x:v>USA</x:v>
      </x:c>
      <x:c r="O12" s="3" t="str"/>
      <x:c r="P12" s="3" t="str"/>
      <x:c r="Q12" s="3" t="str"/>
      <x:c r="R12" s="3" t="str"/>
      <x:c r="S12" s="3" t="str"/>
      <x:c r="T12" s="3" t="str"/>
      <x:c r="U12" s="3" t="str"/>
      <x:c r="V12" s="3" t="str"/>
      <x:c r="W12" s="3" t="str"/>
      <x:c r="X12" s="3" t="str"/>
      <x:c r="Y12" s="3" t="str"/>
      <x:c r="Z12" s="3" t="str"/>
      <x:c r="AA12" s="3" t="str"/>
      <x:c r="AB12" s="3" t="str"/>
      <x:c r="AC12" s="3" t="str"/>
    </x:row>
    <x:row r="13" ht="45" customHeight="1">
      <x:c r="A13" s="3" t="str">
        <x:v>Antonio Villaluenga (Externo)</x:v>
      </x:c>
      <x:c r="B13" s="3" t="str">
        <x:v>10/16/26, 3:59:12 PM</x:v>
      </x:c>
      <x:c r="C13" s="3" t="str">
        <x:v>10/16/26, 4:23:27 PM</x:v>
      </x:c>
      <x:c r="D13" s="3" t="str">
        <x:v>24 min 14s</x:v>
      </x:c>
      <x:c r="E13" s="3" t="str">
        <x:v>Antonio@thermafuels.com</x:v>
      </x:c>
      <x:c r="F13" s="3" t="str">
        <x:v>Antonio@thermafuels.com</x:v>
      </x:c>
      <x:c r="G13" s="3" t="str">
        <x:v>Asistente</x:v>
      </x:c>
      <x:c r="H13" s="3" t="str">
        <x:v>Antonio</x:v>
      </x:c>
      <x:c r="I13" s="3" t="str">
        <x:v>Villaluenga</x:v>
      </x:c>
      <x:c r="J13" s="3" t="str">
        <x:v>antonio@thermafuels.com</x:v>
      </x:c>
      <x:c r="K13" s="3" t="str">
        <x:v>10/08/26, 3:23:41 PM</x:v>
      </x:c>
      <x:c r="L13" s="3" t="str">
        <x:v>Registrado</x:v>
      </x:c>
      <x:c r="M13" s="3" t="str"/>
      <x:c r="N13" s="3" t="str"/>
      <x:c r="O13" s="3" t="str"/>
      <x:c r="P13" s="3" t="str"/>
      <x:c r="Q13" s="3" t="str"/>
      <x:c r="R13" s="3" t="str"/>
      <x:c r="S13" s="3" t="str"/>
      <x:c r="T13" s="3" t="str"/>
      <x:c r="U13" s="3" t="str"/>
      <x:c r="V13" s="3" t="str"/>
      <x:c r="W13" s="3" t="str"/>
      <x:c r="X13" s="3" t="str"/>
      <x:c r="Y13" s="3" t="str"/>
      <x:c r="Z13" s="3" t="str"/>
      <x:c r="AA13" s="3" t="str"/>
      <x:c r="AB13" s="3" t="str"/>
      <x:c r="AC13" s="3" t="str"/>
    </x:row>
    <x:row r="14" ht="45" customHeight="1">
      <x:c r="A14" s="3" t="str">
        <x:v>Ignacio Benavides</x:v>
      </x:c>
      <x:c r="B14" s="3" t="str">
        <x:v>10/16/26, 3:59:33 PM</x:v>
      </x:c>
      <x:c r="C14" s="3" t="str">
        <x:v>10/16/26, 4:41:02 PM</x:v>
      </x:c>
      <x:c r="D14" s="3" t="str">
        <x:v>41 min 28s</x:v>
      </x:c>
      <x:c r="E14" s="3" t="str">
        <x:v>ibenavides@controlunion.com</x:v>
      </x:c>
      <x:c r="F14" s="3" t="str">
        <x:v>ibenavides@pcugroup.com</x:v>
      </x:c>
      <x:c r="G14" s="3" t="str">
        <x:v>Asistente</x:v>
      </x:c>
      <x:c r="H14" s="3" t="str">
        <x:v>Ignacio</x:v>
      </x:c>
      <x:c r="I14" s="3" t="str">
        <x:v>Benavides</x:v>
      </x:c>
      <x:c r="J14" s="3" t="str">
        <x:v>ibenavides@controlunion.com</x:v>
      </x:c>
      <x:c r="K14" s="3" t="str">
        <x:v>10/16/26, 11:47:09 AM</x:v>
      </x:c>
      <x:c r="L14" s="3" t="str">
        <x:v>Registrado</x:v>
      </x:c>
      <x:c r="M14" s="3" t="str">
        <x:v>Control union </x:v>
      </x:c>
      <x:c r="N14" s="3" t="str">
        <x:v>Brasil </x:v>
      </x:c>
      <x:c r="O14" s="3" t="str"/>
      <x:c r="P14" s="3" t="str"/>
      <x:c r="Q14" s="3" t="str"/>
      <x:c r="R14" s="3" t="str"/>
      <x:c r="S14" s="3" t="str"/>
      <x:c r="T14" s="3" t="str"/>
      <x:c r="U14" s="3" t="str"/>
      <x:c r="V14" s="3" t="str"/>
      <x:c r="W14" s="3" t="str"/>
      <x:c r="X14" s="3" t="str"/>
      <x:c r="Y14" s="3" t="str"/>
      <x:c r="Z14" s="3" t="str"/>
      <x:c r="AA14" s="3" t="str"/>
      <x:c r="AB14" s="3" t="str"/>
      <x:c r="AC14" s="3" t="str"/>
    </x:row>
    <x:row r="15" ht="45" customHeight="1">
      <x:c r="A15" s="3" t="str">
        <x:v>Jack Rosa</x:v>
      </x:c>
      <x:c r="B15" s="3" t="str">
        <x:v>10/16/26, 3:59:41 PM</x:v>
      </x:c>
      <x:c r="C15" s="3" t="str">
        <x:v>10/16/26, 4:15:21 PM</x:v>
      </x:c>
      <x:c r="D15" s="3" t="str">
        <x:v>15 min 40s</x:v>
      </x:c>
      <x:c r="E15" s="3" t="str">
        <x:v>jrosa@calbioenergy.com</x:v>
      </x:c>
      <x:c r="F15" s="3" t="str">
        <x:v>jrosa@calbioenergy.com</x:v>
      </x:c>
      <x:c r="G15" s="3" t="str">
        <x:v>Asistente</x:v>
      </x:c>
      <x:c r="H15" s="3" t="str">
        <x:v>Jack</x:v>
      </x:c>
      <x:c r="I15" s="3" t="str">
        <x:v>Rosa</x:v>
      </x:c>
      <x:c r="J15" s="3" t="str">
        <x:v>jrosa@calbioenergy.com</x:v>
      </x:c>
      <x:c r="K15" s="3" t="str">
        <x:v>10/01/26, 8:14:40 PM</x:v>
      </x:c>
      <x:c r="L15" s="3" t="str">
        <x:v>Registrado</x:v>
      </x:c>
      <x:c r="M15" s="3" t="str">
        <x:v>California Bioenergy</x:v>
      </x:c>
      <x:c r="N15" s="3" t="str">
        <x:v>United States</x:v>
      </x:c>
      <x:c r="O15" s="3" t="str"/>
      <x:c r="P15" s="3" t="str"/>
      <x:c r="Q15" s="3" t="str"/>
      <x:c r="R15" s="3" t="str"/>
      <x:c r="S15" s="3" t="str"/>
      <x:c r="T15" s="3" t="str"/>
      <x:c r="U15" s="3" t="str"/>
      <x:c r="V15" s="3" t="str"/>
      <x:c r="W15" s="3" t="str"/>
      <x:c r="X15" s="3" t="str"/>
      <x:c r="Y15" s="3" t="str"/>
      <x:c r="Z15" s="3" t="str">
        <x:v>1</x:v>
      </x:c>
      <x:c r="AA15" s="3" t="str"/>
      <x:c r="AB15" s="3" t="str"/>
      <x:c r="AC15" s="3" t="str"/>
    </x:row>
    <x:row r="16" ht="45" customHeight="1">
      <x:c r="A16" s="3" t="str">
        <x:v>Jeff Klingenberg (Externo)</x:v>
      </x:c>
      <x:c r="B16" s="3" t="str">
        <x:v>10/16/26, 4:00:02 PM</x:v>
      </x:c>
      <x:c r="C16" s="3" t="str">
        <x:v>10/16/26, 4:07:12 PM</x:v>
      </x:c>
      <x:c r="D16" s="3" t="str">
        <x:v>7 min 10s</x:v>
      </x:c>
      <x:c r="E16" s="3" t="str">
        <x:v>jeff.klingenberg@visionbioseeds.com</x:v>
      </x:c>
      <x:c r="F16" s="3" t="str">
        <x:v>jeff.klingenberg@visionbioseeds.com</x:v>
      </x:c>
      <x:c r="G16" s="3" t="str">
        <x:v>Asistente</x:v>
      </x:c>
      <x:c r="H16" s="3" t="str">
        <x:v>Jeff</x:v>
      </x:c>
      <x:c r="I16" s="3" t="str">
        <x:v>Klingenberg</x:v>
      </x:c>
      <x:c r="J16" s="3" t="str">
        <x:v>jeff.klingenberg@visionbioseeds.com</x:v>
      </x:c>
      <x:c r="K16" s="3" t="str">
        <x:v>10/07/26, 1:15:11 PM</x:v>
      </x:c>
      <x:c r="L16" s="3" t="str">
        <x:v>Registrado</x:v>
      </x:c>
      <x:c r="M16" s="3" t="str">
        <x:v>Vision Bioenergy Oilseeds LLC</x:v>
      </x:c>
      <x:c r="N16" s="3" t="str">
        <x:v>United States</x:v>
      </x:c>
      <x:c r="O16" s="3" t="str"/>
      <x:c r="P16" s="3" t="str"/>
      <x:c r="Q16" s="3" t="str"/>
      <x:c r="R16" s="3" t="str"/>
      <x:c r="S16" s="3" t="str"/>
      <x:c r="T16" s="3" t="str"/>
      <x:c r="U16" s="3" t="str"/>
      <x:c r="V16" s="3" t="str"/>
      <x:c r="W16" s="3" t="str"/>
      <x:c r="X16" s="3" t="str"/>
      <x:c r="Y16" s="3" t="str"/>
      <x:c r="Z16" s="3" t="str"/>
      <x:c r="AA16" s="3" t="str"/>
      <x:c r="AB16" s="3" t="str"/>
      <x:c r="AC16" s="3" t="str"/>
    </x:row>
    <x:row r="17" ht="45" customHeight="1">
      <x:c r="A17" s="3" t="str">
        <x:v>Geoff Fichtl</x:v>
      </x:c>
      <x:c r="B17" s="3" t="str">
        <x:v>10/16/26, 4:00:14 PM</x:v>
      </x:c>
      <x:c r="C17" s="3" t="str">
        <x:v>10/16/26, 4:59:14 PM</x:v>
      </x:c>
      <x:c r="D17" s="3" t="str">
        <x:v>58 min 59s</x:v>
      </x:c>
      <x:c r="E17" s="3" t="str">
        <x:v>Geoff.fichtl@lanzajet.com</x:v>
      </x:c>
      <x:c r="F17" s="3" t="str">
        <x:v>Geoff.fichtl@lanzajet.com</x:v>
      </x:c>
      <x:c r="G17" s="3" t="str">
        <x:v>Asistente</x:v>
      </x:c>
      <x:c r="H17" s="3" t="str">
        <x:v>Geoffrey</x:v>
      </x:c>
      <x:c r="I17" s="3" t="str">
        <x:v>Fichtl</x:v>
      </x:c>
      <x:c r="J17" s="3" t="str">
        <x:v>geoff.fichtl@lanzajet.com</x:v>
      </x:c>
      <x:c r="K17" s="3" t="str">
        <x:v>10/01/26, 3:18:39 PM</x:v>
      </x:c>
      <x:c r="L17" s="3" t="str">
        <x:v>Registrado</x:v>
      </x:c>
      <x:c r="M17" s="3" t="str">
        <x:v>LanzaJet</x:v>
      </x:c>
      <x:c r="N17" s="3" t="str">
        <x:v>United States</x:v>
      </x:c>
      <x:c r="O17" s="3" t="str"/>
      <x:c r="P17" s="3" t="str"/>
      <x:c r="Q17" s="3" t="str"/>
      <x:c r="R17" s="3" t="str"/>
      <x:c r="S17" s="3" t="str"/>
      <x:c r="T17" s="3" t="str"/>
      <x:c r="U17" s="3" t="str"/>
      <x:c r="V17" s="3" t="str"/>
      <x:c r="W17" s="3" t="str"/>
      <x:c r="X17" s="3" t="str"/>
      <x:c r="Y17" s="3" t="str"/>
      <x:c r="Z17" s="3" t="str"/>
      <x:c r="AA17" s="3" t="str"/>
      <x:c r="AB17" s="3" t="str"/>
      <x:c r="AC17" s="3" t="str"/>
    </x:row>
    <x:row r="18" ht="45" customHeight="1">
      <x:c r="A18" s="3" t="str">
        <x:v>Carlos Rainero</x:v>
      </x:c>
      <x:c r="B18" s="3" t="str">
        <x:v>10/16/26, 4:01:02 PM</x:v>
      </x:c>
      <x:c r="C18" s="3" t="str">
        <x:v>10/16/26, 4:59:14 PM</x:v>
      </x:c>
      <x:c r="D18" s="3" t="str">
        <x:v>58 min 12s</x:v>
      </x:c>
      <x:c r="E18" s="3" t="str">
        <x:v>crainero@controlunion.com</x:v>
      </x:c>
      <x:c r="F18" s="3" t="str">
        <x:v>crainero@pcugroup.com</x:v>
      </x:c>
      <x:c r="G18" s="3" t="str">
        <x:v>Asistente</x:v>
      </x:c>
      <x:c r="H18" s="3" t="str">
        <x:v>Carlos</x:v>
      </x:c>
      <x:c r="I18" s="3" t="str">
        <x:v>Rainero</x:v>
      </x:c>
      <x:c r="J18" s="3" t="str">
        <x:v>crainero@controlunion.com</x:v>
      </x:c>
      <x:c r="K18" s="3" t="str">
        <x:v>10/16/26, 11:51:30 AM</x:v>
      </x:c>
      <x:c r="L18" s="3" t="str">
        <x:v>Registrado</x:v>
      </x:c>
      <x:c r="M18" s="3" t="str">
        <x:v>CONTROL UNION CANADA</x:v>
      </x:c>
      <x:c r="N18" s="3" t="str">
        <x:v>Canada</x:v>
      </x:c>
      <x:c r="O18" s="3" t="str"/>
      <x:c r="P18" s="3" t="str"/>
      <x:c r="Q18" s="3" t="str"/>
      <x:c r="R18" s="3" t="str"/>
      <x:c r="S18" s="3" t="str">
        <x:v>2</x:v>
      </x:c>
      <x:c r="T18" s="3" t="str"/>
      <x:c r="U18" s="3" t="str"/>
      <x:c r="V18" s="3" t="str"/>
      <x:c r="W18" s="3" t="str"/>
      <x:c r="X18" s="3" t="str"/>
      <x:c r="Y18" s="3" t="str"/>
      <x:c r="Z18" s="3" t="str"/>
      <x:c r="AA18" s="3" t="str"/>
      <x:c r="AB18" s="3" t="str"/>
      <x:c r="AC18" s="3" t="str"/>
    </x:row>
    <x:row r="19" ht="45" customHeight="1">
      <x:c r="A19" s="3" t="str">
        <x:v>Darren Ongyerth (Externo)</x:v>
      </x:c>
      <x:c r="B19" s="3" t="str">
        <x:v>10/16/26, 4:01:07 PM</x:v>
      </x:c>
      <x:c r="C19" s="3" t="str">
        <x:v>10/16/26, 4:46:10 PM</x:v>
      </x:c>
      <x:c r="D19" s="3" t="str">
        <x:v>45 min 3s</x:v>
      </x:c>
      <x:c r="E19" s="3" t="str">
        <x:v>dongyerth@azuresf.com</x:v>
      </x:c>
      <x:c r="F19" s="3" t="str">
        <x:v>dongyerth@azuresf.com</x:v>
      </x:c>
      <x:c r="G19" s="3" t="str">
        <x:v>Asistente</x:v>
      </x:c>
      <x:c r="H19" s="3" t="str">
        <x:v>Darren</x:v>
      </x:c>
      <x:c r="I19" s="3" t="str">
        <x:v>Ongyerth</x:v>
      </x:c>
      <x:c r="J19" s="3" t="str">
        <x:v>dongyerth@azuresf.com</x:v>
      </x:c>
      <x:c r="K19" s="3" t="str">
        <x:v>9/24/26, 5:23:02 PM</x:v>
      </x:c>
      <x:c r="L19" s="3" t="str">
        <x:v>Registrado</x:v>
      </x:c>
      <x:c r="M19" s="3" t="str">
        <x:v>Azure Sustainable Fuels Corp.</x:v>
      </x:c>
      <x:c r="N19" s="3" t="str">
        <x:v>Canada</x:v>
      </x:c>
      <x:c r="O19" s="3" t="str"/>
      <x:c r="P19" s="3" t="str"/>
      <x:c r="Q19" s="3" t="str"/>
      <x:c r="R19" s="3" t="str"/>
      <x:c r="S19" s="3" t="str"/>
      <x:c r="T19" s="3" t="str"/>
      <x:c r="U19" s="3" t="str"/>
      <x:c r="V19" s="3" t="str"/>
      <x:c r="W19" s="3" t="str"/>
      <x:c r="X19" s="3" t="str"/>
      <x:c r="Y19" s="3" t="str"/>
      <x:c r="Z19" s="3" t="str"/>
      <x:c r="AA19" s="3" t="str"/>
      <x:c r="AB19" s="3" t="str"/>
      <x:c r="AC19" s="3" t="str"/>
    </x:row>
    <x:row r="20" ht="45" customHeight="1">
      <x:c r="A20" s="3" t="str">
        <x:v>Santillan-Jimenez, Eduardo (Externo)</x:v>
      </x:c>
      <x:c r="B20" s="3" t="str">
        <x:v>10/16/26, 4:01:09 PM</x:v>
      </x:c>
      <x:c r="C20" s="3" t="str">
        <x:v>10/16/26, 4:33:13 PM</x:v>
      </x:c>
      <x:c r="D20" s="3" t="str">
        <x:v>32 min 4s</x:v>
      </x:c>
      <x:c r="E20" s="3" t="str">
        <x:v>esant3@uky.edu</x:v>
      </x:c>
      <x:c r="F20" s="3" t="str">
        <x:v>esant3@uky.edu</x:v>
      </x:c>
      <x:c r="G20" s="3" t="str">
        <x:v>Asistente</x:v>
      </x:c>
      <x:c r="H20" s="3" t="str">
        <x:v>Eduardo</x:v>
      </x:c>
      <x:c r="I20" s="3" t="str">
        <x:v>Santillan-Jimenez</x:v>
      </x:c>
      <x:c r="J20" s="3" t="str">
        <x:v>esant3@uky.edu</x:v>
      </x:c>
      <x:c r="K20" s="3" t="str">
        <x:v>10/06/26, 3:01:07 PM</x:v>
      </x:c>
      <x:c r="L20" s="3" t="str">
        <x:v>Registrado</x:v>
      </x:c>
      <x:c r="M20" s="3" t="str">
        <x:v>University of Kentucky</x:v>
      </x:c>
      <x:c r="N20" s="3" t="str">
        <x:v>United States</x:v>
      </x:c>
      <x:c r="O20" s="3" t="str"/>
      <x:c r="P20" s="3" t="str"/>
      <x:c r="Q20" s="3" t="str"/>
      <x:c r="R20" s="3" t="str"/>
      <x:c r="S20" s="3" t="str"/>
      <x:c r="T20" s="3" t="str"/>
      <x:c r="U20" s="3" t="str"/>
      <x:c r="V20" s="3" t="str"/>
      <x:c r="W20" s="3" t="str"/>
      <x:c r="X20" s="3" t="str"/>
      <x:c r="Y20" s="3" t="str"/>
      <x:c r="Z20" s="3" t="str"/>
      <x:c r="AA20" s="3" t="str"/>
      <x:c r="AB20" s="3" t="str"/>
      <x:c r="AC20" s="3" t="str"/>
    </x:row>
    <x:row r="21" ht="45" customHeight="1">
      <x:c r="A21" s="3" t="str">
        <x:v>Raphael Berkien (No comprobado)</x:v>
      </x:c>
      <x:c r="B21" s="3" t="str">
        <x:v>10/16/26, 4:01:14 PM</x:v>
      </x:c>
      <x:c r="C21" s="3" t="str">
        <x:v>10/16/26, 4:06:25 PM</x:v>
      </x:c>
      <x:c r="D21" s="3" t="str">
        <x:v>5 min 11s</x:v>
      </x:c>
      <x:c r="E21" s="3" t="str"/>
      <x:c r="F21" s="3" t="str"/>
      <x:c r="G21" s="3" t="str">
        <x:v>Asistente</x:v>
      </x:c>
      <x:c r="H21" s="3" t="str">
        <x:v>Raphael</x:v>
      </x:c>
      <x:c r="I21" s="3" t="str">
        <x:v>Berkien</x:v>
      </x:c>
      <x:c r="J21" s="3" t="str">
        <x:v>rberkien@transworldtechinc.com</x:v>
      </x:c>
      <x:c r="K21" s="3" t="str">
        <x:v>9/23/26, 9:19:55 PM</x:v>
      </x:c>
      <x:c r="L21" s="3" t="str">
        <x:v>Registrado</x:v>
      </x:c>
      <x:c r="M21" s="3" t="str">
        <x:v>Transworld Technologies Inc.</x:v>
      </x:c>
      <x:c r="N21" s="3" t="str">
        <x:v>USA</x:v>
      </x:c>
      <x:c r="O21" s="3" t="str"/>
      <x:c r="P21" s="3" t="str"/>
      <x:c r="Q21" s="3" t="str"/>
      <x:c r="R21" s="3" t="str"/>
      <x:c r="S21" s="3" t="str"/>
      <x:c r="T21" s="3" t="str"/>
      <x:c r="U21" s="3" t="str"/>
      <x:c r="V21" s="3" t="str"/>
      <x:c r="W21" s="3" t="str"/>
      <x:c r="X21" s="3" t="str"/>
      <x:c r="Y21" s="3" t="str"/>
      <x:c r="Z21" s="3" t="str"/>
      <x:c r="AA21" s="3" t="str"/>
      <x:c r="AB21" s="3" t="str"/>
      <x:c r="AC21" s="3" t="str"/>
    </x:row>
    <x:row r="22" ht="45" customHeight="1">
      <x:c r="A22" s="3" t="str">
        <x:v>Alicia Jones</x:v>
      </x:c>
      <x:c r="B22" s="3" t="str">
        <x:v>10/16/26, 4:01:16 PM</x:v>
      </x:c>
      <x:c r="C22" s="3" t="str">
        <x:v>10/16/26, 4:59:10 PM</x:v>
      </x:c>
      <x:c r="D22" s="3" t="str">
        <x:v>57 min 54s</x:v>
      </x:c>
      <x:c r="E22" s="3" t="str">
        <x:v>Alicia.Jones@AmSpecGroup.Com</x:v>
      </x:c>
      <x:c r="F22" s="3" t="str">
        <x:v>Alicia.Jones@AmSpecGroup.Com</x:v>
      </x:c>
      <x:c r="G22" s="3" t="str">
        <x:v>Asistente</x:v>
      </x:c>
      <x:c r="H22" s="3" t="str">
        <x:v>Alicia</x:v>
      </x:c>
      <x:c r="I22" s="3" t="str">
        <x:v>Jones</x:v>
      </x:c>
      <x:c r="J22" s="3" t="str">
        <x:v>alicia.jones@amspecgroup.com</x:v>
      </x:c>
      <x:c r="K22" s="3" t="str">
        <x:v>10/14/26, 3:04:24 PM</x:v>
      </x:c>
      <x:c r="L22" s="3" t="str">
        <x:v>Registrado</x:v>
      </x:c>
      <x:c r="M22" s="3" t="str"/>
      <x:c r="N22" s="3" t="str"/>
      <x:c r="O22" s="3" t="str"/>
      <x:c r="P22" s="3" t="str"/>
      <x:c r="Q22" s="3" t="str"/>
      <x:c r="R22" s="3" t="str"/>
      <x:c r="S22" s="3" t="str"/>
      <x:c r="T22" s="3" t="str"/>
      <x:c r="U22" s="3" t="str"/>
      <x:c r="V22" s="3" t="str"/>
      <x:c r="W22" s="3" t="str"/>
      <x:c r="X22" s="3" t="str"/>
      <x:c r="Y22" s="3" t="str"/>
      <x:c r="Z22" s="3" t="str">
        <x:v>1</x:v>
      </x:c>
      <x:c r="AA22" s="3" t="str"/>
      <x:c r="AB22" s="3" t="str"/>
      <x:c r="AC22" s="3" t="str"/>
    </x:row>
    <x:row r="23" ht="45" customHeight="1">
      <x:c r="A23" s="3" t="str">
        <x:v>Greg Douma</x:v>
      </x:c>
      <x:c r="B23" s="3" t="str">
        <x:v>10/16/26, 4:01:55 PM</x:v>
      </x:c>
      <x:c r="C23" s="3" t="str">
        <x:v>10/16/26, 4:59:13 PM</x:v>
      </x:c>
      <x:c r="D23" s="3" t="str">
        <x:v>57 min 17s</x:v>
      </x:c>
      <x:c r="E23" s="3" t="str">
        <x:v>gdouma@calbioenergy.com</x:v>
      </x:c>
      <x:c r="F23" s="3" t="str">
        <x:v>gdouma@calbioenergy.com</x:v>
      </x:c>
      <x:c r="G23" s="3" t="str">
        <x:v>Asistente</x:v>
      </x:c>
      <x:c r="H23" s="3" t="str">
        <x:v>Greg</x:v>
      </x:c>
      <x:c r="I23" s="3" t="str">
        <x:v>Douma</x:v>
      </x:c>
      <x:c r="J23" s="3" t="str">
        <x:v>gdouma@calbioenergy.com</x:v>
      </x:c>
      <x:c r="K23" s="3" t="str">
        <x:v>10/16/26, 3:02:30 PM</x:v>
      </x:c>
      <x:c r="L23" s="3" t="str">
        <x:v>Registrado</x:v>
      </x:c>
      <x:c r="M23" s="3" t="str">
        <x:v>California Bioenergy</x:v>
      </x:c>
      <x:c r="N23" s="3" t="str">
        <x:v>United States</x:v>
      </x:c>
      <x:c r="O23" s="3" t="str"/>
      <x:c r="P23" s="3" t="str"/>
      <x:c r="Q23" s="3" t="str"/>
      <x:c r="R23" s="3" t="str"/>
      <x:c r="S23" s="3" t="str"/>
      <x:c r="T23" s="3" t="str"/>
      <x:c r="U23" s="3" t="str"/>
      <x:c r="V23" s="3" t="str"/>
      <x:c r="W23" s="3" t="str"/>
      <x:c r="X23" s="3" t="str"/>
      <x:c r="Y23" s="3" t="str"/>
      <x:c r="Z23" s="3" t="str">
        <x:v>1</x:v>
      </x:c>
      <x:c r="AA23" s="3" t="str"/>
      <x:c r="AB23" s="3" t="str"/>
      <x:c r="AC23" s="3" t="str"/>
    </x:row>
    <x:row r="24" ht="45" customHeight="1">
      <x:c r="A24" s="3" t="str">
        <x:v>Rod Kux (Externo)</x:v>
      </x:c>
      <x:c r="B24" s="3" t="str">
        <x:v>10/16/26, 4:02:12 PM</x:v>
      </x:c>
      <x:c r="C24" s="3" t="str">
        <x:v>10/16/26, 5:03:25 PM</x:v>
      </x:c>
      <x:c r="D24" s="3" t="str">
        <x:v>1 h 1 min 12s</x:v>
      </x:c>
      <x:c r="E24" s="3" t="str">
        <x:v>rod.kux@takachar.com</x:v>
      </x:c>
      <x:c r="F24" s="3" t="str">
        <x:v>rod.kux@takachar.com</x:v>
      </x:c>
      <x:c r="G24" s="3" t="str">
        <x:v>Asistente</x:v>
      </x:c>
      <x:c r="H24" s="3" t="str">
        <x:v>Nimrod</x:v>
      </x:c>
      <x:c r="I24" s="3" t="str">
        <x:v>Kux</x:v>
      </x:c>
      <x:c r="J24" s="3" t="str">
        <x:v>rod.kux@takachar.com</x:v>
      </x:c>
      <x:c r="K24" s="3" t="str">
        <x:v>10/06/26, 11:47:05 AM</x:v>
      </x:c>
      <x:c r="L24" s="3" t="str">
        <x:v>Registrado</x:v>
      </x:c>
      <x:c r="M24" s="3" t="str"/>
      <x:c r="N24" s="3" t="str"/>
      <x:c r="O24" s="3" t="str"/>
      <x:c r="P24" s="3" t="str"/>
      <x:c r="Q24" s="3" t="str"/>
      <x:c r="R24" s="3" t="str"/>
      <x:c r="S24" s="3" t="str"/>
      <x:c r="T24" s="3" t="str"/>
      <x:c r="U24" s="3" t="str"/>
      <x:c r="V24" s="3" t="str"/>
      <x:c r="W24" s="3" t="str"/>
      <x:c r="X24" s="3" t="str"/>
      <x:c r="Y24" s="3" t="str"/>
      <x:c r="Z24" s="3" t="str"/>
      <x:c r="AA24" s="3" t="str"/>
      <x:c r="AB24" s="3" t="str"/>
      <x:c r="AC24" s="3" t="str"/>
    </x:row>
    <x:row r="25" ht="45" customHeight="1">
      <x:c r="A25" s="3" t="str">
        <x:v>Melissa McDonald (Externo)</x:v>
      </x:c>
      <x:c r="B25" s="3" t="str">
        <x:v>10/16/26, 4:02:40 PM</x:v>
      </x:c>
      <x:c r="C25" s="3" t="str">
        <x:v>10/16/26, 4:51:13 PM</x:v>
      </x:c>
      <x:c r="D25" s="3" t="str">
        <x:v>48 min 33s</x:v>
      </x:c>
      <x:c r="E25" s="3" t="str">
        <x:v>melissa@roslin.ca</x:v>
      </x:c>
      <x:c r="F25" s="3" t="str">
        <x:v>melissa@roslin.ca</x:v>
      </x:c>
      <x:c r="G25" s="3" t="str">
        <x:v>Asistente</x:v>
      </x:c>
      <x:c r="H25" s="3" t="str">
        <x:v>Melissa</x:v>
      </x:c>
      <x:c r="I25" s="3" t="str">
        <x:v>McDonald</x:v>
      </x:c>
      <x:c r="J25" s="3" t="str">
        <x:v>melissa@roslin.ca</x:v>
      </x:c>
      <x:c r="K25" s="3" t="str">
        <x:v>10/14/26, 1:25:18 PM</x:v>
      </x:c>
      <x:c r="L25" s="3" t="str">
        <x:v>Registrado</x:v>
      </x:c>
      <x:c r="M25" s="3" t="str">
        <x:v>ROSLIN GROUP OF COMPANIES</x:v>
      </x:c>
      <x:c r="N25" s="3" t="str">
        <x:v>Canada</x:v>
      </x:c>
      <x:c r="O25" s="3" t="str"/>
      <x:c r="P25" s="3" t="str"/>
      <x:c r="Q25" s="3" t="str"/>
      <x:c r="R25" s="3" t="str"/>
      <x:c r="S25" s="3" t="str"/>
      <x:c r="T25" s="3" t="str"/>
      <x:c r="U25" s="3" t="str"/>
      <x:c r="V25" s="3" t="str"/>
      <x:c r="W25" s="3" t="str"/>
      <x:c r="X25" s="3" t="str"/>
      <x:c r="Y25" s="3" t="str"/>
      <x:c r="Z25" s="3" t="str"/>
      <x:c r="AA25" s="3" t="str"/>
      <x:c r="AB25" s="3" t="str"/>
      <x:c r="AC25" s="3" t="str"/>
    </x:row>
    <x:row r="26" ht="45" customHeight="1">
      <x:c r="A26" s="3" t="str">
        <x:v>Fausto Morresi</x:v>
      </x:c>
      <x:c r="B26" s="3" t="str">
        <x:v>10/16/26, 4:02:42 PM</x:v>
      </x:c>
      <x:c r="C26" s="3" t="str">
        <x:v>10/16/26, 4:19:54 PM</x:v>
      </x:c>
      <x:c r="D26" s="3" t="str">
        <x:v>17 min 12s</x:v>
      </x:c>
      <x:c r="E26" s="3" t="str">
        <x:v>fmorresi@controlunion.com</x:v>
      </x:c>
      <x:c r="F26" s="3" t="str">
        <x:v>fmorresi@pcugroup.com</x:v>
      </x:c>
      <x:c r="G26" s="3" t="str">
        <x:v>Asistente</x:v>
      </x:c>
      <x:c r="H26" s="3" t="str">
        <x:v>Fausto</x:v>
      </x:c>
      <x:c r="I26" s="3" t="str">
        <x:v>Morresi</x:v>
      </x:c>
      <x:c r="J26" s="3" t="str">
        <x:v>fmorresi@controlunion.com</x:v>
      </x:c>
      <x:c r="K26" s="3" t="str">
        <x:v>10/16/26, 4:02:28 PM</x:v>
      </x:c>
      <x:c r="L26" s="3" t="str">
        <x:v>Registrado</x:v>
      </x:c>
      <x:c r="M26" s="3" t="str">
        <x:v>Control Union</x:v>
      </x:c>
      <x:c r="N26" s="3" t="str">
        <x:v>Argentina</x:v>
      </x:c>
      <x:c r="O26" s="3" t="str"/>
      <x:c r="P26" s="3" t="str"/>
      <x:c r="Q26" s="3" t="str"/>
      <x:c r="R26" s="3" t="str"/>
      <x:c r="S26" s="3" t="str"/>
      <x:c r="T26" s="3" t="str"/>
      <x:c r="U26" s="3" t="str"/>
      <x:c r="V26" s="3" t="str"/>
      <x:c r="W26" s="3" t="str"/>
      <x:c r="X26" s="3" t="str"/>
      <x:c r="Y26" s="3" t="str"/>
      <x:c r="Z26" s="3" t="str"/>
      <x:c r="AA26" s="3" t="str"/>
      <x:c r="AB26" s="3" t="str"/>
      <x:c r="AC26" s="3" t="str"/>
    </x:row>
    <x:row r="27" ht="45" customHeight="1">
      <x:c r="A27" s="3" t="str">
        <x:v>Oren, Chelsa</x:v>
      </x:c>
      <x:c r="B27" s="3" t="str">
        <x:v>10/16/26, 4:03:49 PM</x:v>
      </x:c>
      <x:c r="C27" s="3" t="str">
        <x:v>10/16/26, 4:59:11 PM</x:v>
      </x:c>
      <x:c r="D27" s="3" t="str">
        <x:v>55 min 21s</x:v>
      </x:c>
      <x:c r="E27" s="3" t="str">
        <x:v>coren@ecoengineers.us</x:v>
      </x:c>
      <x:c r="F27" s="3" t="str">
        <x:v>chelsa.oren@lrqa.com</x:v>
      </x:c>
      <x:c r="G27" s="3" t="str">
        <x:v>Asistente</x:v>
      </x:c>
      <x:c r="H27" s="3" t="str">
        <x:v>Chelsa</x:v>
      </x:c>
      <x:c r="I27" s="3" t="str">
        <x:v>Oren</x:v>
      </x:c>
      <x:c r="J27" s="3" t="str">
        <x:v>coren@ecoengineers.us</x:v>
      </x:c>
      <x:c r="K27" s="3" t="str">
        <x:v>9/29/26, 12:15:43 PM</x:v>
      </x:c>
      <x:c r="L27" s="3" t="str">
        <x:v>Registrado</x:v>
      </x:c>
      <x:c r="M27" s="3" t="str">
        <x:v>EcoEngineers</x:v>
      </x:c>
      <x:c r="N27" s="3" t="str">
        <x:v>USA</x:v>
      </x:c>
      <x:c r="O27" s="3" t="str"/>
      <x:c r="P27" s="3" t="str"/>
      <x:c r="Q27" s="3" t="str"/>
      <x:c r="R27" s="3" t="str"/>
      <x:c r="S27" s="3" t="str"/>
      <x:c r="T27" s="3" t="str"/>
      <x:c r="U27" s="3" t="str"/>
      <x:c r="V27" s="3" t="str"/>
      <x:c r="W27" s="3" t="str"/>
      <x:c r="X27" s="3" t="str"/>
      <x:c r="Y27" s="3" t="str"/>
      <x:c r="Z27" s="3" t="str"/>
      <x:c r="AA27" s="3" t="str"/>
      <x:c r="AB27" s="3" t="str"/>
      <x:c r="AC27" s="3" t="str"/>
    </x:row>
    <x:row r="28" ht="45" customHeight="1">
      <x:c r="A28" s="3" t="str">
        <x:v>James Augustine  (No comprobado)</x:v>
      </x:c>
      <x:c r="B28" s="3" t="str">
        <x:v>10/16/26, 4:04:08 PM</x:v>
      </x:c>
      <x:c r="C28" s="3" t="str">
        <x:v>10/16/26, 5:00:00 PM</x:v>
      </x:c>
      <x:c r="D28" s="3" t="str">
        <x:v>55 min 51s</x:v>
      </x:c>
      <x:c r="E28" s="3" t="str"/>
      <x:c r="F28" s="3" t="str"/>
      <x:c r="G28" s="3" t="str">
        <x:v>Asistente</x:v>
      </x:c>
      <x:c r="H28" s="3" t="str">
        <x:v>James</x:v>
      </x:c>
      <x:c r="I28" s="3" t="str">
        <x:v>Augustine</x:v>
      </x:c>
      <x:c r="J28" s="3" t="str">
        <x:v>jamesa@suncountryhighway.ca</x:v>
      </x:c>
      <x:c r="K28" s="3" t="str">
        <x:v>9/23/26, 12:56:12 PM</x:v>
      </x:c>
      <x:c r="L28" s="3" t="str">
        <x:v>Registrado</x:v>
      </x:c>
      <x:c r="M28" s="3" t="str">
        <x:v>Sun Country Highway </x:v>
      </x:c>
      <x:c r="N28" s="3" t="str">
        <x:v>Canada</x:v>
      </x:c>
      <x:c r="O28" s="3" t="str"/>
      <x:c r="P28" s="3" t="str"/>
      <x:c r="Q28" s="3" t="str"/>
      <x:c r="R28" s="3" t="str"/>
      <x:c r="S28" s="3" t="str"/>
      <x:c r="T28" s="3" t="str"/>
      <x:c r="U28" s="3" t="str"/>
      <x:c r="V28" s="3" t="str"/>
      <x:c r="W28" s="3" t="str"/>
      <x:c r="X28" s="3" t="str"/>
      <x:c r="Y28" s="3" t="str"/>
      <x:c r="Z28" s="3" t="str"/>
      <x:c r="AA28" s="3" t="str"/>
      <x:c r="AB28" s="3" t="str"/>
      <x:c r="AC28" s="3" t="str"/>
    </x:row>
    <x:row r="29" ht="45" customHeight="1">
      <x:c r="A29" s="3" t="str">
        <x:v>Ignacio Falcone</x:v>
      </x:c>
      <x:c r="B29" s="3" t="str">
        <x:v>10/16/26, 4:04:11 PM</x:v>
      </x:c>
      <x:c r="C29" s="3" t="str">
        <x:v>10/16/26, 4:59:12 PM</x:v>
      </x:c>
      <x:c r="D29" s="3" t="str">
        <x:v>55 min</x:v>
      </x:c>
      <x:c r="E29" s="3" t="str">
        <x:v>ifalcone@controlunion.com</x:v>
      </x:c>
      <x:c r="F29" s="3" t="str">
        <x:v>ifalcone@pcugroup.com</x:v>
      </x:c>
      <x:c r="G29" s="3" t="str">
        <x:v>Asistente</x:v>
      </x:c>
      <x:c r="H29" s="3" t="str">
        <x:v>Ignacio</x:v>
      </x:c>
      <x:c r="I29" s="3" t="str">
        <x:v>Falcone</x:v>
      </x:c>
      <x:c r="J29" s="3" t="str">
        <x:v>ifalcone@controlunion.com</x:v>
      </x:c>
      <x:c r="K29" s="3" t="str">
        <x:v>10/16/26, 12:23:31 PM</x:v>
      </x:c>
      <x:c r="L29" s="3" t="str">
        <x:v>Registrado</x:v>
      </x:c>
      <x:c r="M29" s="3" t="str">
        <x:v>Control Union</x:v>
      </x:c>
      <x:c r="N29" s="3" t="str">
        <x:v>Colombia</x:v>
      </x:c>
      <x:c r="O29" s="3" t="str"/>
      <x:c r="P29" s="3" t="str"/>
      <x:c r="Q29" s="3" t="str"/>
      <x:c r="R29" s="3" t="str"/>
      <x:c r="S29" s="3" t="str"/>
      <x:c r="T29" s="3" t="str"/>
      <x:c r="U29" s="3" t="str"/>
      <x:c r="V29" s="3" t="str"/>
      <x:c r="W29" s="3" t="str"/>
      <x:c r="X29" s="3" t="str"/>
      <x:c r="Y29" s="3" t="str"/>
      <x:c r="Z29" s="3" t="str"/>
      <x:c r="AA29" s="3" t="str"/>
      <x:c r="AB29" s="3" t="str"/>
      <x:c r="AC29" s="3" t="str"/>
    </x:row>
    <x:row r="30" ht="45" customHeight="1">
      <x:c r="A30" s="3" t="str">
        <x:v>Ken Beach (No comprobado)</x:v>
      </x:c>
      <x:c r="B30" s="3" t="str">
        <x:v>10/16/26, 4:04:18 PM</x:v>
      </x:c>
      <x:c r="C30" s="3" t="str">
        <x:v>10/16/26, 4:42:08 PM</x:v>
      </x:c>
      <x:c r="D30" s="3" t="str">
        <x:v>37 min 49s</x:v>
      </x:c>
      <x:c r="E30" s="3" t="str"/>
      <x:c r="F30" s="3" t="str"/>
      <x:c r="G30" s="3" t="str">
        <x:v>Asistente</x:v>
      </x:c>
      <x:c r="H30" s="3" t="str">
        <x:v>Ken</x:v>
      </x:c>
      <x:c r="I30" s="3" t="str">
        <x:v>Beach</x:v>
      </x:c>
      <x:c r="J30" s="3" t="str">
        <x:v>ken@beachwayeco.com</x:v>
      </x:c>
      <x:c r="K30" s="3" t="str">
        <x:v>10/07/26, 12:56:26 PM</x:v>
      </x:c>
      <x:c r="L30" s="3" t="str">
        <x:v>Registrado</x:v>
      </x:c>
      <x:c r="M30" s="3" t="str">
        <x:v>Beachway EcoSearch LLC</x:v>
      </x:c>
      <x:c r="N30" s="3" t="str">
        <x:v>United States</x:v>
      </x:c>
      <x:c r="O30" s="3" t="str"/>
      <x:c r="P30" s="3" t="str"/>
      <x:c r="Q30" s="3" t="str"/>
      <x:c r="R30" s="3" t="str"/>
      <x:c r="S30" s="3" t="str"/>
      <x:c r="T30" s="3" t="str"/>
      <x:c r="U30" s="3" t="str"/>
      <x:c r="V30" s="3" t="str"/>
      <x:c r="W30" s="3" t="str"/>
      <x:c r="X30" s="3" t="str"/>
      <x:c r="Y30" s="3" t="str"/>
      <x:c r="Z30" s="3" t="str">
        <x:v>1</x:v>
      </x:c>
      <x:c r="AA30" s="3" t="str"/>
      <x:c r="AB30" s="3" t="str"/>
      <x:c r="AC30" s="3" t="str"/>
    </x:row>
    <x:row r="31" ht="45" customHeight="1">
      <x:c r="A31" s="3" t="str">
        <x:v>Geoffrey Mather (No comprobado)</x:v>
      </x:c>
      <x:c r="B31" s="3" t="str">
        <x:v>10/16/26, 4:04:46 PM</x:v>
      </x:c>
      <x:c r="C31" s="3" t="str">
        <x:v>10/16/26, 5:08:25 PM</x:v>
      </x:c>
      <x:c r="D31" s="3" t="str">
        <x:v>1 h 3 min 38s</x:v>
      </x:c>
      <x:c r="E31" s="3" t="str"/>
      <x:c r="F31" s="3" t="str"/>
      <x:c r="G31" s="3" t="str">
        <x:v>Asistente</x:v>
      </x:c>
      <x:c r="H31" s="3" t="str">
        <x:v>Geoffrey</x:v>
      </x:c>
      <x:c r="I31" s="3" t="str">
        <x:v>mather</x:v>
      </x:c>
      <x:c r="J31" s="3" t="str">
        <x:v>geoffreymather@nextenergyfuels.com</x:v>
      </x:c>
      <x:c r="K31" s="3" t="str">
        <x:v>10/15/26, 9:51:23 PM</x:v>
      </x:c>
      <x:c r="L31" s="3" t="str">
        <x:v>Registrado</x:v>
      </x:c>
      <x:c r="M31" s="3" t="str">
        <x:v>next energy fuels</x:v>
      </x:c>
      <x:c r="N31" s="3" t="str">
        <x:v>usa</x:v>
      </x:c>
      <x:c r="O31" s="3" t="str"/>
      <x:c r="P31" s="3" t="str"/>
      <x:c r="Q31" s="3" t="str"/>
      <x:c r="R31" s="3" t="str"/>
      <x:c r="S31" s="3" t="str"/>
      <x:c r="T31" s="3" t="str"/>
      <x:c r="U31" s="3" t="str"/>
      <x:c r="V31" s="3" t="str"/>
      <x:c r="W31" s="3" t="str"/>
      <x:c r="X31" s="3" t="str"/>
      <x:c r="Y31" s="3" t="str"/>
      <x:c r="Z31" s="3" t="str"/>
      <x:c r="AA31" s="3" t="str"/>
      <x:c r="AB31" s="3" t="str"/>
      <x:c r="AC31" s="3" t="str"/>
    </x:row>
    <x:row r="32" ht="45" customHeight="1">
      <x:c r="A32" s="3" t="str">
        <x:v>Bridgette Duniece</x:v>
      </x:c>
      <x:c r="B32" s="3" t="str">
        <x:v>10/16/26, 4:05:44 PM</x:v>
      </x:c>
      <x:c r="C32" s="3" t="str">
        <x:v>10/16/26, 4:59:26 PM</x:v>
      </x:c>
      <x:c r="D32" s="3" t="str">
        <x:v>53 min 41s</x:v>
      </x:c>
      <x:c r="E32" s="3" t="str"/>
      <x:c r="F32" s="3" t="str"/>
      <x:c r="G32" s="3" t="str">
        <x:v>Asistente</x:v>
      </x:c>
      <x:c r="H32" s="3" t="str">
        <x:v>Bridgette</x:v>
      </x:c>
      <x:c r="I32" s="3" t="str">
        <x:v>Duniece</x:v>
      </x:c>
      <x:c r="J32" s="3" t="str">
        <x:v>bridgetted@permolex.com</x:v>
      </x:c>
      <x:c r="K32" s="3" t="str">
        <x:v>9/21/26, 11:45:14 AM</x:v>
      </x:c>
      <x:c r="L32" s="3" t="str">
        <x:v>Registrado</x:v>
      </x:c>
      <x:c r="M32" s="3" t="str">
        <x:v>Permolex</x:v>
      </x:c>
      <x:c r="N32" s="3" t="str">
        <x:v>Canada</x:v>
      </x:c>
      <x:c r="O32" s="3" t="str"/>
      <x:c r="P32" s="3" t="str"/>
      <x:c r="Q32" s="3" t="str"/>
      <x:c r="R32" s="3" t="str"/>
      <x:c r="S32" s="3" t="str"/>
      <x:c r="T32" s="3" t="str"/>
      <x:c r="U32" s="3" t="str"/>
      <x:c r="V32" s="3" t="str"/>
      <x:c r="W32" s="3" t="str"/>
      <x:c r="X32" s="3" t="str"/>
      <x:c r="Y32" s="3" t="str"/>
      <x:c r="Z32" s="3" t="str"/>
      <x:c r="AA32" s="3" t="str"/>
      <x:c r="AB32" s="3" t="str"/>
      <x:c r="AC32" s="3" t="str"/>
    </x:row>
    <x:row r="33" ht="45" customHeight="1">
      <x:c r="A33" s="3" t="str">
        <x:v>Raphael Berkien (No comprobado)</x:v>
      </x:c>
      <x:c r="B33" s="3" t="str">
        <x:v>10/16/26, 4:06:39 PM</x:v>
      </x:c>
      <x:c r="C33" s="3" t="str">
        <x:v>10/16/26, 4:59:13 PM</x:v>
      </x:c>
      <x:c r="D33" s="3" t="str">
        <x:v>52 min 33s</x:v>
      </x:c>
      <x:c r="E33" s="3" t="str"/>
      <x:c r="F33" s="3" t="str"/>
      <x:c r="G33" s="3" t="str">
        <x:v>Asistente</x:v>
      </x:c>
      <x:c r="H33" s="3" t="str">
        <x:v>Raphael</x:v>
      </x:c>
      <x:c r="I33" s="3" t="str">
        <x:v>Berkien</x:v>
      </x:c>
      <x:c r="J33" s="3" t="str">
        <x:v>rberkien@transworldtechinc.com</x:v>
      </x:c>
      <x:c r="K33" s="3" t="str">
        <x:v>9/23/26, 9:19:55 PM</x:v>
      </x:c>
      <x:c r="L33" s="3" t="str">
        <x:v>Registrado</x:v>
      </x:c>
      <x:c r="M33" s="3" t="str">
        <x:v>Transworld Technologies Inc.</x:v>
      </x:c>
      <x:c r="N33" s="3" t="str">
        <x:v>USA</x:v>
      </x:c>
      <x:c r="O33" s="3" t="str"/>
      <x:c r="P33" s="3" t="str"/>
      <x:c r="Q33" s="3" t="str"/>
      <x:c r="R33" s="3" t="str"/>
      <x:c r="S33" s="3" t="str"/>
      <x:c r="T33" s="3" t="str"/>
      <x:c r="U33" s="3" t="str"/>
      <x:c r="V33" s="3" t="str"/>
      <x:c r="W33" s="3" t="str"/>
      <x:c r="X33" s="3" t="str"/>
      <x:c r="Y33" s="3" t="str"/>
      <x:c r="Z33" s="3" t="str"/>
      <x:c r="AA33" s="3" t="str"/>
      <x:c r="AB33" s="3" t="str"/>
      <x:c r="AC33" s="3" t="str"/>
    </x:row>
    <x:row r="34" ht="45" customHeight="1">
      <x:c r="A34" s="3" t="str">
        <x:v>Gonzalo Viale</x:v>
      </x:c>
      <x:c r="B34" s="3" t="str">
        <x:v>10/16/26, 4:07:15 PM</x:v>
      </x:c>
      <x:c r="C34" s="3" t="str">
        <x:v>10/16/26, 4:37:53 PM</x:v>
      </x:c>
      <x:c r="D34" s="3" t="str">
        <x:v>30 min 38s</x:v>
      </x:c>
      <x:c r="E34" s="3" t="str">
        <x:v>gviale@controlunion.com</x:v>
      </x:c>
      <x:c r="F34" s="3" t="str">
        <x:v>gviale@pcugroup.com</x:v>
      </x:c>
      <x:c r="G34" s="3" t="str">
        <x:v>Asistente</x:v>
      </x:c>
      <x:c r="H34" s="3" t="str">
        <x:v>Gonzalo</x:v>
      </x:c>
      <x:c r="I34" s="3" t="str">
        <x:v>Viale</x:v>
      </x:c>
      <x:c r="J34" s="3" t="str">
        <x:v>gviale@controlunion.com</x:v>
      </x:c>
      <x:c r="K34" s="3" t="str">
        <x:v>10/16/26, 12:23:33 PM</x:v>
      </x:c>
      <x:c r="L34" s="3" t="str">
        <x:v>Registrado</x:v>
      </x:c>
      <x:c r="M34" s="3" t="str">
        <x:v>Control Union Argentina S.A.</x:v>
      </x:c>
      <x:c r="N34" s="3" t="str">
        <x:v>Argentina</x:v>
      </x:c>
      <x:c r="O34" s="3" t="str"/>
      <x:c r="P34" s="3" t="str"/>
      <x:c r="Q34" s="3" t="str"/>
      <x:c r="R34" s="3" t="str"/>
      <x:c r="S34" s="3" t="str"/>
      <x:c r="T34" s="3" t="str"/>
      <x:c r="U34" s="3" t="str"/>
      <x:c r="V34" s="3" t="str"/>
      <x:c r="W34" s="3" t="str"/>
      <x:c r="X34" s="3" t="str"/>
      <x:c r="Y34" s="3" t="str"/>
      <x:c r="Z34" s="3" t="str"/>
      <x:c r="AA34" s="3" t="str"/>
      <x:c r="AB34" s="3" t="str"/>
      <x:c r="AC34" s="3" t="str"/>
    </x:row>
    <x:row r="35" ht="45" customHeight="1">
      <x:c r="A35" s="3" t="str">
        <x:v>Fernando Rodriguez Uslenghi</x:v>
      </x:c>
      <x:c r="B35" s="3" t="str">
        <x:v>10/16/26, 4:08:02 PM</x:v>
      </x:c>
      <x:c r="C35" s="3" t="str">
        <x:v>10/16/26, 4:59:19 PM</x:v>
      </x:c>
      <x:c r="D35" s="3" t="str">
        <x:v>51 min 17s</x:v>
      </x:c>
      <x:c r="E35" s="3" t="str">
        <x:v>fuslenghi@controlunion.com</x:v>
      </x:c>
      <x:c r="F35" s="3" t="str">
        <x:v>fuslenghi@pcugroup.com</x:v>
      </x:c>
      <x:c r="G35" s="3" t="str">
        <x:v>Asistente</x:v>
      </x:c>
      <x:c r="H35" s="3" t="str">
        <x:v>Fernando</x:v>
      </x:c>
      <x:c r="I35" s="3" t="str">
        <x:v>Rodriguez Uslenghi</x:v>
      </x:c>
      <x:c r="J35" s="3" t="str">
        <x:v>fuslenghi@controlunion.com</x:v>
      </x:c>
      <x:c r="K35" s="3" t="str">
        <x:v>10/16/26, 4:07:37 PM</x:v>
      </x:c>
      <x:c r="L35" s="3" t="str">
        <x:v>Registrado</x:v>
      </x:c>
      <x:c r="M35" s="3" t="str">
        <x:v>Control Union </x:v>
      </x:c>
      <x:c r="N35" s="3" t="str">
        <x:v>United States</x:v>
      </x:c>
      <x:c r="O35" s="3" t="str"/>
      <x:c r="P35" s="3" t="str"/>
      <x:c r="Q35" s="3" t="str"/>
      <x:c r="R35" s="3" t="str"/>
      <x:c r="S35" s="3" t="str"/>
      <x:c r="T35" s="3" t="str"/>
      <x:c r="U35" s="3" t="str"/>
      <x:c r="V35" s="3" t="str"/>
      <x:c r="W35" s="3" t="str"/>
      <x:c r="X35" s="3" t="str"/>
      <x:c r="Y35" s="3" t="str"/>
      <x:c r="Z35" s="3" t="str"/>
      <x:c r="AA35" s="3" t="str"/>
      <x:c r="AB35" s="3" t="str"/>
      <x:c r="AC35" s="3" t="str"/>
    </x:row>
    <x:row r="36" ht="45" customHeight="1">
      <x:c r="A36" s="3" t="str">
        <x:v>Hubert Piatkowski (Externo)</x:v>
      </x:c>
      <x:c r="B36" s="3" t="str">
        <x:v>10/16/26, 4:08:44 PM</x:v>
      </x:c>
      <x:c r="C36" s="3" t="str">
        <x:v>10/16/26, 4:08:54 PM</x:v>
      </x:c>
      <x:c r="D36" s="3" t="str">
        <x:v>9s</x:v>
      </x:c>
      <x:c r="E36" s="3" t="str">
        <x:v>hpiatkowski@biointelligence.com</x:v>
      </x:c>
      <x:c r="F36" s="3" t="str">
        <x:v>hpiatkowski@biointelligence.com</x:v>
      </x:c>
      <x:c r="G36" s="3" t="str">
        <x:v>Asistente</x:v>
      </x:c>
      <x:c r="H36" s="3" t="str">
        <x:v>Hubert</x:v>
      </x:c>
      <x:c r="I36" s="3" t="str">
        <x:v>Piatkowski</x:v>
      </x:c>
      <x:c r="J36" s="3" t="str">
        <x:v>hubert@p2i2.ca</x:v>
      </x:c>
      <x:c r="K36" s="3" t="str">
        <x:v>10/14/26, 11:14:37 AM</x:v>
      </x:c>
      <x:c r="L36" s="3" t="str">
        <x:v>Registrado</x:v>
      </x:c>
      <x:c r="M36" s="3" t="str">
        <x:v>P2i2</x:v>
      </x:c>
      <x:c r="N36" s="3" t="str">
        <x:v>Canada</x:v>
      </x:c>
      <x:c r="O36" s="3" t="str"/>
      <x:c r="P36" s="3" t="str"/>
      <x:c r="Q36" s="3" t="str"/>
      <x:c r="R36" s="3" t="str"/>
      <x:c r="S36" s="3" t="str"/>
      <x:c r="T36" s="3" t="str"/>
      <x:c r="U36" s="3" t="str"/>
      <x:c r="V36" s="3" t="str"/>
      <x:c r="W36" s="3" t="str"/>
      <x:c r="X36" s="3" t="str"/>
      <x:c r="Y36" s="3" t="str"/>
      <x:c r="Z36" s="3" t="str"/>
      <x:c r="AA36" s="3" t="str"/>
      <x:c r="AB36" s="3" t="str"/>
      <x:c r="AC36" s="3" t="str"/>
    </x:row>
    <x:row r="37" ht="45" customHeight="1">
      <x:c r="A37" s="3" t="str">
        <x:v>HP (No comprobado)</x:v>
      </x:c>
      <x:c r="B37" s="3" t="str">
        <x:v>10/16/26, 4:09:08 PM</x:v>
      </x:c>
      <x:c r="C37" s="3" t="str">
        <x:v>10/16/26, 4:27:10 PM</x:v>
      </x:c>
      <x:c r="D37" s="3" t="str">
        <x:v>18 min 2s</x:v>
      </x:c>
      <x:c r="E37" s="3" t="str"/>
      <x:c r="F37" s="3" t="str"/>
      <x:c r="G37" s="3" t="str">
        <x:v>Asistente</x:v>
      </x:c>
      <x:c r="H37" s="3" t="str">
        <x:v>Hubert</x:v>
      </x:c>
      <x:c r="I37" s="3" t="str">
        <x:v>Piatkowski</x:v>
      </x:c>
      <x:c r="J37" s="3" t="str">
        <x:v>hubert@p2i2.ca</x:v>
      </x:c>
      <x:c r="K37" s="3" t="str">
        <x:v>10/14/26, 11:14:37 AM</x:v>
      </x:c>
      <x:c r="L37" s="3" t="str">
        <x:v>Registrado</x:v>
      </x:c>
      <x:c r="M37" s="3" t="str">
        <x:v>P2i2</x:v>
      </x:c>
      <x:c r="N37" s="3" t="str">
        <x:v>Canada</x:v>
      </x:c>
      <x:c r="O37" s="3" t="str"/>
      <x:c r="P37" s="3" t="str"/>
      <x:c r="Q37" s="3" t="str"/>
      <x:c r="R37" s="3" t="str"/>
      <x:c r="S37" s="3" t="str"/>
      <x:c r="T37" s="3" t="str"/>
      <x:c r="U37" s="3" t="str"/>
      <x:c r="V37" s="3" t="str"/>
      <x:c r="W37" s="3" t="str"/>
      <x:c r="X37" s="3" t="str"/>
      <x:c r="Y37" s="3" t="str"/>
      <x:c r="Z37" s="3" t="str"/>
      <x:c r="AA37" s="3" t="str"/>
      <x:c r="AB37" s="3" t="str"/>
      <x:c r="AC37" s="3" t="str"/>
    </x:row>
    <x:row r="38" ht="45" customHeight="1">
      <x:c r="A38" s="3" t="str">
        <x:v>Aguirre Gomez, Guillermo</x:v>
      </x:c>
      <x:c r="B38" s="3" t="str">
        <x:v>10/16/26, 4:11:15 PM</x:v>
      </x:c>
      <x:c r="C38" s="3" t="str">
        <x:v>10/16/26, 4:59:12 PM</x:v>
      </x:c>
      <x:c r="D38" s="3" t="str">
        <x:v>47 min 56s</x:v>
      </x:c>
      <x:c r="E38" s="3" t="str">
        <x:v>gaguirre@ecoengineers.us</x:v>
      </x:c>
      <x:c r="F38" s="3" t="str">
        <x:v>guillermo.aguirre@lrqa.com</x:v>
      </x:c>
      <x:c r="G38" s="3" t="str">
        <x:v>Asistente</x:v>
      </x:c>
      <x:c r="H38" s="3" t="str">
        <x:v>Guillermo</x:v>
      </x:c>
      <x:c r="I38" s="3" t="str">
        <x:v>Aguirre Gomez</x:v>
      </x:c>
      <x:c r="J38" s="3" t="str">
        <x:v>gaguirre@ecoengineers.us</x:v>
      </x:c>
      <x:c r="K38" s="3" t="str">
        <x:v>10/16/26, 4:10:58 PM</x:v>
      </x:c>
      <x:c r="L38" s="3" t="str">
        <x:v>Registrado</x:v>
      </x:c>
      <x:c r="M38" s="3" t="str">
        <x:v>EcoEngineers</x:v>
      </x:c>
      <x:c r="N38" s="3" t="str">
        <x:v>USA</x:v>
      </x:c>
      <x:c r="O38" s="3" t="str"/>
      <x:c r="P38" s="3" t="str"/>
      <x:c r="Q38" s="3" t="str"/>
      <x:c r="R38" s="3" t="str"/>
      <x:c r="S38" s="3" t="str"/>
      <x:c r="T38" s="3" t="str"/>
      <x:c r="U38" s="3" t="str"/>
      <x:c r="V38" s="3" t="str"/>
      <x:c r="W38" s="3" t="str"/>
      <x:c r="X38" s="3" t="str"/>
      <x:c r="Y38" s="3" t="str"/>
      <x:c r="Z38" s="3" t="str"/>
      <x:c r="AA38" s="3" t="str"/>
      <x:c r="AB38" s="3" t="str"/>
      <x:c r="AC38" s="3" t="str"/>
    </x:row>
    <x:row r="39" ht="45" customHeight="1">
      <x:c r="A39" s="3" t="str">
        <x:v>Snider, Tracy (Externo)</x:v>
      </x:c>
      <x:c r="B39" s="3" t="str">
        <x:v>10/16/26, 4:11:30 PM</x:v>
      </x:c>
      <x:c r="C39" s="3" t="str">
        <x:v>10/16/26, 4:59:17 PM</x:v>
      </x:c>
      <x:c r="D39" s="3" t="str">
        <x:v>47 min 46s</x:v>
      </x:c>
      <x:c r="E39" s="3" t="str">
        <x:v>tsnider@soy.org</x:v>
      </x:c>
      <x:c r="F39" s="3" t="str">
        <x:v>tsnider@soy.org</x:v>
      </x:c>
      <x:c r="G39" s="3" t="str">
        <x:v>Asistente</x:v>
      </x:c>
      <x:c r="H39" s="3" t="str">
        <x:v>Tracy</x:v>
      </x:c>
      <x:c r="I39" s="3" t="str">
        <x:v>Snider</x:v>
      </x:c>
      <x:c r="J39" s="3" t="str">
        <x:v>tsnider@soy.org</x:v>
      </x:c>
      <x:c r="K39" s="3" t="str">
        <x:v>10/06/26, 6:31:01 PM</x:v>
      </x:c>
      <x:c r="L39" s="3" t="str">
        <x:v>Registrado</x:v>
      </x:c>
      <x:c r="M39" s="3" t="str">
        <x:v>American Soybean Association</x:v>
      </x:c>
      <x:c r="N39" s="3" t="str">
        <x:v>USA</x:v>
      </x:c>
      <x:c r="O39" s="3" t="str"/>
      <x:c r="P39" s="3" t="str"/>
      <x:c r="Q39" s="3" t="str"/>
      <x:c r="R39" s="3" t="str"/>
      <x:c r="S39" s="3" t="str"/>
      <x:c r="T39" s="3" t="str"/>
      <x:c r="U39" s="3" t="str"/>
      <x:c r="V39" s="3" t="str"/>
      <x:c r="W39" s="3" t="str"/>
      <x:c r="X39" s="3" t="str"/>
      <x:c r="Y39" s="3" t="str"/>
      <x:c r="Z39" s="3" t="str"/>
      <x:c r="AA39" s="3" t="str"/>
      <x:c r="AB39" s="3" t="str"/>
      <x:c r="AC39" s="3" t="str"/>
    </x:row>
    <x:row r="40" ht="45" customHeight="1">
      <x:c r="A40" s="3" t="str">
        <x:v>Victor Garlington</x:v>
      </x:c>
      <x:c r="B40" s="3" t="str">
        <x:v>10/16/26, 4:14:07 PM</x:v>
      </x:c>
      <x:c r="C40" s="3" t="str">
        <x:v>10/16/26, 4:59:10 PM</x:v>
      </x:c>
      <x:c r="D40" s="3" t="str">
        <x:v>45 min 3s</x:v>
      </x:c>
      <x:c r="E40" s="3" t="str"/>
      <x:c r="F40" s="3" t="str"/>
      <x:c r="G40" s="3" t="str">
        <x:v>Asistente</x:v>
      </x:c>
      <x:c r="H40" s="3" t="str">
        <x:v>Victor</x:v>
      </x:c>
      <x:c r="I40" s="3" t="str">
        <x:v>Garlington</x:v>
      </x:c>
      <x:c r="J40" s="3" t="str">
        <x:v>mail@bioeconomysolutions.com</x:v>
      </x:c>
      <x:c r="K40" s="3" t="str">
        <x:v>10/16/26, 4:33:07 AM</x:v>
      </x:c>
      <x:c r="L40" s="3" t="str">
        <x:v>Registrado</x:v>
      </x:c>
      <x:c r="M40" s="3" t="str">
        <x:v>BioEonomy Solutions</x:v>
      </x:c>
      <x:c r="N40" s="3" t="str">
        <x:v>United States</x:v>
      </x:c>
      <x:c r="O40" s="3" t="str"/>
      <x:c r="P40" s="3" t="str"/>
      <x:c r="Q40" s="3" t="str"/>
      <x:c r="R40" s="3" t="str"/>
      <x:c r="S40" s="3" t="str"/>
      <x:c r="T40" s="3" t="str"/>
      <x:c r="U40" s="3" t="str"/>
      <x:c r="V40" s="3" t="str"/>
      <x:c r="W40" s="3" t="str"/>
      <x:c r="X40" s="3" t="str"/>
      <x:c r="Y40" s="3" t="str">
        <x:v>1</x:v>
      </x:c>
      <x:c r="Z40" s="3" t="str">
        <x:v>1</x:v>
      </x:c>
      <x:c r="AA40" s="3" t="str"/>
      <x:c r="AB40" s="3" t="str"/>
      <x:c r="AC40" s="3" t="str">
        <x:v>1</x:v>
      </x:c>
    </x:row>
    <x:row r="41" ht="45" customHeight="1">
      <x:c r="A41" s="3" t="str">
        <x:v>Quarino, Jessica</x:v>
      </x:c>
      <x:c r="B41" s="3" t="str">
        <x:v>10/16/26, 4:15:43 PM</x:v>
      </x:c>
      <x:c r="C41" s="3" t="str">
        <x:v>10/16/26, 4:42:45 PM</x:v>
      </x:c>
      <x:c r="D41" s="3" t="str">
        <x:v>27 min 1s</x:v>
      </x:c>
      <x:c r="E41" s="3" t="str">
        <x:v>jquarino@ecoengineers.us</x:v>
      </x:c>
      <x:c r="F41" s="3" t="str">
        <x:v>jessica.quarino@lrqa.com</x:v>
      </x:c>
      <x:c r="G41" s="3" t="str">
        <x:v>Asistente</x:v>
      </x:c>
      <x:c r="H41" s="3" t="str">
        <x:v>Jessica</x:v>
      </x:c>
      <x:c r="I41" s="3" t="str">
        <x:v>Quarino</x:v>
      </x:c>
      <x:c r="J41" s="3" t="str">
        <x:v>jquarino@ecoengineers.us</x:v>
      </x:c>
      <x:c r="K41" s="3" t="str">
        <x:v>10/13/26, 1:26:47 PM</x:v>
      </x:c>
      <x:c r="L41" s="3" t="str">
        <x:v>Registrado</x:v>
      </x:c>
      <x:c r="M41" s="3" t="str">
        <x:v>EcoEngineers</x:v>
      </x:c>
      <x:c r="N41" s="3" t="str">
        <x:v>USA</x:v>
      </x:c>
      <x:c r="O41" s="3" t="str"/>
      <x:c r="P41" s="3" t="str"/>
      <x:c r="Q41" s="3" t="str"/>
      <x:c r="R41" s="3" t="str"/>
      <x:c r="S41" s="3" t="str"/>
      <x:c r="T41" s="3" t="str"/>
      <x:c r="U41" s="3" t="str"/>
      <x:c r="V41" s="3" t="str"/>
      <x:c r="W41" s="3" t="str"/>
      <x:c r="X41" s="3" t="str"/>
      <x:c r="Y41" s="3" t="str"/>
      <x:c r="Z41" s="3" t="str"/>
      <x:c r="AA41" s="3" t="str"/>
      <x:c r="AB41" s="3" t="str"/>
      <x:c r="AC41" s="3" t="str"/>
    </x:row>
    <x:row r="42" ht="45" customHeight="1">
      <x:c r="A42" s="3" t="str">
        <x:v>Jennifer Aurandt-Pilgrim,PhD (Externo)</x:v>
      </x:c>
      <x:c r="B42" s="3" t="str">
        <x:v>10/16/26, 4:17:10 PM</x:v>
      </x:c>
      <x:c r="C42" s="3" t="str">
        <x:v>10/16/26, 4:59:07 PM</x:v>
      </x:c>
      <x:c r="D42" s="3" t="str">
        <x:v>41 min 56s</x:v>
      </x:c>
      <x:c r="E42" s="3" t="str">
        <x:v>JenniferAurandt@marquisinc.com</x:v>
      </x:c>
      <x:c r="F42" s="3" t="str">
        <x:v>JenniferAurandt@marquisinc.com</x:v>
      </x:c>
      <x:c r="G42" s="3" t="str">
        <x:v>Asistente</x:v>
      </x:c>
      <x:c r="H42" s="3" t="str">
        <x:v>Jennifer</x:v>
      </x:c>
      <x:c r="I42" s="3" t="str">
        <x:v>Aurandt-Pilgrim</x:v>
      </x:c>
      <x:c r="J42" s="3" t="str">
        <x:v>jenniferaurandt@marquisinc.com</x:v>
      </x:c>
      <x:c r="K42" s="3" t="str">
        <x:v>10/13/26, 4:03:09 PM</x:v>
      </x:c>
      <x:c r="L42" s="3" t="str">
        <x:v>Registrado</x:v>
      </x:c>
      <x:c r="M42" s="3" t="str">
        <x:v>Marquis</x:v>
      </x:c>
      <x:c r="N42" s="3" t="str">
        <x:v>Us</x:v>
      </x:c>
      <x:c r="O42" s="3" t="str"/>
      <x:c r="P42" s="3" t="str"/>
      <x:c r="Q42" s="3" t="str"/>
      <x:c r="R42" s="3" t="str"/>
      <x:c r="S42" s="3" t="str"/>
      <x:c r="T42" s="3" t="str"/>
      <x:c r="U42" s="3" t="str"/>
      <x:c r="V42" s="3" t="str"/>
      <x:c r="W42" s="3" t="str"/>
      <x:c r="X42" s="3" t="str"/>
      <x:c r="Y42" s="3" t="str"/>
      <x:c r="Z42" s="3" t="str"/>
      <x:c r="AA42" s="3" t="str"/>
      <x:c r="AB42" s="3" t="str"/>
      <x:c r="AC42" s="3" t="str"/>
    </x:row>
    <x:row r="43" ht="45" customHeight="1">
      <x:c r="A43" s="3" t="str">
        <x:v>Clyde Payn (Externo)</x:v>
      </x:c>
      <x:c r="B43" s="3" t="str">
        <x:v>10/16/26, 4:20:13 PM</x:v>
      </x:c>
      <x:c r="C43" s="3" t="str">
        <x:v>10/16/26, 4:33:07 PM</x:v>
      </x:c>
      <x:c r="D43" s="3" t="str">
        <x:v>12 min 54s</x:v>
      </x:c>
      <x:c r="E43" s="3" t="str">
        <x:v>cpayn@catalystgrp.com</x:v>
      </x:c>
      <x:c r="F43" s="3" t="str">
        <x:v>cpayn@catalystgrp.com</x:v>
      </x:c>
      <x:c r="G43" s="3" t="str">
        <x:v>Asistente</x:v>
      </x:c>
      <x:c r="H43" s="3" t="str">
        <x:v>Clyde</x:v>
      </x:c>
      <x:c r="I43" s="3" t="str">
        <x:v>Payn</x:v>
      </x:c>
      <x:c r="J43" s="3" t="str">
        <x:v>cpayn@catalystgrp.com</x:v>
      </x:c>
      <x:c r="K43" s="3" t="str">
        <x:v>10/16/26, 12:33:13 PM</x:v>
      </x:c>
      <x:c r="L43" s="3" t="str">
        <x:v>Registrado</x:v>
      </x:c>
      <x:c r="M43" s="3" t="str"/>
      <x:c r="N43" s="3" t="str"/>
      <x:c r="O43" s="3" t="str"/>
      <x:c r="P43" s="3" t="str"/>
      <x:c r="Q43" s="3" t="str"/>
      <x:c r="R43" s="3" t="str"/>
      <x:c r="S43" s="3" t="str"/>
      <x:c r="T43" s="3" t="str"/>
      <x:c r="U43" s="3" t="str"/>
      <x:c r="V43" s="3" t="str"/>
      <x:c r="W43" s="3" t="str"/>
      <x:c r="X43" s="3" t="str"/>
      <x:c r="Y43" s="3" t="str"/>
      <x:c r="Z43" s="3" t="str"/>
      <x:c r="AA43" s="3" t="str"/>
      <x:c r="AB43" s="3" t="str"/>
      <x:c r="AC43" s="3" t="str"/>
    </x:row>
    <x:row r="44" ht="45" customHeight="1">
      <x:c r="A44" s="3" t="str">
        <x:v>Greg Hall | Petrogenium (Externo)</x:v>
      </x:c>
      <x:c r="B44" s="3" t="str">
        <x:v>10/16/26, 4:25:06 PM</x:v>
      </x:c>
      <x:c r="C44" s="3" t="str">
        <x:v>10/16/26, 4:49:35 PM</x:v>
      </x:c>
      <x:c r="D44" s="3" t="str">
        <x:v>24 min 28s</x:v>
      </x:c>
      <x:c r="E44" s="3" t="str">
        <x:v>greg.hall@petrogenium.com</x:v>
      </x:c>
      <x:c r="F44" s="3" t="str">
        <x:v>greg.hall@petrogenium.com</x:v>
      </x:c>
      <x:c r="G44" s="3" t="str">
        <x:v>Asistente</x:v>
      </x:c>
      <x:c r="H44" s="3" t="str">
        <x:v>Greg</x:v>
      </x:c>
      <x:c r="I44" s="3" t="str">
        <x:v>Hall</x:v>
      </x:c>
      <x:c r="J44" s="3" t="str">
        <x:v>greg.hall@petrogenium.com</x:v>
      </x:c>
      <x:c r="K44" s="3" t="str">
        <x:v>10/16/26, 4:24:52 PM</x:v>
      </x:c>
      <x:c r="L44" s="3" t="str">
        <x:v>Registrado</x:v>
      </x:c>
      <x:c r="M44" s="3" t="str">
        <x:v>Petrogenium</x:v>
      </x:c>
      <x:c r="N44" s="3" t="str">
        <x:v>United States</x:v>
      </x:c>
      <x:c r="O44" s="3" t="str"/>
      <x:c r="P44" s="3" t="str"/>
      <x:c r="Q44" s="3" t="str"/>
      <x:c r="R44" s="3" t="str"/>
      <x:c r="S44" s="3" t="str"/>
      <x:c r="T44" s="3" t="str"/>
      <x:c r="U44" s="3" t="str"/>
      <x:c r="V44" s="3" t="str"/>
      <x:c r="W44" s="3" t="str"/>
      <x:c r="X44" s="3" t="str"/>
      <x:c r="Y44" s="3" t="str"/>
      <x:c r="Z44" s="3" t="str"/>
      <x:c r="AA44" s="3" t="str"/>
      <x:c r="AB44" s="3" t="str"/>
      <x:c r="AC44" s="3" t="str"/>
    </x:row>
    <x:row r="45" ht="45" customHeight="1">
      <x:c r="A45" s="3" t="str">
        <x:v>Ken Beach (Externo)</x:v>
      </x:c>
      <x:c r="B45" s="3" t="str">
        <x:v>10/16/26, 4:42:06 PM</x:v>
      </x:c>
      <x:c r="C45" s="3" t="str">
        <x:v>10/16/26, 5:02:46 PM</x:v>
      </x:c>
      <x:c r="D45" s="3" t="str">
        <x:v>20 min 39s</x:v>
      </x:c>
      <x:c r="E45" s="3" t="str">
        <x:v>ken.beach@lcy-biosciences.com</x:v>
      </x:c>
      <x:c r="F45" s="3" t="str">
        <x:v>ken.beach@lcy-biosciences.com</x:v>
      </x:c>
      <x:c r="G45" s="3" t="str">
        <x:v>Asistente</x:v>
      </x:c>
      <x:c r="H45" s="3" t="str">
        <x:v>Ken</x:v>
      </x:c>
      <x:c r="I45" s="3" t="str">
        <x:v>Beach</x:v>
      </x:c>
      <x:c r="J45" s="3" t="str">
        <x:v>ken@beachwayeco.com</x:v>
      </x:c>
      <x:c r="K45" s="3" t="str">
        <x:v>10/07/26, 12:56:26 PM</x:v>
      </x:c>
      <x:c r="L45" s="3" t="str">
        <x:v>Registrado</x:v>
      </x:c>
      <x:c r="M45" s="3" t="str">
        <x:v>Beachway EcoSearch LLC</x:v>
      </x:c>
      <x:c r="N45" s="3" t="str">
        <x:v>United States</x:v>
      </x:c>
      <x:c r="O45" s="3" t="str"/>
      <x:c r="P45" s="3" t="str"/>
      <x:c r="Q45" s="3" t="str"/>
      <x:c r="R45" s="3" t="str"/>
      <x:c r="S45" s="3" t="str"/>
      <x:c r="T45" s="3" t="str"/>
      <x:c r="U45" s="3" t="str"/>
      <x:c r="V45" s="3" t="str"/>
      <x:c r="W45" s="3" t="str"/>
      <x:c r="X45" s="3" t="str"/>
      <x:c r="Y45" s="3" t="str"/>
      <x:c r="Z45" s="3" t="str">
        <x:v>1</x:v>
      </x:c>
      <x:c r="AA45" s="3" t="str"/>
      <x:c r="AB45" s="3" t="str"/>
      <x:c r="AC45" s="3" t="str"/>
    </x:row>
    <x:row r="46" ht="45" customHeight="1">
      <x:c r="A46" s="3" t="str">
        <x:v>Mike Perry (Externo)</x:v>
      </x:c>
      <x:c r="B46" s="3" t="str">
        <x:v>10/16/26, 4:59:41 PM</x:v>
      </x:c>
      <x:c r="C46" s="3" t="str">
        <x:v>10/16/26, 5:04:24 PM</x:v>
      </x:c>
      <x:c r="D46" s="3" t="str">
        <x:v>4 min 42s</x:v>
      </x:c>
      <x:c r="E46" s="3" t="str">
        <x:v>mperry@forestconcepts.com</x:v>
      </x:c>
      <x:c r="F46" s="3" t="str">
        <x:v>mperry@forestconcepts.com</x:v>
      </x:c>
      <x:c r="G46" s="3" t="str">
        <x:v>Asistente</x:v>
      </x:c>
      <x:c r="H46" s="3" t="str">
        <x:v>Mike</x:v>
      </x:c>
      <x:c r="I46" s="3" t="str">
        <x:v>Perry</x:v>
      </x:c>
      <x:c r="J46" s="3" t="str">
        <x:v>mperry@forestconcepts.com</x:v>
      </x:c>
      <x:c r="K46" s="3" t="str">
        <x:v>10/08/26, 3:12:30 PM</x:v>
      </x:c>
      <x:c r="L46" s="3" t="str">
        <x:v>Registrado</x:v>
      </x:c>
      <x:c r="M46" s="3" t="str">
        <x:v>Forest Concepts, LLC</x:v>
      </x:c>
      <x:c r="N46" s="3" t="str">
        <x:v>United States</x:v>
      </x:c>
      <x:c r="O46" s="3" t="str"/>
      <x:c r="P46" s="3" t="str"/>
      <x:c r="Q46" s="3" t="str"/>
      <x:c r="R46" s="3" t="str"/>
      <x:c r="S46" s="3" t="str"/>
      <x:c r="T46" s="3" t="str"/>
      <x:c r="U46" s="3" t="str"/>
      <x:c r="V46" s="3" t="str"/>
      <x:c r="W46" s="3" t="str"/>
      <x:c r="X46" s="3" t="str"/>
      <x:c r="Y46" s="3" t="str"/>
      <x:c r="Z46" s="3" t="str"/>
      <x:c r="AA46" s="3" t="str"/>
      <x:c r="AB46" s="3" t="str"/>
      <x:c r="AC46" s="3" t="str"/>
    </x:row>
    <x:row r="47" ht="45" customHeight="1">
      <x:c r="A47" s="3" t="str"/>
      <x:c r="B47" s="3" t="str"/>
      <x:c r="C47" s="3" t="str"/>
      <x:c r="D47" s="3" t="str"/>
      <x:c r="E47" s="3" t="str"/>
      <x:c r="F47" s="3" t="str"/>
      <x:c r="G47" s="3" t="str"/>
      <x:c r="H47" s="3" t="str">
        <x:v>Geronimo</x:v>
      </x:c>
      <x:c r="I47" s="3" t="str">
        <x:v>Vallori</x:v>
      </x:c>
      <x:c r="J47" s="3" t="str">
        <x:v>gvallori@controlunion.com</x:v>
      </x:c>
      <x:c r="K47" s="3" t="str">
        <x:v>9/17/26, 12:14:39 PM</x:v>
      </x:c>
      <x:c r="L47" s="3" t="str">
        <x:v>Registrado</x:v>
      </x:c>
      <x:c r="M47" s="3" t="str">
        <x:v>Control Union Argentina</x:v>
      </x:c>
      <x:c r="N47" s="3" t="str">
        <x:v>Argentina</x:v>
      </x:c>
      <x:c r="O47" s="3" t="str"/>
      <x:c r="P47" s="3" t="str"/>
      <x:c r="Q47" s="3" t="str"/>
      <x:c r="R47" s="3" t="str"/>
      <x:c r="S47" s="3" t="str"/>
      <x:c r="T47" s="3" t="str"/>
      <x:c r="U47" s="3" t="str"/>
      <x:c r="V47" s="3" t="str"/>
      <x:c r="W47" s="3" t="str"/>
      <x:c r="X47" s="3" t="str"/>
      <x:c r="Y47" s="3" t="str"/>
      <x:c r="Z47" s="3" t="str"/>
      <x:c r="AA47" s="3" t="str"/>
      <x:c r="AB47" s="3" t="str"/>
      <x:c r="AC47" s="3" t="str"/>
    </x:row>
    <x:row r="48" ht="45" customHeight="1">
      <x:c r="A48" s="3" t="str"/>
      <x:c r="B48" s="3" t="str"/>
      <x:c r="C48" s="3" t="str"/>
      <x:c r="D48" s="3" t="str"/>
      <x:c r="E48" s="3" t="str"/>
      <x:c r="F48" s="3" t="str"/>
      <x:c r="G48" s="3" t="str"/>
      <x:c r="H48" s="3" t="str">
        <x:v>Darlene</x:v>
      </x:c>
      <x:c r="I48" s="3" t="str">
        <x:v>Brooks</x:v>
      </x:c>
      <x:c r="J48" s="3" t="str">
        <x:v>darleneb@ncpllc.net</x:v>
      </x:c>
      <x:c r="K48" s="3" t="str">
        <x:v>9/17/26, 1:20:12 PM</x:v>
      </x:c>
      <x:c r="L48" s="3" t="str">
        <x:v>Registrado</x:v>
      </x:c>
      <x:c r="M48" s="3" t="str">
        <x:v>Nebraska Corn Processing, LLC</x:v>
      </x:c>
      <x:c r="N48" s="3" t="str">
        <x:v>United States</x:v>
      </x:c>
      <x:c r="O48" s="3" t="str"/>
      <x:c r="P48" s="3" t="str"/>
      <x:c r="Q48" s="3" t="str"/>
      <x:c r="R48" s="3" t="str"/>
      <x:c r="S48" s="3" t="str"/>
      <x:c r="T48" s="3" t="str"/>
      <x:c r="U48" s="3" t="str"/>
      <x:c r="V48" s="3" t="str"/>
      <x:c r="W48" s="3" t="str"/>
      <x:c r="X48" s="3" t="str"/>
      <x:c r="Y48" s="3" t="str"/>
      <x:c r="Z48" s="3" t="str"/>
      <x:c r="AA48" s="3" t="str"/>
      <x:c r="AB48" s="3" t="str"/>
      <x:c r="AC48" s="3" t="str"/>
    </x:row>
    <x:row r="49" ht="45" customHeight="1">
      <x:c r="A49" s="3" t="str"/>
      <x:c r="B49" s="3" t="str"/>
      <x:c r="C49" s="3" t="str"/>
      <x:c r="D49" s="3" t="str"/>
      <x:c r="E49" s="3" t="str"/>
      <x:c r="F49" s="3" t="str"/>
      <x:c r="G49" s="3" t="str"/>
      <x:c r="H49" s="3" t="str">
        <x:v>Juan</x:v>
      </x:c>
      <x:c r="I49" s="3" t="str">
        <x:v>Gebbie</x:v>
      </x:c>
      <x:c r="J49" s="3" t="str">
        <x:v>jgebbie@controlunion.com</x:v>
      </x:c>
      <x:c r="K49" s="3" t="str">
        <x:v>9/17/26, 8:29:50 PM</x:v>
      </x:c>
      <x:c r="L49" s="3" t="str">
        <x:v>Registrado</x:v>
      </x:c>
      <x:c r="M49" s="3" t="str">
        <x:v>Control Union Argentina</x:v>
      </x:c>
      <x:c r="N49" s="3" t="str">
        <x:v>Argentina</x:v>
      </x:c>
      <x:c r="O49" s="3" t="str"/>
      <x:c r="P49" s="3" t="str"/>
      <x:c r="Q49" s="3" t="str"/>
      <x:c r="R49" s="3" t="str"/>
      <x:c r="S49" s="3" t="str"/>
      <x:c r="T49" s="3" t="str"/>
      <x:c r="U49" s="3" t="str"/>
      <x:c r="V49" s="3" t="str"/>
      <x:c r="W49" s="3" t="str"/>
      <x:c r="X49" s="3" t="str"/>
      <x:c r="Y49" s="3" t="str"/>
      <x:c r="Z49" s="3" t="str"/>
      <x:c r="AA49" s="3" t="str"/>
      <x:c r="AB49" s="3" t="str"/>
      <x:c r="AC49" s="3" t="str"/>
    </x:row>
    <x:row r="50" ht="45" customHeight="1">
      <x:c r="A50" s="3" t="str"/>
      <x:c r="B50" s="3" t="str"/>
      <x:c r="C50" s="3" t="str"/>
      <x:c r="D50" s="3" t="str"/>
      <x:c r="E50" s="3" t="str"/>
      <x:c r="F50" s="3" t="str"/>
      <x:c r="G50" s="3" t="str"/>
      <x:c r="H50" s="3" t="str">
        <x:v>victoria</x:v>
      </x:c>
      <x:c r="I50" s="3" t="str">
        <x:v>colombo</x:v>
      </x:c>
      <x:c r="J50" s="3" t="str">
        <x:v>vcolombo@controlunion.com</x:v>
      </x:c>
      <x:c r="K50" s="3" t="str">
        <x:v>9/21/26, 9:48:51 AM</x:v>
      </x:c>
      <x:c r="L50" s="3" t="str">
        <x:v>Registrado</x:v>
      </x:c>
      <x:c r="M50" s="3" t="str">
        <x:v>CU</x:v>
      </x:c>
      <x:c r="N50" s="3" t="str">
        <x:v>arg</x:v>
      </x:c>
      <x:c r="O50" s="3" t="str"/>
      <x:c r="P50" s="3" t="str"/>
      <x:c r="Q50" s="3" t="str"/>
      <x:c r="R50" s="3" t="str"/>
      <x:c r="S50" s="3" t="str"/>
      <x:c r="T50" s="3" t="str"/>
      <x:c r="U50" s="3" t="str"/>
      <x:c r="V50" s="3" t="str"/>
      <x:c r="W50" s="3" t="str"/>
      <x:c r="X50" s="3" t="str"/>
      <x:c r="Y50" s="3" t="str"/>
      <x:c r="Z50" s="3" t="str"/>
      <x:c r="AA50" s="3" t="str"/>
      <x:c r="AB50" s="3" t="str"/>
      <x:c r="AC50" s="3" t="str"/>
    </x:row>
    <x:row r="51" ht="45" customHeight="1">
      <x:c r="A51" s="3" t="str"/>
      <x:c r="B51" s="3" t="str"/>
      <x:c r="C51" s="3" t="str"/>
      <x:c r="D51" s="3" t="str"/>
      <x:c r="E51" s="3" t="str"/>
      <x:c r="F51" s="3" t="str"/>
      <x:c r="G51" s="3" t="str"/>
      <x:c r="H51" s="3" t="str">
        <x:v>Jamie</x:v>
      </x:c>
      <x:c r="I51" s="3" t="str">
        <x:v>Denbow</x:v>
      </x:c>
      <x:c r="J51" s="3" t="str">
        <x:v>jamie_denbow@g3.ca</x:v>
      </x:c>
      <x:c r="K51" s="3" t="str">
        <x:v>9/21/26, 11:21:45 AM</x:v>
      </x:c>
      <x:c r="L51" s="3" t="str">
        <x:v>Registrado</x:v>
      </x:c>
      <x:c r="M51" s="3" t="str">
        <x:v>G3 Canada Ltd.</x:v>
      </x:c>
      <x:c r="N51" s="3" t="str">
        <x:v>Canada</x:v>
      </x:c>
      <x:c r="O51" s="3" t="str"/>
      <x:c r="P51" s="3" t="str"/>
      <x:c r="Q51" s="3" t="str"/>
      <x:c r="R51" s="3" t="str"/>
      <x:c r="S51" s="3" t="str"/>
      <x:c r="T51" s="3" t="str"/>
      <x:c r="U51" s="3" t="str"/>
      <x:c r="V51" s="3" t="str"/>
      <x:c r="W51" s="3" t="str"/>
      <x:c r="X51" s="3" t="str"/>
      <x:c r="Y51" s="3" t="str"/>
      <x:c r="Z51" s="3" t="str"/>
      <x:c r="AA51" s="3" t="str"/>
      <x:c r="AB51" s="3" t="str"/>
      <x:c r="AC51" s="3" t="str"/>
    </x:row>
    <x:row r="52" ht="45" customHeight="1">
      <x:c r="A52" s="3" t="str"/>
      <x:c r="B52" s="3" t="str"/>
      <x:c r="C52" s="3" t="str"/>
      <x:c r="D52" s="3" t="str"/>
      <x:c r="E52" s="3" t="str"/>
      <x:c r="F52" s="3" t="str"/>
      <x:c r="G52" s="3" t="str"/>
      <x:c r="H52" s="3" t="str">
        <x:v>Ed</x:v>
      </x:c>
      <x:c r="I52" s="3" t="str">
        <x:v>Watts</x:v>
      </x:c>
      <x:c r="J52" s="3" t="str">
        <x:v>ed@virescoad.com</x:v>
      </x:c>
      <x:c r="K52" s="3" t="str">
        <x:v>9/22/26, 9:56:26 AM</x:v>
      </x:c>
      <x:c r="L52" s="3" t="str">
        <x:v>Registrado</x:v>
      </x:c>
      <x:c r="M52" s="3" t="str">
        <x:v>Viresco</x:v>
      </x:c>
      <x:c r="N52" s="3" t="str">
        <x:v>United States</x:v>
      </x:c>
      <x:c r="O52" s="3" t="str"/>
      <x:c r="P52" s="3" t="str"/>
      <x:c r="Q52" s="3" t="str"/>
      <x:c r="R52" s="3" t="str"/>
      <x:c r="S52" s="3" t="str"/>
      <x:c r="T52" s="3" t="str"/>
      <x:c r="U52" s="3" t="str"/>
      <x:c r="V52" s="3" t="str"/>
      <x:c r="W52" s="3" t="str"/>
      <x:c r="X52" s="3" t="str"/>
      <x:c r="Y52" s="3" t="str"/>
      <x:c r="Z52" s="3" t="str"/>
      <x:c r="AA52" s="3" t="str"/>
      <x:c r="AB52" s="3" t="str"/>
      <x:c r="AC52" s="3" t="str"/>
    </x:row>
    <x:row r="53" ht="45" customHeight="1">
      <x:c r="A53" s="3" t="str"/>
      <x:c r="B53" s="3" t="str"/>
      <x:c r="C53" s="3" t="str"/>
      <x:c r="D53" s="3" t="str"/>
      <x:c r="E53" s="3" t="str"/>
      <x:c r="F53" s="3" t="str"/>
      <x:c r="G53" s="3" t="str"/>
      <x:c r="H53" s="3" t="str">
        <x:v>Federika</x:v>
      </x:c>
      <x:c r="I53" s="3" t="str">
        <x:v>Marty</x:v>
      </x:c>
      <x:c r="J53" s="3" t="str">
        <x:v>fmarty@onepeterson.com</x:v>
      </x:c>
      <x:c r="K53" s="3" t="str">
        <x:v>9/22/26, 10:02:33 AM</x:v>
      </x:c>
      <x:c r="L53" s="3" t="str">
        <x:v>Registrado</x:v>
      </x:c>
      <x:c r="M53" s="3" t="str">
        <x:v>Delphy Ag Advisory </x:v>
      </x:c>
      <x:c r="N53" s="3" t="str">
        <x:v>United States</x:v>
      </x:c>
      <x:c r="O53" s="3" t="str"/>
      <x:c r="P53" s="3" t="str"/>
      <x:c r="Q53" s="3" t="str"/>
      <x:c r="R53" s="3" t="str"/>
      <x:c r="S53" s="3" t="str"/>
      <x:c r="T53" s="3" t="str"/>
      <x:c r="U53" s="3" t="str"/>
      <x:c r="V53" s="3" t="str"/>
      <x:c r="W53" s="3" t="str"/>
      <x:c r="X53" s="3" t="str"/>
      <x:c r="Y53" s="3" t="str"/>
      <x:c r="Z53" s="3" t="str"/>
      <x:c r="AA53" s="3" t="str"/>
      <x:c r="AB53" s="3" t="str"/>
      <x:c r="AC53" s="3" t="str"/>
    </x:row>
    <x:row r="54" ht="45" customHeight="1">
      <x:c r="A54" s="3" t="str"/>
      <x:c r="B54" s="3" t="str"/>
      <x:c r="C54" s="3" t="str"/>
      <x:c r="D54" s="3" t="str"/>
      <x:c r="E54" s="3" t="str"/>
      <x:c r="F54" s="3" t="str"/>
      <x:c r="G54" s="3" t="str"/>
      <x:c r="H54" s="3" t="str">
        <x:v>John</x:v>
      </x:c>
      <x:c r="I54" s="3" t="str">
        <x:v>Justus</x:v>
      </x:c>
      <x:c r="J54" s="3" t="str">
        <x:v>jjustus@reverecontrol.com</x:v>
      </x:c>
      <x:c r="K54" s="3" t="str">
        <x:v>9/22/26, 10:35:20 AM</x:v>
      </x:c>
      <x:c r="L54" s="3" t="str">
        <x:v>Registrado</x:v>
      </x:c>
      <x:c r="M54" s="3" t="str">
        <x:v>Revere Control Systems</x:v>
      </x:c>
      <x:c r="N54" s="3" t="str">
        <x:v>United States</x:v>
      </x:c>
      <x:c r="O54" s="3" t="str"/>
      <x:c r="P54" s="3" t="str"/>
      <x:c r="Q54" s="3" t="str"/>
      <x:c r="R54" s="3" t="str"/>
      <x:c r="S54" s="3" t="str"/>
      <x:c r="T54" s="3" t="str"/>
      <x:c r="U54" s="3" t="str"/>
      <x:c r="V54" s="3" t="str"/>
      <x:c r="W54" s="3" t="str"/>
      <x:c r="X54" s="3" t="str"/>
      <x:c r="Y54" s="3" t="str"/>
      <x:c r="Z54" s="3" t="str"/>
      <x:c r="AA54" s="3" t="str"/>
      <x:c r="AB54" s="3" t="str"/>
      <x:c r="AC54" s="3" t="str"/>
    </x:row>
    <x:row r="55" ht="45" customHeight="1">
      <x:c r="A55" s="3" t="str"/>
      <x:c r="B55" s="3" t="str"/>
      <x:c r="C55" s="3" t="str"/>
      <x:c r="D55" s="3" t="str"/>
      <x:c r="E55" s="3" t="str"/>
      <x:c r="F55" s="3" t="str"/>
      <x:c r="G55" s="3" t="str"/>
      <x:c r="H55" s="3" t="str">
        <x:v>Julia</x:v>
      </x:c>
      <x:c r="I55" s="3" t="str">
        <x:v>Szilvas</x:v>
      </x:c>
      <x:c r="J55" s="3" t="str">
        <x:v>jszilvas@quasareg.com</x:v>
      </x:c>
      <x:c r="K55" s="3" t="str">
        <x:v>9/22/26, 10:43:33 AM</x:v>
      </x:c>
      <x:c r="L55" s="3" t="str">
        <x:v>Registrado</x:v>
      </x:c>
      <x:c r="M55" s="3" t="str">
        <x:v>quasar energy group</x:v>
      </x:c>
      <x:c r="N55" s="3" t="str">
        <x:v>United States</x:v>
      </x:c>
      <x:c r="O55" s="3" t="str"/>
      <x:c r="P55" s="3" t="str"/>
      <x:c r="Q55" s="3" t="str"/>
      <x:c r="R55" s="3" t="str"/>
      <x:c r="S55" s="3" t="str"/>
      <x:c r="T55" s="3" t="str"/>
      <x:c r="U55" s="3" t="str"/>
      <x:c r="V55" s="3" t="str"/>
      <x:c r="W55" s="3" t="str"/>
      <x:c r="X55" s="3" t="str"/>
      <x:c r="Y55" s="3" t="str"/>
      <x:c r="Z55" s="3" t="str"/>
      <x:c r="AA55" s="3" t="str"/>
      <x:c r="AB55" s="3" t="str"/>
      <x:c r="AC55" s="3" t="str"/>
    </x:row>
    <x:row r="56" ht="45" customHeight="1">
      <x:c r="A56" s="3" t="str"/>
      <x:c r="B56" s="3" t="str"/>
      <x:c r="C56" s="3" t="str"/>
      <x:c r="D56" s="3" t="str"/>
      <x:c r="E56" s="3" t="str"/>
      <x:c r="F56" s="3" t="str"/>
      <x:c r="G56" s="3" t="str"/>
      <x:c r="H56" s="3" t="str">
        <x:v>Maxx</x:v>
      </x:c>
      <x:c r="I56" s="3" t="str">
        <x:v>Lewinger</x:v>
      </x:c>
      <x:c r="J56" s="3" t="str">
        <x:v>maxx@american-ethanol.com</x:v>
      </x:c>
      <x:c r="K56" s="3" t="str">
        <x:v>9/22/26, 11:20:30 AM</x:v>
      </x:c>
      <x:c r="L56" s="3" t="str">
        <x:v>Registrado</x:v>
      </x:c>
      <x:c r="M56" s="3" t="str"/>
      <x:c r="N56" s="3" t="str"/>
      <x:c r="O56" s="3" t="str"/>
      <x:c r="P56" s="3" t="str"/>
      <x:c r="Q56" s="3" t="str"/>
      <x:c r="R56" s="3" t="str"/>
      <x:c r="S56" s="3" t="str"/>
      <x:c r="T56" s="3" t="str"/>
      <x:c r="U56" s="3" t="str"/>
      <x:c r="V56" s="3" t="str"/>
      <x:c r="W56" s="3" t="str"/>
      <x:c r="X56" s="3" t="str"/>
      <x:c r="Y56" s="3" t="str"/>
      <x:c r="Z56" s="3" t="str"/>
      <x:c r="AA56" s="3" t="str"/>
      <x:c r="AB56" s="3" t="str"/>
      <x:c r="AC56" s="3" t="str"/>
    </x:row>
    <x:row r="57" ht="45" customHeight="1">
      <x:c r="A57" s="3" t="str"/>
      <x:c r="B57" s="3" t="str"/>
      <x:c r="C57" s="3" t="str"/>
      <x:c r="D57" s="3" t="str"/>
      <x:c r="E57" s="3" t="str"/>
      <x:c r="F57" s="3" t="str"/>
      <x:c r="G57" s="3" t="str"/>
      <x:c r="H57" s="3" t="str">
        <x:v>Jenyfer</x:v>
      </x:c>
      <x:c r="I57" s="3" t="str">
        <x:v>Lapish</x:v>
      </x:c>
      <x:c r="J57" s="3" t="str">
        <x:v>jlapish@thumbbioenergy.com</x:v>
      </x:c>
      <x:c r="K57" s="3" t="str">
        <x:v>9/22/26, 12:16:32 PM</x:v>
      </x:c>
      <x:c r="L57" s="3" t="str">
        <x:v>Registrado</x:v>
      </x:c>
      <x:c r="M57" s="3" t="str">
        <x:v>Thumb BioEnergy </x:v>
      </x:c>
      <x:c r="N57" s="3" t="str">
        <x:v>United States</x:v>
      </x:c>
      <x:c r="O57" s="3" t="str"/>
      <x:c r="P57" s="3" t="str"/>
      <x:c r="Q57" s="3" t="str"/>
      <x:c r="R57" s="3" t="str"/>
      <x:c r="S57" s="3" t="str"/>
      <x:c r="T57" s="3" t="str"/>
      <x:c r="U57" s="3" t="str"/>
      <x:c r="V57" s="3" t="str"/>
      <x:c r="W57" s="3" t="str"/>
      <x:c r="X57" s="3" t="str"/>
      <x:c r="Y57" s="3" t="str"/>
      <x:c r="Z57" s="3" t="str"/>
      <x:c r="AA57" s="3" t="str"/>
      <x:c r="AB57" s="3" t="str"/>
      <x:c r="AC57" s="3" t="str"/>
    </x:row>
    <x:row r="58" ht="45" customHeight="1">
      <x:c r="A58" s="3" t="str"/>
      <x:c r="B58" s="3" t="str"/>
      <x:c r="C58" s="3" t="str"/>
      <x:c r="D58" s="3" t="str"/>
      <x:c r="E58" s="3" t="str"/>
      <x:c r="F58" s="3" t="str"/>
      <x:c r="G58" s="3" t="str"/>
      <x:c r="H58" s="3" t="str">
        <x:v>Elizabeth</x:v>
      </x:c>
      <x:c r="I58" s="3" t="str">
        <x:v>Thomas</x:v>
      </x:c>
      <x:c r="J58" s="3" t="str">
        <x:v>elizabeth.thomas@calumetspecialty.com</x:v>
      </x:c>
      <x:c r="K58" s="3" t="str">
        <x:v>9/22/26, 1:52:38 PM</x:v>
      </x:c>
      <x:c r="L58" s="3" t="str">
        <x:v>Registrado</x:v>
      </x:c>
      <x:c r="M58" s="3" t="str">
        <x:v>Montana Renewables</x:v>
      </x:c>
      <x:c r="N58" s="3" t="str">
        <x:v>United States</x:v>
      </x:c>
      <x:c r="O58" s="3" t="str"/>
      <x:c r="P58" s="3" t="str"/>
      <x:c r="Q58" s="3" t="str"/>
      <x:c r="R58" s="3" t="str"/>
      <x:c r="S58" s="3" t="str"/>
      <x:c r="T58" s="3" t="str"/>
      <x:c r="U58" s="3" t="str"/>
      <x:c r="V58" s="3" t="str"/>
      <x:c r="W58" s="3" t="str"/>
      <x:c r="X58" s="3" t="str"/>
      <x:c r="Y58" s="3" t="str"/>
      <x:c r="Z58" s="3" t="str"/>
      <x:c r="AA58" s="3" t="str"/>
      <x:c r="AB58" s="3" t="str"/>
      <x:c r="AC58" s="3" t="str"/>
    </x:row>
    <x:row r="59" ht="45" customHeight="1">
      <x:c r="A59" s="3" t="str"/>
      <x:c r="B59" s="3" t="str"/>
      <x:c r="C59" s="3" t="str"/>
      <x:c r="D59" s="3" t="str"/>
      <x:c r="E59" s="3" t="str"/>
      <x:c r="F59" s="3" t="str"/>
      <x:c r="G59" s="3" t="str"/>
      <x:c r="H59" s="3" t="str">
        <x:v>Paul</x:v>
      </x:c>
      <x:c r="I59" s="3" t="str">
        <x:v>Oesterreich</x:v>
      </x:c>
      <x:c r="J59" s="3" t="str">
        <x:v>pauloesterreich@strategicbiofuels.com</x:v>
      </x:c>
      <x:c r="K59" s="3" t="str">
        <x:v>9/29/26, 12:52:50 PM</x:v>
      </x:c>
      <x:c r="L59" s="3" t="str">
        <x:v>Registrado</x:v>
      </x:c>
      <x:c r="M59" s="3" t="str">
        <x:v>Strategic Biofuels </x:v>
      </x:c>
      <x:c r="N59" s="3" t="str">
        <x:v>United States</x:v>
      </x:c>
      <x:c r="O59" s="3" t="str"/>
      <x:c r="P59" s="3" t="str"/>
      <x:c r="Q59" s="3" t="str"/>
      <x:c r="R59" s="3" t="str"/>
      <x:c r="S59" s="3" t="str"/>
      <x:c r="T59" s="3" t="str"/>
      <x:c r="U59" s="3" t="str"/>
      <x:c r="V59" s="3" t="str"/>
      <x:c r="W59" s="3" t="str"/>
      <x:c r="X59" s="3" t="str"/>
      <x:c r="Y59" s="3" t="str"/>
      <x:c r="Z59" s="3" t="str"/>
      <x:c r="AA59" s="3" t="str"/>
      <x:c r="AB59" s="3" t="str"/>
      <x:c r="AC59" s="3" t="str"/>
    </x:row>
    <x:row r="60" ht="45" customHeight="1">
      <x:c r="A60" s="3" t="str"/>
      <x:c r="B60" s="3" t="str"/>
      <x:c r="C60" s="3" t="str"/>
      <x:c r="D60" s="3" t="str"/>
      <x:c r="E60" s="3" t="str"/>
      <x:c r="F60" s="3" t="str"/>
      <x:c r="G60" s="3" t="str"/>
      <x:c r="H60" s="3" t="str">
        <x:v>Samyak</x:v>
      </x:c>
      <x:c r="I60" s="3" t="str">
        <x:v>Pandey</x:v>
      </x:c>
      <x:c r="J60" s="3" t="str">
        <x:v>samyak.pandey@spglobal.com</x:v>
      </x:c>
      <x:c r="K60" s="3" t="str">
        <x:v>9/29/26, 1:52:56 PM</x:v>
      </x:c>
      <x:c r="L60" s="3" t="str">
        <x:v>Registrado</x:v>
      </x:c>
      <x:c r="M60" s="3" t="str">
        <x:v>S&amp;P Global</x:v>
      </x:c>
      <x:c r="N60" s="3" t="str">
        <x:v>India</x:v>
      </x:c>
      <x:c r="O60" s="3" t="str"/>
      <x:c r="P60" s="3" t="str"/>
      <x:c r="Q60" s="3" t="str"/>
      <x:c r="R60" s="3" t="str"/>
      <x:c r="S60" s="3" t="str"/>
      <x:c r="T60" s="3" t="str"/>
      <x:c r="U60" s="3" t="str"/>
      <x:c r="V60" s="3" t="str"/>
      <x:c r="W60" s="3" t="str"/>
      <x:c r="X60" s="3" t="str"/>
      <x:c r="Y60" s="3" t="str"/>
      <x:c r="Z60" s="3" t="str"/>
      <x:c r="AA60" s="3" t="str"/>
      <x:c r="AB60" s="3" t="str"/>
      <x:c r="AC60" s="3" t="str"/>
    </x:row>
    <x:row r="61" ht="45" customHeight="1">
      <x:c r="A61" s="3" t="str"/>
      <x:c r="B61" s="3" t="str"/>
      <x:c r="C61" s="3" t="str"/>
      <x:c r="D61" s="3" t="str"/>
      <x:c r="E61" s="3" t="str"/>
      <x:c r="F61" s="3" t="str"/>
      <x:c r="G61" s="3" t="str"/>
      <x:c r="H61" s="3" t="str">
        <x:v>Lyndsey</x:v>
      </x:c>
      <x:c r="I61" s="3" t="str">
        <x:v>Nielsen</x:v>
      </x:c>
      <x:c r="J61" s="3" t="str">
        <x:v>lnielsen@ecoengineers.us</x:v>
      </x:c>
      <x:c r="K61" s="3" t="str">
        <x:v>9/29/26, 3:43:39 PM</x:v>
      </x:c>
      <x:c r="L61" s="3" t="str">
        <x:v>Registrado</x:v>
      </x:c>
      <x:c r="M61" s="3" t="str">
        <x:v>EcoEngineers</x:v>
      </x:c>
      <x:c r="N61" s="3" t="str">
        <x:v>US</x:v>
      </x:c>
      <x:c r="O61" s="3" t="str"/>
      <x:c r="P61" s="3" t="str"/>
      <x:c r="Q61" s="3" t="str"/>
      <x:c r="R61" s="3" t="str"/>
      <x:c r="S61" s="3" t="str"/>
      <x:c r="T61" s="3" t="str"/>
      <x:c r="U61" s="3" t="str"/>
      <x:c r="V61" s="3" t="str"/>
      <x:c r="W61" s="3" t="str"/>
      <x:c r="X61" s="3" t="str"/>
      <x:c r="Y61" s="3" t="str"/>
      <x:c r="Z61" s="3" t="str"/>
      <x:c r="AA61" s="3" t="str"/>
      <x:c r="AB61" s="3" t="str"/>
      <x:c r="AC61" s="3" t="str"/>
    </x:row>
    <x:row r="62" ht="45" customHeight="1">
      <x:c r="A62" s="3" t="str"/>
      <x:c r="B62" s="3" t="str"/>
      <x:c r="C62" s="3" t="str"/>
      <x:c r="D62" s="3" t="str"/>
      <x:c r="E62" s="3" t="str"/>
      <x:c r="F62" s="3" t="str"/>
      <x:c r="G62" s="3" t="str"/>
      <x:c r="H62" s="3" t="str">
        <x:v>Nivea</x:v>
      </x:c>
      <x:c r="I62" s="3" t="str">
        <x:v>Silva</x:v>
      </x:c>
      <x:c r="J62" s="3" t="str">
        <x:v>niveamar@petrobras.com.br</x:v>
      </x:c>
      <x:c r="K62" s="3" t="str">
        <x:v>9/29/26, 4:58:58 PM</x:v>
      </x:c>
      <x:c r="L62" s="3" t="str">
        <x:v>Registrado</x:v>
      </x:c>
      <x:c r="M62" s="3" t="str">
        <x:v>Petrobras</x:v>
      </x:c>
      <x:c r="N62" s="3" t="str">
        <x:v>Brasil</x:v>
      </x:c>
      <x:c r="O62" s="3" t="str"/>
      <x:c r="P62" s="3" t="str"/>
      <x:c r="Q62" s="3" t="str"/>
      <x:c r="R62" s="3" t="str"/>
      <x:c r="S62" s="3" t="str"/>
      <x:c r="T62" s="3" t="str"/>
      <x:c r="U62" s="3" t="str"/>
      <x:c r="V62" s="3" t="str"/>
      <x:c r="W62" s="3" t="str"/>
      <x:c r="X62" s="3" t="str"/>
      <x:c r="Y62" s="3" t="str"/>
      <x:c r="Z62" s="3" t="str"/>
      <x:c r="AA62" s="3" t="str"/>
      <x:c r="AB62" s="3" t="str"/>
      <x:c r="AC62" s="3" t="str"/>
    </x:row>
    <x:row r="63" ht="45" customHeight="1">
      <x:c r="A63" s="3" t="str"/>
      <x:c r="B63" s="3" t="str"/>
      <x:c r="C63" s="3" t="str"/>
      <x:c r="D63" s="3" t="str"/>
      <x:c r="E63" s="3" t="str"/>
      <x:c r="F63" s="3" t="str"/>
      <x:c r="G63" s="3" t="str"/>
      <x:c r="H63" s="3" t="str">
        <x:v>Ruby</x:v>
      </x:c>
      <x:c r="I63" s="3" t="str">
        <x:v>Nicholson</x:v>
      </x:c>
      <x:c r="J63" s="3" t="str">
        <x:v>rnicholson@bioveritas.com</x:v>
      </x:c>
      <x:c r="K63" s="3" t="str">
        <x:v>9/29/26, 6:19:32 PM</x:v>
      </x:c>
      <x:c r="L63" s="3" t="str">
        <x:v>Registrado</x:v>
      </x:c>
      <x:c r="M63" s="3" t="str">
        <x:v>BioVeritas</x:v>
      </x:c>
      <x:c r="N63" s="3" t="str">
        <x:v>United States</x:v>
      </x:c>
      <x:c r="O63" s="3" t="str"/>
      <x:c r="P63" s="3" t="str"/>
      <x:c r="Q63" s="3" t="str"/>
      <x:c r="R63" s="3" t="str"/>
      <x:c r="S63" s="3" t="str"/>
      <x:c r="T63" s="3" t="str"/>
      <x:c r="U63" s="3" t="str"/>
      <x:c r="V63" s="3" t="str"/>
      <x:c r="W63" s="3" t="str"/>
      <x:c r="X63" s="3" t="str"/>
      <x:c r="Y63" s="3" t="str"/>
      <x:c r="Z63" s="3" t="str"/>
      <x:c r="AA63" s="3" t="str"/>
      <x:c r="AB63" s="3" t="str"/>
      <x:c r="AC63" s="3" t="str"/>
    </x:row>
    <x:row r="64" ht="45" customHeight="1">
      <x:c r="A64" s="3" t="str"/>
      <x:c r="B64" s="3" t="str"/>
      <x:c r="C64" s="3" t="str"/>
      <x:c r="D64" s="3" t="str"/>
      <x:c r="E64" s="3" t="str"/>
      <x:c r="F64" s="3" t="str"/>
      <x:c r="G64" s="3" t="str"/>
      <x:c r="H64" s="3" t="str">
        <x:v>Patrick</x:v>
      </x:c>
      <x:c r="I64" s="3" t="str">
        <x:v>Lynch</x:v>
      </x:c>
      <x:c r="J64" s="3" t="str">
        <x:v>patrick@bioledger.io</x:v>
      </x:c>
      <x:c r="K64" s="3" t="str">
        <x:v>9/29/26, 6:37:20 PM</x:v>
      </x:c>
      <x:c r="L64" s="3" t="str">
        <x:v>Registrado</x:v>
      </x:c>
      <x:c r="M64" s="3" t="str"/>
      <x:c r="N64" s="3" t="str">
        <x:v>United Kingdom</x:v>
      </x:c>
      <x:c r="O64" s="3" t="str"/>
      <x:c r="P64" s="3" t="str"/>
      <x:c r="Q64" s="3" t="str"/>
      <x:c r="R64" s="3" t="str"/>
      <x:c r="S64" s="3" t="str"/>
      <x:c r="T64" s="3" t="str"/>
      <x:c r="U64" s="3" t="str"/>
      <x:c r="V64" s="3" t="str"/>
      <x:c r="W64" s="3" t="str"/>
      <x:c r="X64" s="3" t="str"/>
      <x:c r="Y64" s="3" t="str"/>
      <x:c r="Z64" s="3" t="str"/>
      <x:c r="AA64" s="3" t="str"/>
      <x:c r="AB64" s="3" t="str"/>
      <x:c r="AC64" s="3" t="str"/>
    </x:row>
    <x:row r="65" ht="45" customHeight="1">
      <x:c r="A65" s="3" t="str"/>
      <x:c r="B65" s="3" t="str"/>
      <x:c r="C65" s="3" t="str"/>
      <x:c r="D65" s="3" t="str"/>
      <x:c r="E65" s="3" t="str"/>
      <x:c r="F65" s="3" t="str"/>
      <x:c r="G65" s="3" t="str"/>
      <x:c r="H65" s="3" t="str">
        <x:v>Mari Cruz</x:v>
      </x:c>
      <x:c r="I65" s="3" t="str">
        <x:v>Ortega Teruel</x:v>
      </x:c>
      <x:c r="J65" s="3" t="str">
        <x:v>maricruz@iberiabioenergy.com</x:v>
      </x:c>
      <x:c r="K65" s="3" t="str">
        <x:v>9/30/26, 12:36:15 AM</x:v>
      </x:c>
      <x:c r="L65" s="3" t="str">
        <x:v>Registrado</x:v>
      </x:c>
      <x:c r="M65" s="3" t="str">
        <x:v>Iberia Bioenergy SLU</x:v>
      </x:c>
      <x:c r="N65" s="3" t="str">
        <x:v>Spain</x:v>
      </x:c>
      <x:c r="O65" s="3" t="str"/>
      <x:c r="P65" s="3" t="str"/>
      <x:c r="Q65" s="3" t="str"/>
      <x:c r="R65" s="3" t="str"/>
      <x:c r="S65" s="3" t="str"/>
      <x:c r="T65" s="3" t="str"/>
      <x:c r="U65" s="3" t="str"/>
      <x:c r="V65" s="3" t="str"/>
      <x:c r="W65" s="3" t="str"/>
      <x:c r="X65" s="3" t="str"/>
      <x:c r="Y65" s="3" t="str"/>
      <x:c r="Z65" s="3" t="str"/>
      <x:c r="AA65" s="3" t="str"/>
      <x:c r="AB65" s="3" t="str"/>
      <x:c r="AC65" s="3" t="str"/>
    </x:row>
    <x:row r="66" ht="45" customHeight="1">
      <x:c r="A66" s="3" t="str"/>
      <x:c r="B66" s="3" t="str"/>
      <x:c r="C66" s="3" t="str"/>
      <x:c r="D66" s="3" t="str"/>
      <x:c r="E66" s="3" t="str"/>
      <x:c r="F66" s="3" t="str"/>
      <x:c r="G66" s="3" t="str"/>
      <x:c r="H66" s="3" t="str">
        <x:v>Jonathan</x:v>
      </x:c>
      <x:c r="I66" s="3" t="str">
        <x:v>Vacari</x:v>
      </x:c>
      <x:c r="J66" s="3" t="str">
        <x:v>jonathan.vacari@neste.com</x:v>
      </x:c>
      <x:c r="K66" s="3" t="str">
        <x:v>9/30/26, 12:39:36 PM</x:v>
      </x:c>
      <x:c r="L66" s="3" t="str">
        <x:v>Registrado</x:v>
      </x:c>
      <x:c r="M66" s="3" t="str">
        <x:v>Neste</x:v>
      </x:c>
      <x:c r="N66" s="3" t="str">
        <x:v>Brazil</x:v>
      </x:c>
      <x:c r="O66" s="3" t="str"/>
      <x:c r="P66" s="3" t="str"/>
      <x:c r="Q66" s="3" t="str"/>
      <x:c r="R66" s="3" t="str"/>
      <x:c r="S66" s="3" t="str"/>
      <x:c r="T66" s="3" t="str"/>
      <x:c r="U66" s="3" t="str"/>
      <x:c r="V66" s="3" t="str"/>
      <x:c r="W66" s="3" t="str"/>
      <x:c r="X66" s="3" t="str"/>
      <x:c r="Y66" s="3" t="str"/>
      <x:c r="Z66" s="3" t="str"/>
      <x:c r="AA66" s="3" t="str"/>
      <x:c r="AB66" s="3" t="str"/>
      <x:c r="AC66" s="3" t="str"/>
    </x:row>
    <x:row r="67" ht="45" customHeight="1">
      <x:c r="A67" s="3" t="str"/>
      <x:c r="B67" s="3" t="str"/>
      <x:c r="C67" s="3" t="str"/>
      <x:c r="D67" s="3" t="str"/>
      <x:c r="E67" s="3" t="str"/>
      <x:c r="F67" s="3" t="str"/>
      <x:c r="G67" s="3" t="str"/>
      <x:c r="H67" s="3" t="str">
        <x:v>Alexandra</x:v>
      </x:c>
      <x:c r="I67" s="3" t="str">
        <x:v>Krus</x:v>
      </x:c>
      <x:c r="J67" s="3" t="str">
        <x:v>alexandra.krus@calumetspecialty.com</x:v>
      </x:c>
      <x:c r="K67" s="3" t="str">
        <x:v>10/01/26, 3:15:34 PM</x:v>
      </x:c>
      <x:c r="L67" s="3" t="str">
        <x:v>Registrado</x:v>
      </x:c>
      <x:c r="M67" s="3" t="str">
        <x:v>Montana Renewables, LLC</x:v>
      </x:c>
      <x:c r="N67" s="3" t="str">
        <x:v>United States</x:v>
      </x:c>
      <x:c r="O67" s="3" t="str"/>
      <x:c r="P67" s="3" t="str"/>
      <x:c r="Q67" s="3" t="str"/>
      <x:c r="R67" s="3" t="str"/>
      <x:c r="S67" s="3" t="str"/>
      <x:c r="T67" s="3" t="str"/>
      <x:c r="U67" s="3" t="str"/>
      <x:c r="V67" s="3" t="str"/>
      <x:c r="W67" s="3" t="str"/>
      <x:c r="X67" s="3" t="str"/>
      <x:c r="Y67" s="3" t="str"/>
      <x:c r="Z67" s="3" t="str"/>
      <x:c r="AA67" s="3" t="str"/>
      <x:c r="AB67" s="3" t="str"/>
      <x:c r="AC67" s="3" t="str"/>
    </x:row>
    <x:row r="68" ht="45" customHeight="1">
      <x:c r="A68" s="3" t="str"/>
      <x:c r="B68" s="3" t="str"/>
      <x:c r="C68" s="3" t="str"/>
      <x:c r="D68" s="3" t="str"/>
      <x:c r="E68" s="3" t="str"/>
      <x:c r="F68" s="3" t="str"/>
      <x:c r="G68" s="3" t="str"/>
      <x:c r="H68" s="3" t="str">
        <x:v>Jennifer</x:v>
      </x:c>
      <x:c r="I68" s="3" t="str">
        <x:v>McIsaac</x:v>
      </x:c>
      <x:c r="J68" s="3" t="str">
        <x:v>jmcisaac@clearbluemarkets.com</x:v>
      </x:c>
      <x:c r="K68" s="3" t="str">
        <x:v>10/01/26, 4:50:24 PM</x:v>
      </x:c>
      <x:c r="L68" s="3" t="str">
        <x:v>Registrado</x:v>
      </x:c>
      <x:c r="M68" s="3" t="str">
        <x:v>ClearBlue </x:v>
      </x:c>
      <x:c r="N68" s="3" t="str">
        <x:v>Usa</x:v>
      </x:c>
      <x:c r="O68" s="3" t="str"/>
      <x:c r="P68" s="3" t="str"/>
      <x:c r="Q68" s="3" t="str"/>
      <x:c r="R68" s="3" t="str"/>
      <x:c r="S68" s="3" t="str"/>
      <x:c r="T68" s="3" t="str"/>
      <x:c r="U68" s="3" t="str"/>
      <x:c r="V68" s="3" t="str"/>
      <x:c r="W68" s="3" t="str"/>
      <x:c r="X68" s="3" t="str"/>
      <x:c r="Y68" s="3" t="str"/>
      <x:c r="Z68" s="3" t="str"/>
      <x:c r="AA68" s="3" t="str"/>
      <x:c r="AB68" s="3" t="str"/>
      <x:c r="AC68" s="3" t="str"/>
    </x:row>
    <x:row r="69" ht="45" customHeight="1">
      <x:c r="A69" s="3" t="str"/>
      <x:c r="B69" s="3" t="str"/>
      <x:c r="C69" s="3" t="str"/>
      <x:c r="D69" s="3" t="str"/>
      <x:c r="E69" s="3" t="str"/>
      <x:c r="F69" s="3" t="str"/>
      <x:c r="G69" s="3" t="str"/>
      <x:c r="H69" s="3" t="str">
        <x:v>Evelyn</x:v>
      </x:c>
      <x:c r="I69" s="3" t="str">
        <x:v>Patrell-Fazio</x:v>
      </x:c>
      <x:c r="J69" s="3" t="str">
        <x:v>evelyn.patrellfazio@stxgroup.com</x:v>
      </x:c>
      <x:c r="K69" s="3" t="str">
        <x:v>10/05/26, 4:26:49 PM</x:v>
      </x:c>
      <x:c r="L69" s="3" t="str">
        <x:v>Registrado</x:v>
      </x:c>
      <x:c r="M69" s="3" t="str">
        <x:v>STX Group</x:v>
      </x:c>
      <x:c r="N69" s="3" t="str">
        <x:v>NEW YORK ,NY</x:v>
      </x:c>
      <x:c r="O69" s="3" t="str"/>
      <x:c r="P69" s="3" t="str"/>
      <x:c r="Q69" s="3" t="str"/>
      <x:c r="R69" s="3" t="str"/>
      <x:c r="S69" s="3" t="str"/>
      <x:c r="T69" s="3" t="str"/>
      <x:c r="U69" s="3" t="str"/>
      <x:c r="V69" s="3" t="str"/>
      <x:c r="W69" s="3" t="str"/>
      <x:c r="X69" s="3" t="str"/>
      <x:c r="Y69" s="3" t="str"/>
      <x:c r="Z69" s="3" t="str"/>
      <x:c r="AA69" s="3" t="str"/>
      <x:c r="AB69" s="3" t="str"/>
      <x:c r="AC69" s="3" t="str"/>
    </x:row>
    <x:row r="70" ht="45" customHeight="1">
      <x:c r="A70" s="3" t="str"/>
      <x:c r="B70" s="3" t="str"/>
      <x:c r="C70" s="3" t="str"/>
      <x:c r="D70" s="3" t="str"/>
      <x:c r="E70" s="3" t="str"/>
      <x:c r="F70" s="3" t="str"/>
      <x:c r="G70" s="3" t="str"/>
      <x:c r="H70" s="3" t="str">
        <x:v>Kari</x:v>
      </x:c>
      <x:c r="I70" s="3" t="str">
        <x:v>McDonald</x:v>
      </x:c>
      <x:c r="J70" s="3" t="str">
        <x:v>kari@bioenergy-solutions.com</x:v>
      </x:c>
      <x:c r="K70" s="3" t="str">
        <x:v>10/06/26, 9:57:07 AM</x:v>
      </x:c>
      <x:c r="L70" s="3" t="str">
        <x:v>Registrado</x:v>
      </x:c>
      <x:c r="M70" s="3" t="str">
        <x:v>Bio Energy Solutions Inc</x:v>
      </x:c>
      <x:c r="N70" s="3" t="str">
        <x:v>Canada</x:v>
      </x:c>
      <x:c r="O70" s="3" t="str"/>
      <x:c r="P70" s="3" t="str"/>
      <x:c r="Q70" s="3" t="str"/>
      <x:c r="R70" s="3" t="str"/>
      <x:c r="S70" s="3" t="str"/>
      <x:c r="T70" s="3" t="str"/>
      <x:c r="U70" s="3" t="str"/>
      <x:c r="V70" s="3" t="str"/>
      <x:c r="W70" s="3" t="str"/>
      <x:c r="X70" s="3" t="str"/>
      <x:c r="Y70" s="3" t="str"/>
      <x:c r="Z70" s="3" t="str"/>
      <x:c r="AA70" s="3" t="str"/>
      <x:c r="AB70" s="3" t="str"/>
      <x:c r="AC70" s="3" t="str"/>
    </x:row>
    <x:row r="71" ht="45" customHeight="1">
      <x:c r="A71" s="3" t="str"/>
      <x:c r="B71" s="3" t="str"/>
      <x:c r="C71" s="3" t="str"/>
      <x:c r="D71" s="3" t="str"/>
      <x:c r="E71" s="3" t="str"/>
      <x:c r="F71" s="3" t="str"/>
      <x:c r="G71" s="3" t="str"/>
      <x:c r="H71" s="3" t="str">
        <x:v>Matt</x:v>
      </x:c>
      <x:c r="I71" s="3" t="str">
        <x:v>Leuck</x:v>
      </x:c>
      <x:c r="J71" s="3" t="str">
        <x:v>matt.leuck@neste.com</x:v>
      </x:c>
      <x:c r="K71" s="3" t="str">
        <x:v>10/06/26, 10:03:49 AM</x:v>
      </x:c>
      <x:c r="L71" s="3" t="str">
        <x:v>Registrado</x:v>
      </x:c>
      <x:c r="M71" s="3" t="str"/>
      <x:c r="N71" s="3" t="str"/>
      <x:c r="O71" s="3" t="str"/>
      <x:c r="P71" s="3" t="str"/>
      <x:c r="Q71" s="3" t="str"/>
      <x:c r="R71" s="3" t="str"/>
      <x:c r="S71" s="3" t="str"/>
      <x:c r="T71" s="3" t="str"/>
      <x:c r="U71" s="3" t="str"/>
      <x:c r="V71" s="3" t="str"/>
      <x:c r="W71" s="3" t="str"/>
      <x:c r="X71" s="3" t="str"/>
      <x:c r="Y71" s="3" t="str"/>
      <x:c r="Z71" s="3" t="str"/>
      <x:c r="AA71" s="3" t="str"/>
      <x:c r="AB71" s="3" t="str"/>
      <x:c r="AC71" s="3" t="str"/>
    </x:row>
    <x:row r="72" ht="45" customHeight="1">
      <x:c r="A72" s="3" t="str"/>
      <x:c r="B72" s="3" t="str"/>
      <x:c r="C72" s="3" t="str"/>
      <x:c r="D72" s="3" t="str"/>
      <x:c r="E72" s="3" t="str"/>
      <x:c r="F72" s="3" t="str"/>
      <x:c r="G72" s="3" t="str"/>
      <x:c r="H72" s="3" t="str">
        <x:v>Meysam</x:v>
      </x:c>
      <x:c r="I72" s="3" t="str">
        <x:v>Mirarab</x:v>
      </x:c>
      <x:c r="J72" s="3" t="str">
        <x:v>meysam.mirarab@cemeng.ca</x:v>
      </x:c>
      <x:c r="K72" s="3" t="str">
        <x:v>10/06/26, 10:10:25 AM</x:v>
      </x:c>
      <x:c r="L72" s="3" t="str">
        <x:v>Registrado</x:v>
      </x:c>
      <x:c r="M72" s="3" t="str">
        <x:v>CEM Engineering</x:v>
      </x:c>
      <x:c r="N72" s="3" t="str">
        <x:v>Canada</x:v>
      </x:c>
      <x:c r="O72" s="3" t="str"/>
      <x:c r="P72" s="3" t="str"/>
      <x:c r="Q72" s="3" t="str"/>
      <x:c r="R72" s="3" t="str"/>
      <x:c r="S72" s="3" t="str"/>
      <x:c r="T72" s="3" t="str"/>
      <x:c r="U72" s="3" t="str"/>
      <x:c r="V72" s="3" t="str"/>
      <x:c r="W72" s="3" t="str"/>
      <x:c r="X72" s="3" t="str"/>
      <x:c r="Y72" s="3" t="str"/>
      <x:c r="Z72" s="3" t="str"/>
      <x:c r="AA72" s="3" t="str"/>
      <x:c r="AB72" s="3" t="str"/>
      <x:c r="AC72" s="3" t="str"/>
    </x:row>
    <x:row r="73" ht="45" customHeight="1">
      <x:c r="A73" s="3" t="str"/>
      <x:c r="B73" s="3" t="str"/>
      <x:c r="C73" s="3" t="str"/>
      <x:c r="D73" s="3" t="str"/>
      <x:c r="E73" s="3" t="str"/>
      <x:c r="F73" s="3" t="str"/>
      <x:c r="G73" s="3" t="str"/>
      <x:c r="H73" s="3" t="str">
        <x:v>Madelyn</x:v>
      </x:c>
      <x:c r="I73" s="3" t="str">
        <x:v>Evans</x:v>
      </x:c>
      <x:c r="J73" s="3" t="str">
        <x:v>madelyn.evans@borregaard.com</x:v>
      </x:c>
      <x:c r="K73" s="3" t="str">
        <x:v>10/06/26, 10:12:09 AM</x:v>
      </x:c>
      <x:c r="L73" s="3" t="str">
        <x:v>Registrado</x:v>
      </x:c>
      <x:c r="M73" s="3" t="str"/>
      <x:c r="N73" s="3" t="str"/>
      <x:c r="O73" s="3" t="str"/>
      <x:c r="P73" s="3" t="str"/>
      <x:c r="Q73" s="3" t="str"/>
      <x:c r="R73" s="3" t="str"/>
      <x:c r="S73" s="3" t="str"/>
      <x:c r="T73" s="3" t="str"/>
      <x:c r="U73" s="3" t="str"/>
      <x:c r="V73" s="3" t="str"/>
      <x:c r="W73" s="3" t="str"/>
      <x:c r="X73" s="3" t="str"/>
      <x:c r="Y73" s="3" t="str"/>
      <x:c r="Z73" s="3" t="str"/>
      <x:c r="AA73" s="3" t="str"/>
      <x:c r="AB73" s="3" t="str"/>
      <x:c r="AC73" s="3" t="str"/>
    </x:row>
    <x:row r="74" ht="45" customHeight="1">
      <x:c r="A74" s="3" t="str"/>
      <x:c r="B74" s="3" t="str"/>
      <x:c r="C74" s="3" t="str"/>
      <x:c r="D74" s="3" t="str"/>
      <x:c r="E74" s="3" t="str"/>
      <x:c r="F74" s="3" t="str"/>
      <x:c r="G74" s="3" t="str"/>
      <x:c r="H74" s="3" t="str">
        <x:v>Hugo</x:v>
      </x:c>
      <x:c r="I74" s="3" t="str">
        <x:v>Morais</x:v>
      </x:c>
      <x:c r="J74" s="3" t="str">
        <x:v>morais@katzen.com</x:v>
      </x:c>
      <x:c r="K74" s="3" t="str">
        <x:v>10/06/26, 10:32:42 AM</x:v>
      </x:c>
      <x:c r="L74" s="3" t="str">
        <x:v>Registrado</x:v>
      </x:c>
      <x:c r="M74" s="3" t="str">
        <x:v>KATZEN International, Inc.</x:v>
      </x:c>
      <x:c r="N74" s="3" t="str">
        <x:v>USA</x:v>
      </x:c>
      <x:c r="O74" s="3" t="str"/>
      <x:c r="P74" s="3" t="str"/>
      <x:c r="Q74" s="3" t="str"/>
      <x:c r="R74" s="3" t="str"/>
      <x:c r="S74" s="3" t="str"/>
      <x:c r="T74" s="3" t="str"/>
      <x:c r="U74" s="3" t="str"/>
      <x:c r="V74" s="3" t="str"/>
      <x:c r="W74" s="3" t="str"/>
      <x:c r="X74" s="3" t="str"/>
      <x:c r="Y74" s="3" t="str"/>
      <x:c r="Z74" s="3" t="str"/>
      <x:c r="AA74" s="3" t="str"/>
      <x:c r="AB74" s="3" t="str"/>
      <x:c r="AC74" s="3" t="str"/>
    </x:row>
    <x:row r="75" ht="45" customHeight="1">
      <x:c r="A75" s="3" t="str"/>
      <x:c r="B75" s="3" t="str"/>
      <x:c r="C75" s="3" t="str"/>
      <x:c r="D75" s="3" t="str"/>
      <x:c r="E75" s="3" t="str"/>
      <x:c r="F75" s="3" t="str"/>
      <x:c r="G75" s="3" t="str"/>
      <x:c r="H75" s="3" t="str">
        <x:v>Diana</x:v>
      </x:c>
      <x:c r="I75" s="3" t="str">
        <x:v>Ramirez</x:v>
      </x:c>
      <x:c r="J75" s="3" t="str">
        <x:v>diana@ergbio.com</x:v>
      </x:c>
      <x:c r="K75" s="3" t="str">
        <x:v>10/06/26, 10:52:19 AM</x:v>
      </x:c>
      <x:c r="L75" s="3" t="str">
        <x:v>Registrado</x:v>
      </x:c>
      <x:c r="M75" s="3" t="str">
        <x:v>ERG BIO</x:v>
      </x:c>
      <x:c r="N75" s="3" t="str">
        <x:v>USA/CA</x:v>
      </x:c>
      <x:c r="O75" s="3" t="str"/>
      <x:c r="P75" s="3" t="str"/>
      <x:c r="Q75" s="3" t="str"/>
      <x:c r="R75" s="3" t="str"/>
      <x:c r="S75" s="3" t="str"/>
      <x:c r="T75" s="3" t="str"/>
      <x:c r="U75" s="3" t="str"/>
      <x:c r="V75" s="3" t="str"/>
      <x:c r="W75" s="3" t="str"/>
      <x:c r="X75" s="3" t="str"/>
      <x:c r="Y75" s="3" t="str"/>
      <x:c r="Z75" s="3" t="str"/>
      <x:c r="AA75" s="3" t="str"/>
      <x:c r="AB75" s="3" t="str"/>
      <x:c r="AC75" s="3" t="str"/>
    </x:row>
    <x:row r="76" ht="45" customHeight="1">
      <x:c r="A76" s="3" t="str"/>
      <x:c r="B76" s="3" t="str"/>
      <x:c r="C76" s="3" t="str"/>
      <x:c r="D76" s="3" t="str"/>
      <x:c r="E76" s="3" t="str"/>
      <x:c r="F76" s="3" t="str"/>
      <x:c r="G76" s="3" t="str"/>
      <x:c r="H76" s="3" t="str">
        <x:v>Sally</x:v>
      </x:c>
      <x:c r="I76" s="3" t="str">
        <x:v>Hart</x:v>
      </x:c>
      <x:c r="J76" s="3" t="str">
        <x:v>sally@capco2.solutions</x:v>
      </x:c>
      <x:c r="K76" s="3" t="str">
        <x:v>10/06/26, 11:51:13 AM</x:v>
      </x:c>
      <x:c r="L76" s="3" t="str">
        <x:v>Registrado</x:v>
      </x:c>
      <x:c r="M76" s="3" t="str">
        <x:v>CapCO2 Solutions</x:v>
      </x:c>
      <x:c r="N76" s="3" t="str">
        <x:v>United States</x:v>
      </x:c>
      <x:c r="O76" s="3" t="str"/>
      <x:c r="P76" s="3" t="str"/>
      <x:c r="Q76" s="3" t="str"/>
      <x:c r="R76" s="3" t="str"/>
      <x:c r="S76" s="3" t="str"/>
      <x:c r="T76" s="3" t="str"/>
      <x:c r="U76" s="3" t="str"/>
      <x:c r="V76" s="3" t="str"/>
      <x:c r="W76" s="3" t="str"/>
      <x:c r="X76" s="3" t="str"/>
      <x:c r="Y76" s="3" t="str"/>
      <x:c r="Z76" s="3" t="str"/>
      <x:c r="AA76" s="3" t="str"/>
      <x:c r="AB76" s="3" t="str"/>
      <x:c r="AC76" s="3" t="str"/>
    </x:row>
    <x:row r="77" ht="45" customHeight="1">
      <x:c r="A77" s="3" t="str"/>
      <x:c r="B77" s="3" t="str"/>
      <x:c r="C77" s="3" t="str"/>
      <x:c r="D77" s="3" t="str"/>
      <x:c r="E77" s="3" t="str"/>
      <x:c r="F77" s="3" t="str"/>
      <x:c r="G77" s="3" t="str"/>
      <x:c r="H77" s="3" t="str">
        <x:v>Kathleen</x:v>
      </x:c>
      <x:c r="I77" s="3" t="str">
        <x:v>Wight</x:v>
      </x:c>
      <x:c r="J77" s="3" t="str">
        <x:v>kwight@worldenergy.net</x:v>
      </x:c>
      <x:c r="K77" s="3" t="str">
        <x:v>10/06/26, 12:14:12 PM</x:v>
      </x:c>
      <x:c r="L77" s="3" t="str">
        <x:v>Registrado</x:v>
      </x:c>
      <x:c r="M77" s="3" t="str">
        <x:v>World Energy</x:v>
      </x:c>
      <x:c r="N77" s="3" t="str">
        <x:v>USA</x:v>
      </x:c>
      <x:c r="O77" s="3" t="str"/>
      <x:c r="P77" s="3" t="str"/>
      <x:c r="Q77" s="3" t="str"/>
      <x:c r="R77" s="3" t="str"/>
      <x:c r="S77" s="3" t="str"/>
      <x:c r="T77" s="3" t="str"/>
      <x:c r="U77" s="3" t="str"/>
      <x:c r="V77" s="3" t="str"/>
      <x:c r="W77" s="3" t="str"/>
      <x:c r="X77" s="3" t="str"/>
      <x:c r="Y77" s="3" t="str"/>
      <x:c r="Z77" s="3" t="str"/>
      <x:c r="AA77" s="3" t="str"/>
      <x:c r="AB77" s="3" t="str"/>
      <x:c r="AC77" s="3" t="str"/>
    </x:row>
    <x:row r="78" ht="45" customHeight="1">
      <x:c r="A78" s="3" t="str"/>
      <x:c r="B78" s="3" t="str"/>
      <x:c r="C78" s="3" t="str"/>
      <x:c r="D78" s="3" t="str"/>
      <x:c r="E78" s="3" t="str"/>
      <x:c r="F78" s="3" t="str"/>
      <x:c r="G78" s="3" t="str"/>
      <x:c r="H78" s="3" t="str">
        <x:v>Neha</x:v>
      </x:c>
      <x:c r="I78" s="3" t="str">
        <x:v>G</x:v>
      </x:c>
      <x:c r="J78" s="3" t="str">
        <x:v>neha@capco2.solutions</x:v>
      </x:c>
      <x:c r="K78" s="3" t="str">
        <x:v>10/06/26, 12:18:48 PM</x:v>
      </x:c>
      <x:c r="L78" s="3" t="str">
        <x:v>Registrado</x:v>
      </x:c>
      <x:c r="M78" s="3" t="str">
        <x:v>CapCO2 Solutions </x:v>
      </x:c>
      <x:c r="N78" s="3" t="str">
        <x:v>United States</x:v>
      </x:c>
      <x:c r="O78" s="3" t="str"/>
      <x:c r="P78" s="3" t="str"/>
      <x:c r="Q78" s="3" t="str"/>
      <x:c r="R78" s="3" t="str"/>
      <x:c r="S78" s="3" t="str"/>
      <x:c r="T78" s="3" t="str"/>
      <x:c r="U78" s="3" t="str"/>
      <x:c r="V78" s="3" t="str"/>
      <x:c r="W78" s="3" t="str"/>
      <x:c r="X78" s="3" t="str"/>
      <x:c r="Y78" s="3" t="str"/>
      <x:c r="Z78" s="3" t="str"/>
      <x:c r="AA78" s="3" t="str"/>
      <x:c r="AB78" s="3" t="str"/>
      <x:c r="AC78" s="3" t="str"/>
    </x:row>
    <x:row r="79" ht="45" customHeight="1">
      <x:c r="A79" s="3" t="str"/>
      <x:c r="B79" s="3" t="str"/>
      <x:c r="C79" s="3" t="str"/>
      <x:c r="D79" s="3" t="str"/>
      <x:c r="E79" s="3" t="str"/>
      <x:c r="F79" s="3" t="str"/>
      <x:c r="G79" s="3" t="str"/>
      <x:c r="H79" s="3" t="str">
        <x:v>Kristine</x:v>
      </x:c>
      <x:c r="I79" s="3" t="str">
        <x:v>Klavers</x:v>
      </x:c>
      <x:c r="J79" s="3" t="str">
        <x:v>kklavers@ecoengineers.us</x:v>
      </x:c>
      <x:c r="K79" s="3" t="str">
        <x:v>10/06/26, 12:31:10 PM</x:v>
      </x:c>
      <x:c r="L79" s="3" t="str">
        <x:v>Registrado</x:v>
      </x:c>
      <x:c r="M79" s="3" t="str">
        <x:v>EcoEngineers</x:v>
      </x:c>
      <x:c r="N79" s="3" t="str">
        <x:v>United States</x:v>
      </x:c>
      <x:c r="O79" s="3" t="str"/>
      <x:c r="P79" s="3" t="str"/>
      <x:c r="Q79" s="3" t="str"/>
      <x:c r="R79" s="3" t="str"/>
      <x:c r="S79" s="3" t="str"/>
      <x:c r="T79" s="3" t="str"/>
      <x:c r="U79" s="3" t="str"/>
      <x:c r="V79" s="3" t="str"/>
      <x:c r="W79" s="3" t="str"/>
      <x:c r="X79" s="3" t="str"/>
      <x:c r="Y79" s="3" t="str"/>
      <x:c r="Z79" s="3" t="str"/>
      <x:c r="AA79" s="3" t="str"/>
      <x:c r="AB79" s="3" t="str"/>
      <x:c r="AC79" s="3" t="str"/>
    </x:row>
    <x:row r="80" ht="45" customHeight="1">
      <x:c r="A80" s="3" t="str"/>
      <x:c r="B80" s="3" t="str"/>
      <x:c r="C80" s="3" t="str"/>
      <x:c r="D80" s="3" t="str"/>
      <x:c r="E80" s="3" t="str"/>
      <x:c r="F80" s="3" t="str"/>
      <x:c r="G80" s="3" t="str"/>
      <x:c r="H80" s="3" t="str">
        <x:v>Tracy D</x:v>
      </x:c>
      <x:c r="I80" s="3" t="str">
        <x:v>Wilson</x:v>
      </x:c>
      <x:c r="J80" s="3" t="str">
        <x:v>tracydwilson@besheanwe.com</x:v>
      </x:c>
      <x:c r="K80" s="3" t="str">
        <x:v>10/06/26, 1:05:07 PM</x:v>
      </x:c>
      <x:c r="L80" s="3" t="str">
        <x:v>Registrado</x:v>
      </x:c>
      <x:c r="M80" s="3" t="str">
        <x:v>Nuecofab</x:v>
      </x:c>
      <x:c r="N80" s="3" t="str">
        <x:v>United States</x:v>
      </x:c>
      <x:c r="O80" s="3" t="str"/>
      <x:c r="P80" s="3" t="str"/>
      <x:c r="Q80" s="3" t="str"/>
      <x:c r="R80" s="3" t="str"/>
      <x:c r="S80" s="3" t="str"/>
      <x:c r="T80" s="3" t="str"/>
      <x:c r="U80" s="3" t="str"/>
      <x:c r="V80" s="3" t="str"/>
      <x:c r="W80" s="3" t="str"/>
      <x:c r="X80" s="3" t="str"/>
      <x:c r="Y80" s="3" t="str"/>
      <x:c r="Z80" s="3" t="str"/>
      <x:c r="AA80" s="3" t="str"/>
      <x:c r="AB80" s="3" t="str"/>
      <x:c r="AC80" s="3" t="str"/>
    </x:row>
    <x:row r="81" ht="45" customHeight="1">
      <x:c r="A81" s="3" t="str"/>
      <x:c r="B81" s="3" t="str"/>
      <x:c r="C81" s="3" t="str"/>
      <x:c r="D81" s="3" t="str"/>
      <x:c r="E81" s="3" t="str"/>
      <x:c r="F81" s="3" t="str"/>
      <x:c r="G81" s="3" t="str"/>
      <x:c r="H81" s="3" t="str">
        <x:v>Kyle</x:v>
      </x:c>
      <x:c r="I81" s="3" t="str">
        <x:v>Althoff</x:v>
      </x:c>
      <x:c r="J81" s="3" t="str">
        <x:v>kalthoff@equinox8.com</x:v>
      </x:c>
      <x:c r="K81" s="3" t="str">
        <x:v>10/06/26, 2:05:19 PM</x:v>
      </x:c>
      <x:c r="L81" s="3" t="str">
        <x:v>Registrado</x:v>
      </x:c>
      <x:c r="M81" s="3" t="str">
        <x:v>Equinox</x:v>
      </x:c>
      <x:c r="N81" s="3" t="str">
        <x:v>United States</x:v>
      </x:c>
      <x:c r="O81" s="3" t="str"/>
      <x:c r="P81" s="3" t="str"/>
      <x:c r="Q81" s="3" t="str"/>
      <x:c r="R81" s="3" t="str"/>
      <x:c r="S81" s="3" t="str"/>
      <x:c r="T81" s="3" t="str"/>
      <x:c r="U81" s="3" t="str"/>
      <x:c r="V81" s="3" t="str"/>
      <x:c r="W81" s="3" t="str"/>
      <x:c r="X81" s="3" t="str"/>
      <x:c r="Y81" s="3" t="str"/>
      <x:c r="Z81" s="3" t="str"/>
      <x:c r="AA81" s="3" t="str"/>
      <x:c r="AB81" s="3" t="str"/>
      <x:c r="AC81" s="3" t="str"/>
    </x:row>
    <x:row r="82" ht="45" customHeight="1">
      <x:c r="A82" s="3" t="str"/>
      <x:c r="B82" s="3" t="str"/>
      <x:c r="C82" s="3" t="str"/>
      <x:c r="D82" s="3" t="str"/>
      <x:c r="E82" s="3" t="str"/>
      <x:c r="F82" s="3" t="str"/>
      <x:c r="G82" s="3" t="str"/>
      <x:c r="H82" s="3" t="str">
        <x:v>Eric</x:v>
      </x:c>
      <x:c r="I82" s="3" t="str">
        <x:v>Seck</x:v>
      </x:c>
      <x:c r="J82" s="3" t="str">
        <x:v>eric@mercuriusbiorefining.com</x:v>
      </x:c>
      <x:c r="K82" s="3" t="str">
        <x:v>10/06/26, 3:50:49 PM</x:v>
      </x:c>
      <x:c r="L82" s="3" t="str">
        <x:v>Registrado</x:v>
      </x:c>
      <x:c r="M82" s="3" t="str"/>
      <x:c r="N82" s="3" t="str"/>
      <x:c r="O82" s="3" t="str"/>
      <x:c r="P82" s="3" t="str"/>
      <x:c r="Q82" s="3" t="str"/>
      <x:c r="R82" s="3" t="str"/>
      <x:c r="S82" s="3" t="str"/>
      <x:c r="T82" s="3" t="str"/>
      <x:c r="U82" s="3" t="str"/>
      <x:c r="V82" s="3" t="str"/>
      <x:c r="W82" s="3" t="str"/>
      <x:c r="X82" s="3" t="str"/>
      <x:c r="Y82" s="3" t="str"/>
      <x:c r="Z82" s="3" t="str"/>
      <x:c r="AA82" s="3" t="str"/>
      <x:c r="AB82" s="3" t="str"/>
      <x:c r="AC82" s="3" t="str"/>
    </x:row>
    <x:row r="83" ht="45" customHeight="1">
      <x:c r="A83" s="3" t="str"/>
      <x:c r="B83" s="3" t="str"/>
      <x:c r="C83" s="3" t="str"/>
      <x:c r="D83" s="3" t="str"/>
      <x:c r="E83" s="3" t="str"/>
      <x:c r="F83" s="3" t="str"/>
      <x:c r="G83" s="3" t="str"/>
      <x:c r="H83" s="3" t="str">
        <x:v>Justin</x:v>
      </x:c>
      <x:c r="I83" s="3" t="str">
        <x:v>Cao</x:v>
      </x:c>
      <x:c r="J83" s="3" t="str">
        <x:v>justin.cao@cratos.de</x:v>
      </x:c>
      <x:c r="K83" s="3" t="str">
        <x:v>10/06/26, 5:36:34 PM</x:v>
      </x:c>
      <x:c r="L83" s="3" t="str">
        <x:v>Registrado</x:v>
      </x:c>
      <x:c r="M83" s="3" t="str"/>
      <x:c r="N83" s="3" t="str"/>
      <x:c r="O83" s="3" t="str"/>
      <x:c r="P83" s="3" t="str"/>
      <x:c r="Q83" s="3" t="str"/>
      <x:c r="R83" s="3" t="str"/>
      <x:c r="S83" s="3" t="str"/>
      <x:c r="T83" s="3" t="str"/>
      <x:c r="U83" s="3" t="str"/>
      <x:c r="V83" s="3" t="str"/>
      <x:c r="W83" s="3" t="str"/>
      <x:c r="X83" s="3" t="str"/>
      <x:c r="Y83" s="3" t="str"/>
      <x:c r="Z83" s="3" t="str"/>
      <x:c r="AA83" s="3" t="str"/>
      <x:c r="AB83" s="3" t="str"/>
      <x:c r="AC83" s="3" t="str"/>
    </x:row>
    <x:row r="84" ht="45" customHeight="1">
      <x:c r="A84" s="3" t="str"/>
      <x:c r="B84" s="3" t="str"/>
      <x:c r="C84" s="3" t="str"/>
      <x:c r="D84" s="3" t="str"/>
      <x:c r="E84" s="3" t="str"/>
      <x:c r="F84" s="3" t="str"/>
      <x:c r="G84" s="3" t="str"/>
      <x:c r="H84" s="3" t="str">
        <x:v>Hubert</x:v>
      </x:c>
      <x:c r="I84" s="3" t="str">
        <x:v>Piatkowski</x:v>
      </x:c>
      <x:c r="J84" s="3" t="str">
        <x:v>hpiatkowski73@gmail.com</x:v>
      </x:c>
      <x:c r="K84" s="3" t="str">
        <x:v>10/07/26, 11:29:10 AM</x:v>
      </x:c>
      <x:c r="L84" s="3" t="str">
        <x:v>Registrado</x:v>
      </x:c>
      <x:c r="M84" s="3" t="str"/>
      <x:c r="N84" s="3" t="str">
        <x:v>Canada</x:v>
      </x:c>
      <x:c r="O84" s="3" t="str"/>
      <x:c r="P84" s="3" t="str"/>
      <x:c r="Q84" s="3" t="str"/>
      <x:c r="R84" s="3" t="str"/>
      <x:c r="S84" s="3" t="str"/>
      <x:c r="T84" s="3" t="str"/>
      <x:c r="U84" s="3" t="str"/>
      <x:c r="V84" s="3" t="str"/>
      <x:c r="W84" s="3" t="str"/>
      <x:c r="X84" s="3" t="str"/>
      <x:c r="Y84" s="3" t="str"/>
      <x:c r="Z84" s="3" t="str"/>
      <x:c r="AA84" s="3" t="str"/>
      <x:c r="AB84" s="3" t="str"/>
      <x:c r="AC84" s="3" t="str"/>
    </x:row>
    <x:row r="85" ht="45" customHeight="1">
      <x:c r="A85" s="3" t="str"/>
      <x:c r="B85" s="3" t="str"/>
      <x:c r="C85" s="3" t="str"/>
      <x:c r="D85" s="3" t="str"/>
      <x:c r="E85" s="3" t="str"/>
      <x:c r="F85" s="3" t="str"/>
      <x:c r="G85" s="3" t="str"/>
      <x:c r="H85" s="3" t="str">
        <x:v>Andy</x:v>
      </x:c>
      <x:c r="I85" s="3" t="str">
        <x:v>Raines</x:v>
      </x:c>
      <x:c r="J85" s="3" t="str">
        <x:v>araines@restorationbio.com</x:v>
      </x:c>
      <x:c r="K85" s="3" t="str">
        <x:v>10/07/26, 11:50:35 AM</x:v>
      </x:c>
      <x:c r="L85" s="3" t="str">
        <x:v>Registrado</x:v>
      </x:c>
      <x:c r="M85" s="3" t="str">
        <x:v>Restoration Bioproducts</x:v>
      </x:c>
      <x:c r="N85" s="3" t="str">
        <x:v>US</x:v>
      </x:c>
      <x:c r="O85" s="3" t="str"/>
      <x:c r="P85" s="3" t="str"/>
      <x:c r="Q85" s="3" t="str"/>
      <x:c r="R85" s="3" t="str"/>
      <x:c r="S85" s="3" t="str"/>
      <x:c r="T85" s="3" t="str"/>
      <x:c r="U85" s="3" t="str"/>
      <x:c r="V85" s="3" t="str"/>
      <x:c r="W85" s="3" t="str"/>
      <x:c r="X85" s="3" t="str"/>
      <x:c r="Y85" s="3" t="str"/>
      <x:c r="Z85" s="3" t="str"/>
      <x:c r="AA85" s="3" t="str"/>
      <x:c r="AB85" s="3" t="str"/>
      <x:c r="AC85" s="3" t="str"/>
    </x:row>
    <x:row r="86" ht="45" customHeight="1">
      <x:c r="A86" s="3" t="str"/>
      <x:c r="B86" s="3" t="str"/>
      <x:c r="C86" s="3" t="str"/>
      <x:c r="D86" s="3" t="str"/>
      <x:c r="E86" s="3" t="str"/>
      <x:c r="F86" s="3" t="str"/>
      <x:c r="G86" s="3" t="str"/>
      <x:c r="H86" s="3" t="str">
        <x:v>Jennifer</x:v>
      </x:c>
      <x:c r="I86" s="3" t="str">
        <x:v>Swartz</x:v>
      </x:c>
      <x:c r="J86" s="3" t="str">
        <x:v>jswartz@calbioenergy.com</x:v>
      </x:c>
      <x:c r="K86" s="3" t="str">
        <x:v>10/08/26, 12:19:33 PM</x:v>
      </x:c>
      <x:c r="L86" s="3" t="str">
        <x:v>Registrado</x:v>
      </x:c>
      <x:c r="M86" s="3" t="str">
        <x:v>California Bioenergy</x:v>
      </x:c>
      <x:c r="N86" s="3" t="str">
        <x:v>United States</x:v>
      </x:c>
      <x:c r="O86" s="3" t="str"/>
      <x:c r="P86" s="3" t="str"/>
      <x:c r="Q86" s="3" t="str"/>
      <x:c r="R86" s="3" t="str"/>
      <x:c r="S86" s="3" t="str"/>
      <x:c r="T86" s="3" t="str"/>
      <x:c r="U86" s="3" t="str"/>
      <x:c r="V86" s="3" t="str"/>
      <x:c r="W86" s="3" t="str"/>
      <x:c r="X86" s="3" t="str"/>
      <x:c r="Y86" s="3" t="str"/>
      <x:c r="Z86" s="3" t="str"/>
      <x:c r="AA86" s="3" t="str"/>
      <x:c r="AB86" s="3" t="str"/>
      <x:c r="AC86" s="3" t="str"/>
    </x:row>
    <x:row r="87" ht="45" customHeight="1">
      <x:c r="A87" s="3" t="str"/>
      <x:c r="B87" s="3" t="str"/>
      <x:c r="C87" s="3" t="str"/>
      <x:c r="D87" s="3" t="str"/>
      <x:c r="E87" s="3" t="str"/>
      <x:c r="F87" s="3" t="str"/>
      <x:c r="G87" s="3" t="str"/>
      <x:c r="H87" s="3" t="str">
        <x:v>Julien</x:v>
      </x:c>
      <x:c r="I87" s="3" t="str">
        <x:v>Lampron</x:v>
      </x:c>
      <x:c r="J87" s="3" t="str">
        <x:v>julien.lampron@remabec.com</x:v>
      </x:c>
      <x:c r="K87" s="3" t="str">
        <x:v>10/08/26, 1:39:18 PM</x:v>
      </x:c>
      <x:c r="L87" s="3" t="str">
        <x:v>Registrado</x:v>
      </x:c>
      <x:c r="M87" s="3" t="str">
        <x:v>Remabec</x:v>
      </x:c>
      <x:c r="N87" s="3" t="str">
        <x:v>Canada</x:v>
      </x:c>
      <x:c r="O87" s="3" t="str"/>
      <x:c r="P87" s="3" t="str"/>
      <x:c r="Q87" s="3" t="str"/>
      <x:c r="R87" s="3" t="str"/>
      <x:c r="S87" s="3" t="str"/>
      <x:c r="T87" s="3" t="str"/>
      <x:c r="U87" s="3" t="str"/>
      <x:c r="V87" s="3" t="str"/>
      <x:c r="W87" s="3" t="str"/>
      <x:c r="X87" s="3" t="str"/>
      <x:c r="Y87" s="3" t="str"/>
      <x:c r="Z87" s="3" t="str"/>
      <x:c r="AA87" s="3" t="str"/>
      <x:c r="AB87" s="3" t="str"/>
      <x:c r="AC87" s="3" t="str"/>
    </x:row>
    <x:row r="88" ht="45" customHeight="1">
      <x:c r="A88" s="3" t="str"/>
      <x:c r="B88" s="3" t="str"/>
      <x:c r="C88" s="3" t="str"/>
      <x:c r="D88" s="3" t="str"/>
      <x:c r="E88" s="3" t="str"/>
      <x:c r="F88" s="3" t="str"/>
      <x:c r="G88" s="3" t="str"/>
      <x:c r="H88" s="3" t="str">
        <x:v>Kevin</x:v>
      </x:c>
      <x:c r="I88" s="3" t="str">
        <x:v>Zhang</x:v>
      </x:c>
      <x:c r="J88" s="3" t="str">
        <x:v>kevin.zhang@jupengbio.com</x:v>
      </x:c>
      <x:c r="K88" s="3" t="str">
        <x:v>10/08/26, 3:06:27 PM</x:v>
      </x:c>
      <x:c r="L88" s="3" t="str">
        <x:v>Registrado</x:v>
      </x:c>
      <x:c r="M88" s="3" t="str">
        <x:v>Jupeng Bio</x:v>
      </x:c>
      <x:c r="N88" s="3" t="str">
        <x:v>United States</x:v>
      </x:c>
      <x:c r="O88" s="3" t="str"/>
      <x:c r="P88" s="3" t="str"/>
      <x:c r="Q88" s="3" t="str"/>
      <x:c r="R88" s="3" t="str"/>
      <x:c r="S88" s="3" t="str"/>
      <x:c r="T88" s="3" t="str"/>
      <x:c r="U88" s="3" t="str"/>
      <x:c r="V88" s="3" t="str"/>
      <x:c r="W88" s="3" t="str"/>
      <x:c r="X88" s="3" t="str"/>
      <x:c r="Y88" s="3" t="str"/>
      <x:c r="Z88" s="3" t="str"/>
      <x:c r="AA88" s="3" t="str"/>
      <x:c r="AB88" s="3" t="str"/>
      <x:c r="AC88" s="3" t="str"/>
    </x:row>
    <x:row r="89" ht="45" customHeight="1">
      <x:c r="A89" s="3" t="str"/>
      <x:c r="B89" s="3" t="str"/>
      <x:c r="C89" s="3" t="str"/>
      <x:c r="D89" s="3" t="str"/>
      <x:c r="E89" s="3" t="str"/>
      <x:c r="F89" s="3" t="str"/>
      <x:c r="G89" s="3" t="str"/>
      <x:c r="H89" s="3" t="str">
        <x:v>Tori</x:v>
      </x:c>
      <x:c r="I89" s="3" t="str">
        <x:v>Brooks</x:v>
      </x:c>
      <x:c r="J89" s="3" t="str">
        <x:v>tori_brooks@treeimprovement.org</x:v>
      </x:c>
      <x:c r="K89" s="3" t="str">
        <x:v>10/08/26, 3:09:14 PM</x:v>
      </x:c>
      <x:c r="L89" s="3" t="str">
        <x:v>Registrado</x:v>
      </x:c>
      <x:c r="M89" s="3" t="str">
        <x:v>NCSU Tree Improvement Program</x:v>
      </x:c>
      <x:c r="N89" s="3" t="str">
        <x:v>USA</x:v>
      </x:c>
      <x:c r="O89" s="3" t="str"/>
      <x:c r="P89" s="3" t="str"/>
      <x:c r="Q89" s="3" t="str"/>
      <x:c r="R89" s="3" t="str"/>
      <x:c r="S89" s="3" t="str"/>
      <x:c r="T89" s="3" t="str"/>
      <x:c r="U89" s="3" t="str"/>
      <x:c r="V89" s="3" t="str"/>
      <x:c r="W89" s="3" t="str"/>
      <x:c r="X89" s="3" t="str"/>
      <x:c r="Y89" s="3" t="str"/>
      <x:c r="Z89" s="3" t="str"/>
      <x:c r="AA89" s="3" t="str"/>
      <x:c r="AB89" s="3" t="str"/>
      <x:c r="AC89" s="3" t="str"/>
    </x:row>
    <x:row r="90" ht="45" customHeight="1">
      <x:c r="A90" s="3" t="str"/>
      <x:c r="B90" s="3" t="str"/>
      <x:c r="C90" s="3" t="str"/>
      <x:c r="D90" s="3" t="str"/>
      <x:c r="E90" s="3" t="str"/>
      <x:c r="F90" s="3" t="str"/>
      <x:c r="G90" s="3" t="str"/>
      <x:c r="H90" s="3" t="str">
        <x:v>Cathy</x:v>
      </x:c>
      <x:c r="I90" s="3" t="str">
        <x:v>Escamilla</x:v>
      </x:c>
      <x:c r="J90" s="3" t="str">
        <x:v>cescami@ampolusa.com</x:v>
      </x:c>
      <x:c r="K90" s="3" t="str">
        <x:v>10/08/26, 3:10:43 PM</x:v>
      </x:c>
      <x:c r="L90" s="3" t="str">
        <x:v>Registrado</x:v>
      </x:c>
      <x:c r="M90" s="3" t="str">
        <x:v>Ampol US Trading, LLC</x:v>
      </x:c>
      <x:c r="N90" s="3" t="str">
        <x:v>United States</x:v>
      </x:c>
      <x:c r="O90" s="3" t="str"/>
      <x:c r="P90" s="3" t="str"/>
      <x:c r="Q90" s="3" t="str"/>
      <x:c r="R90" s="3" t="str"/>
      <x:c r="S90" s="3" t="str"/>
      <x:c r="T90" s="3" t="str"/>
      <x:c r="U90" s="3" t="str"/>
      <x:c r="V90" s="3" t="str"/>
      <x:c r="W90" s="3" t="str"/>
      <x:c r="X90" s="3" t="str"/>
      <x:c r="Y90" s="3" t="str"/>
      <x:c r="Z90" s="3" t="str"/>
      <x:c r="AA90" s="3" t="str"/>
      <x:c r="AB90" s="3" t="str"/>
      <x:c r="AC90" s="3" t="str"/>
    </x:row>
    <x:row r="91" ht="45" customHeight="1">
      <x:c r="A91" s="3" t="str"/>
      <x:c r="B91" s="3" t="str"/>
      <x:c r="C91" s="3" t="str"/>
      <x:c r="D91" s="3" t="str"/>
      <x:c r="E91" s="3" t="str"/>
      <x:c r="F91" s="3" t="str"/>
      <x:c r="G91" s="3" t="str"/>
      <x:c r="H91" s="3" t="str">
        <x:v>John</x:v>
      </x:c>
      <x:c r="I91" s="3" t="str">
        <x:v>Rollins</x:v>
      </x:c>
      <x:c r="J91" s="3" t="str">
        <x:v>jrollins@phibro.com</x:v>
      </x:c>
      <x:c r="K91" s="3" t="str">
        <x:v>10/08/26, 3:27:40 PM</x:v>
      </x:c>
      <x:c r="L91" s="3" t="str">
        <x:v>Registrado</x:v>
      </x:c>
      <x:c r="M91" s="3" t="str">
        <x:v>Phibro rCB LLC</x:v>
      </x:c>
      <x:c r="N91" s="3" t="str">
        <x:v>United States</x:v>
      </x:c>
      <x:c r="O91" s="3" t="str"/>
      <x:c r="P91" s="3" t="str"/>
      <x:c r="Q91" s="3" t="str"/>
      <x:c r="R91" s="3" t="str"/>
      <x:c r="S91" s="3" t="str"/>
      <x:c r="T91" s="3" t="str"/>
      <x:c r="U91" s="3" t="str"/>
      <x:c r="V91" s="3" t="str"/>
      <x:c r="W91" s="3" t="str"/>
      <x:c r="X91" s="3" t="str"/>
      <x:c r="Y91" s="3" t="str"/>
      <x:c r="Z91" s="3" t="str"/>
      <x:c r="AA91" s="3" t="str"/>
      <x:c r="AB91" s="3" t="str"/>
      <x:c r="AC91" s="3" t="str"/>
    </x:row>
    <x:row r="92" ht="45" customHeight="1">
      <x:c r="A92" s="3" t="str"/>
      <x:c r="B92" s="3" t="str"/>
      <x:c r="C92" s="3" t="str"/>
      <x:c r="D92" s="3" t="str"/>
      <x:c r="E92" s="3" t="str"/>
      <x:c r="F92" s="3" t="str"/>
      <x:c r="G92" s="3" t="str"/>
      <x:c r="H92" s="3" t="str">
        <x:v>Mat</x:v>
      </x:c>
      <x:c r="I92" s="3" t="str">
        <x:v>Kimani</x:v>
      </x:c>
      <x:c r="J92" s="3" t="str">
        <x:v>mk@go2-markets.com</x:v>
      </x:c>
      <x:c r="K92" s="3" t="str">
        <x:v>10/08/26, 3:50:50 PM</x:v>
      </x:c>
      <x:c r="L92" s="3" t="str">
        <x:v>Registrado</x:v>
      </x:c>
      <x:c r="M92" s="3" t="str"/>
      <x:c r="N92" s="3" t="str"/>
      <x:c r="O92" s="3" t="str"/>
      <x:c r="P92" s="3" t="str"/>
      <x:c r="Q92" s="3" t="str"/>
      <x:c r="R92" s="3" t="str"/>
      <x:c r="S92" s="3" t="str"/>
      <x:c r="T92" s="3" t="str"/>
      <x:c r="U92" s="3" t="str"/>
      <x:c r="V92" s="3" t="str"/>
      <x:c r="W92" s="3" t="str"/>
      <x:c r="X92" s="3" t="str"/>
      <x:c r="Y92" s="3" t="str"/>
      <x:c r="Z92" s="3" t="str"/>
      <x:c r="AA92" s="3" t="str"/>
      <x:c r="AB92" s="3" t="str"/>
      <x:c r="AC92" s="3" t="str"/>
    </x:row>
    <x:row r="93" ht="45" customHeight="1">
      <x:c r="A93" s="3" t="str"/>
      <x:c r="B93" s="3" t="str"/>
      <x:c r="C93" s="3" t="str"/>
      <x:c r="D93" s="3" t="str"/>
      <x:c r="E93" s="3" t="str"/>
      <x:c r="F93" s="3" t="str"/>
      <x:c r="G93" s="3" t="str"/>
      <x:c r="H93" s="3" t="str">
        <x:v>Cheri</x:v>
      </x:c>
      <x:c r="I93" s="3" t="str">
        <x:v>Garcia</x:v>
      </x:c>
      <x:c r="J93" s="3" t="str">
        <x:v>rcsmgarcia@yahoo.com</x:v>
      </x:c>
      <x:c r="K93" s="3" t="str">
        <x:v>10/08/26, 10:59:55 PM</x:v>
      </x:c>
      <x:c r="L93" s="3" t="str">
        <x:v>Registrado</x:v>
      </x:c>
      <x:c r="M93" s="3" t="str"/>
      <x:c r="N93" s="3" t="str">
        <x:v>USA</x:v>
      </x:c>
      <x:c r="O93" s="3" t="str"/>
      <x:c r="P93" s="3" t="str"/>
      <x:c r="Q93" s="3" t="str"/>
      <x:c r="R93" s="3" t="str"/>
      <x:c r="S93" s="3" t="str"/>
      <x:c r="T93" s="3" t="str"/>
      <x:c r="U93" s="3" t="str"/>
      <x:c r="V93" s="3" t="str"/>
      <x:c r="W93" s="3" t="str"/>
      <x:c r="X93" s="3" t="str"/>
      <x:c r="Y93" s="3" t="str"/>
      <x:c r="Z93" s="3" t="str"/>
      <x:c r="AA93" s="3" t="str"/>
      <x:c r="AB93" s="3" t="str"/>
      <x:c r="AC93" s="3" t="str"/>
    </x:row>
    <x:row r="94" ht="45" customHeight="1">
      <x:c r="A94" s="3" t="str"/>
      <x:c r="B94" s="3" t="str"/>
      <x:c r="C94" s="3" t="str"/>
      <x:c r="D94" s="3" t="str"/>
      <x:c r="E94" s="3" t="str"/>
      <x:c r="F94" s="3" t="str"/>
      <x:c r="G94" s="3" t="str"/>
      <x:c r="H94" s="3" t="str">
        <x:v>Maria</x:v>
      </x:c>
      <x:c r="I94" s="3" t="str">
        <x:v>Cortabarria Raimundez</x:v>
      </x:c>
      <x:c r="J94" s="3" t="str">
        <x:v>mcortabarriaraimundez@mail.utdt.edu</x:v>
      </x:c>
      <x:c r="K94" s="3" t="str">
        <x:v>10/09/26, 12:58:16 PM</x:v>
      </x:c>
      <x:c r="L94" s="3" t="str">
        <x:v>Registrado</x:v>
      </x:c>
      <x:c r="M94" s="3" t="str"/>
      <x:c r="N94" s="3" t="str"/>
      <x:c r="O94" s="3" t="str"/>
      <x:c r="P94" s="3" t="str"/>
      <x:c r="Q94" s="3" t="str"/>
      <x:c r="R94" s="3" t="str"/>
      <x:c r="S94" s="3" t="str"/>
      <x:c r="T94" s="3" t="str"/>
      <x:c r="U94" s="3" t="str"/>
      <x:c r="V94" s="3" t="str"/>
      <x:c r="W94" s="3" t="str"/>
      <x:c r="X94" s="3" t="str"/>
      <x:c r="Y94" s="3" t="str"/>
      <x:c r="Z94" s="3" t="str"/>
      <x:c r="AA94" s="3" t="str"/>
      <x:c r="AB94" s="3" t="str"/>
      <x:c r="AC94" s="3" t="str"/>
    </x:row>
    <x:row r="95" ht="45" customHeight="1">
      <x:c r="A95" s="3" t="str"/>
      <x:c r="B95" s="3" t="str"/>
      <x:c r="C95" s="3" t="str"/>
      <x:c r="D95" s="3" t="str"/>
      <x:c r="E95" s="3" t="str"/>
      <x:c r="F95" s="3" t="str"/>
      <x:c r="G95" s="3" t="str"/>
      <x:c r="H95" s="3" t="str">
        <x:v>Virginia</x:v>
      </x:c>
      <x:c r="I95" s="3" t="str">
        <x:v>Bennett</x:v>
      </x:c>
      <x:c r="J95" s="3" t="str">
        <x:v>virginia@blueridgebiofuels.com</x:v>
      </x:c>
      <x:c r="K95" s="3" t="str">
        <x:v>10/12/26, 3:02:53 PM</x:v>
      </x:c>
      <x:c r="L95" s="3" t="str">
        <x:v>Registrado</x:v>
      </x:c>
      <x:c r="M95" s="3" t="str">
        <x:v>Lifecycle Renewables</x:v>
      </x:c>
      <x:c r="N95" s="3" t="str">
        <x:v>United States</x:v>
      </x:c>
      <x:c r="O95" s="3" t="str"/>
      <x:c r="P95" s="3" t="str"/>
      <x:c r="Q95" s="3" t="str"/>
      <x:c r="R95" s="3" t="str"/>
      <x:c r="S95" s="3" t="str"/>
      <x:c r="T95" s="3" t="str"/>
      <x:c r="U95" s="3" t="str"/>
      <x:c r="V95" s="3" t="str"/>
      <x:c r="W95" s="3" t="str"/>
      <x:c r="X95" s="3" t="str"/>
      <x:c r="Y95" s="3" t="str"/>
      <x:c r="Z95" s="3" t="str"/>
      <x:c r="AA95" s="3" t="str"/>
      <x:c r="AB95" s="3" t="str"/>
      <x:c r="AC95" s="3" t="str"/>
    </x:row>
    <x:row r="96" ht="45" customHeight="1">
      <x:c r="A96" s="3" t="str"/>
      <x:c r="B96" s="3" t="str"/>
      <x:c r="C96" s="3" t="str"/>
      <x:c r="D96" s="3" t="str"/>
      <x:c r="E96" s="3" t="str"/>
      <x:c r="F96" s="3" t="str"/>
      <x:c r="G96" s="3" t="str"/>
      <x:c r="H96" s="3" t="str">
        <x:v>Laura</x:v>
      </x:c>
      <x:c r="I96" s="3" t="str">
        <x:v>Nelson</x:v>
      </x:c>
      <x:c r="J96" s="3" t="str">
        <x:v>lnelson@kawarthaethanol.ca</x:v>
      </x:c>
      <x:c r="K96" s="3" t="str">
        <x:v>10/12/26, 4:02:06 PM</x:v>
      </x:c>
      <x:c r="L96" s="3" t="str">
        <x:v>Registrado</x:v>
      </x:c>
      <x:c r="M96" s="3" t="str">
        <x:v>Kawartha Ethanol Inc. </x:v>
      </x:c>
      <x:c r="N96" s="3" t="str">
        <x:v>Canada Ontario </x:v>
      </x:c>
      <x:c r="O96" s="3" t="str"/>
      <x:c r="P96" s="3" t="str"/>
      <x:c r="Q96" s="3" t="str"/>
      <x:c r="R96" s="3" t="str"/>
      <x:c r="S96" s="3" t="str"/>
      <x:c r="T96" s="3" t="str"/>
      <x:c r="U96" s="3" t="str"/>
      <x:c r="V96" s="3" t="str"/>
      <x:c r="W96" s="3" t="str"/>
      <x:c r="X96" s="3" t="str"/>
      <x:c r="Y96" s="3" t="str"/>
      <x:c r="Z96" s="3" t="str"/>
      <x:c r="AA96" s="3" t="str"/>
      <x:c r="AB96" s="3" t="str"/>
      <x:c r="AC96" s="3" t="str"/>
    </x:row>
    <x:row r="97" ht="45" customHeight="1">
      <x:c r="A97" s="3" t="str"/>
      <x:c r="B97" s="3" t="str"/>
      <x:c r="C97" s="3" t="str"/>
      <x:c r="D97" s="3" t="str"/>
      <x:c r="E97" s="3" t="str"/>
      <x:c r="F97" s="3" t="str"/>
      <x:c r="G97" s="3" t="str"/>
      <x:c r="H97" s="3" t="str">
        <x:v>Jessica</x:v>
      </x:c>
      <x:c r="I97" s="3" t="str">
        <x:v>Quarino</x:v>
      </x:c>
      <x:c r="J97" s="3" t="str">
        <x:v>jquarino@gmail.com</x:v>
      </x:c>
      <x:c r="K97" s="3" t="str">
        <x:v>10/13/26, 1:22:20 PM</x:v>
      </x:c>
      <x:c r="L97" s="3" t="str">
        <x:v>Registrado</x:v>
      </x:c>
      <x:c r="M97" s="3" t="str">
        <x:v>EcoEnginners</x:v>
      </x:c>
      <x:c r="N97" s="3" t="str">
        <x:v>USA</x:v>
      </x:c>
      <x:c r="O97" s="3" t="str"/>
      <x:c r="P97" s="3" t="str"/>
      <x:c r="Q97" s="3" t="str"/>
      <x:c r="R97" s="3" t="str"/>
      <x:c r="S97" s="3" t="str"/>
      <x:c r="T97" s="3" t="str"/>
      <x:c r="U97" s="3" t="str"/>
      <x:c r="V97" s="3" t="str"/>
      <x:c r="W97" s="3" t="str"/>
      <x:c r="X97" s="3" t="str"/>
      <x:c r="Y97" s="3" t="str"/>
      <x:c r="Z97" s="3" t="str"/>
      <x:c r="AA97" s="3" t="str"/>
      <x:c r="AB97" s="3" t="str"/>
      <x:c r="AC97" s="3" t="str"/>
    </x:row>
    <x:row r="98" ht="45" customHeight="1">
      <x:c r="A98" s="3" t="str"/>
      <x:c r="B98" s="3" t="str"/>
      <x:c r="C98" s="3" t="str"/>
      <x:c r="D98" s="3" t="str"/>
      <x:c r="E98" s="3" t="str"/>
      <x:c r="F98" s="3" t="str"/>
      <x:c r="G98" s="3" t="str"/>
      <x:c r="H98" s="3" t="str">
        <x:v>Josh</x:v>
      </x:c>
      <x:c r="I98" s="3" t="str">
        <x:v>Rahm</x:v>
      </x:c>
      <x:c r="J98" s="3" t="str">
        <x:v>jrahm@soy.org</x:v>
      </x:c>
      <x:c r="K98" s="3" t="str">
        <x:v>10/13/26, 1:26:57 PM</x:v>
      </x:c>
      <x:c r="L98" s="3" t="str">
        <x:v>Registrado</x:v>
      </x:c>
      <x:c r="M98" s="3" t="str">
        <x:v>American Soybean Association</x:v>
      </x:c>
      <x:c r="N98" s="3" t="str">
        <x:v>United States</x:v>
      </x:c>
      <x:c r="O98" s="3" t="str"/>
      <x:c r="P98" s="3" t="str"/>
      <x:c r="Q98" s="3" t="str"/>
      <x:c r="R98" s="3" t="str"/>
      <x:c r="S98" s="3" t="str"/>
      <x:c r="T98" s="3" t="str"/>
      <x:c r="U98" s="3" t="str"/>
      <x:c r="V98" s="3" t="str"/>
      <x:c r="W98" s="3" t="str"/>
      <x:c r="X98" s="3" t="str"/>
      <x:c r="Y98" s="3" t="str"/>
      <x:c r="Z98" s="3" t="str"/>
      <x:c r="AA98" s="3" t="str"/>
      <x:c r="AB98" s="3" t="str"/>
      <x:c r="AC98" s="3" t="str"/>
    </x:row>
    <x:row r="99" ht="45" customHeight="1">
      <x:c r="A99" s="3" t="str"/>
      <x:c r="B99" s="3" t="str"/>
      <x:c r="C99" s="3" t="str"/>
      <x:c r="D99" s="3" t="str"/>
      <x:c r="E99" s="3" t="str"/>
      <x:c r="F99" s="3" t="str"/>
      <x:c r="G99" s="3" t="str"/>
      <x:c r="H99" s="3" t="str">
        <x:v>Mike</x:v>
      </x:c>
      <x:c r="I99" s="3" t="str">
        <x:v>Przytakoski</x:v>
      </x:c>
      <x:c r="J99" s="3" t="str">
        <x:v>michal.przytakoski@53.com</x:v>
      </x:c>
      <x:c r="K99" s="3" t="str">
        <x:v>10/13/26, 2:47:29 PM</x:v>
      </x:c>
      <x:c r="L99" s="3" t="str">
        <x:v>Registrado</x:v>
      </x:c>
      <x:c r="M99" s="3" t="str">
        <x:v>5/3 Bank</x:v>
      </x:c>
      <x:c r="N99" s="3" t="str">
        <x:v>United States</x:v>
      </x:c>
      <x:c r="O99" s="3" t="str"/>
      <x:c r="P99" s="3" t="str"/>
      <x:c r="Q99" s="3" t="str"/>
      <x:c r="R99" s="3" t="str"/>
      <x:c r="S99" s="3" t="str"/>
      <x:c r="T99" s="3" t="str"/>
      <x:c r="U99" s="3" t="str"/>
      <x:c r="V99" s="3" t="str"/>
      <x:c r="W99" s="3" t="str"/>
      <x:c r="X99" s="3" t="str"/>
      <x:c r="Y99" s="3" t="str"/>
      <x:c r="Z99" s="3" t="str"/>
      <x:c r="AA99" s="3" t="str"/>
      <x:c r="AB99" s="3" t="str"/>
      <x:c r="AC99" s="3" t="str"/>
    </x:row>
    <x:row r="100" ht="45" customHeight="1">
      <x:c r="A100" s="3" t="str"/>
      <x:c r="B100" s="3" t="str"/>
      <x:c r="C100" s="3" t="str"/>
      <x:c r="D100" s="3" t="str"/>
      <x:c r="E100" s="3" t="str"/>
      <x:c r="F100" s="3" t="str"/>
      <x:c r="G100" s="3" t="str"/>
      <x:c r="H100" s="3" t="str">
        <x:v>viviana</x:v>
      </x:c>
      <x:c r="I100" s="3" t="str">
        <x:v>Pagan</x:v>
      </x:c>
      <x:c r="J100" s="3" t="str">
        <x:v>vpagan@onepeterson.com</x:v>
      </x:c>
      <x:c r="K100" s="3" t="str">
        <x:v>10/13/26, 3:03:58 PM</x:v>
      </x:c>
      <x:c r="L100" s="3" t="str">
        <x:v>Registrado</x:v>
      </x:c>
      <x:c r="M100" s="3" t="str">
        <x:v>Peterson Solutions NA</x:v>
      </x:c>
      <x:c r="N100" s="3" t="str">
        <x:v>United States</x:v>
      </x:c>
      <x:c r="O100" s="3" t="str"/>
      <x:c r="P100" s="3" t="str"/>
      <x:c r="Q100" s="3" t="str"/>
      <x:c r="R100" s="3" t="str"/>
      <x:c r="S100" s="3" t="str"/>
      <x:c r="T100" s="3" t="str"/>
      <x:c r="U100" s="3" t="str"/>
      <x:c r="V100" s="3" t="str"/>
      <x:c r="W100" s="3" t="str"/>
      <x:c r="X100" s="3" t="str"/>
      <x:c r="Y100" s="3" t="str"/>
      <x:c r="Z100" s="3" t="str"/>
      <x:c r="AA100" s="3" t="str"/>
      <x:c r="AB100" s="3" t="str"/>
      <x:c r="AC100" s="3" t="str"/>
    </x:row>
    <x:row r="101" ht="45" customHeight="1">
      <x:c r="A101" s="3" t="str"/>
      <x:c r="B101" s="3" t="str"/>
      <x:c r="C101" s="3" t="str"/>
      <x:c r="D101" s="3" t="str"/>
      <x:c r="E101" s="3" t="str"/>
      <x:c r="F101" s="3" t="str"/>
      <x:c r="G101" s="3" t="str"/>
      <x:c r="H101" s="3" t="str">
        <x:v>Thomas</x:v>
      </x:c>
      <x:c r="I101" s="3" t="str">
        <x:v>Ogaranko</x:v>
      </x:c>
      <x:c r="J101" s="3" t="str">
        <x:v>togaranko@octocoinc.com</x:v>
      </x:c>
      <x:c r="K101" s="3" t="str">
        <x:v>10/13/26, 3:18:10 PM</x:v>
      </x:c>
      <x:c r="L101" s="3" t="str">
        <x:v>Registrado</x:v>
      </x:c>
      <x:c r="M101" s="3" t="str">
        <x:v>Octoco Inc.</x:v>
      </x:c>
      <x:c r="N101" s="3" t="str">
        <x:v>Canada</x:v>
      </x:c>
      <x:c r="O101" s="3" t="str"/>
      <x:c r="P101" s="3" t="str"/>
      <x:c r="Q101" s="3" t="str"/>
      <x:c r="R101" s="3" t="str"/>
      <x:c r="S101" s="3" t="str"/>
      <x:c r="T101" s="3" t="str"/>
      <x:c r="U101" s="3" t="str"/>
      <x:c r="V101" s="3" t="str"/>
      <x:c r="W101" s="3" t="str"/>
      <x:c r="X101" s="3" t="str"/>
      <x:c r="Y101" s="3" t="str"/>
      <x:c r="Z101" s="3" t="str"/>
      <x:c r="AA101" s="3" t="str"/>
      <x:c r="AB101" s="3" t="str"/>
      <x:c r="AC101" s="3" t="str"/>
    </x:row>
    <x:row r="102" ht="45" customHeight="1">
      <x:c r="A102" s="3" t="str"/>
      <x:c r="B102" s="3" t="str"/>
      <x:c r="C102" s="3" t="str"/>
      <x:c r="D102" s="3" t="str"/>
      <x:c r="E102" s="3" t="str"/>
      <x:c r="F102" s="3" t="str"/>
      <x:c r="G102" s="3" t="str"/>
      <x:c r="H102" s="3" t="str">
        <x:v>Genevieve</x:v>
      </x:c>
      <x:c r="I102" s="3" t="str">
        <x:v>Grainger</x:v>
      </x:c>
      <x:c r="J102" s="3" t="str">
        <x:v>genevieve.grainger@gmail.com</x:v>
      </x:c>
      <x:c r="K102" s="3" t="str">
        <x:v>10/13/26, 3:31:27 PM</x:v>
      </x:c>
      <x:c r="L102" s="3" t="str">
        <x:v>Registrado</x:v>
      </x:c>
      <x:c r="M102" s="3" t="str"/>
      <x:c r="N102" s="3" t="str">
        <x:v>canada</x:v>
      </x:c>
      <x:c r="O102" s="3" t="str"/>
      <x:c r="P102" s="3" t="str"/>
      <x:c r="Q102" s="3" t="str"/>
      <x:c r="R102" s="3" t="str"/>
      <x:c r="S102" s="3" t="str"/>
      <x:c r="T102" s="3" t="str"/>
      <x:c r="U102" s="3" t="str"/>
      <x:c r="V102" s="3" t="str"/>
      <x:c r="W102" s="3" t="str"/>
      <x:c r="X102" s="3" t="str"/>
      <x:c r="Y102" s="3" t="str"/>
      <x:c r="Z102" s="3" t="str"/>
      <x:c r="AA102" s="3" t="str"/>
      <x:c r="AB102" s="3" t="str"/>
      <x:c r="AC102" s="3" t="str"/>
    </x:row>
    <x:row r="103" ht="45" customHeight="1">
      <x:c r="A103" s="3" t="str"/>
      <x:c r="B103" s="3" t="str"/>
      <x:c r="C103" s="3" t="str"/>
      <x:c r="D103" s="3" t="str"/>
      <x:c r="E103" s="3" t="str"/>
      <x:c r="F103" s="3" t="str"/>
      <x:c r="G103" s="3" t="str"/>
      <x:c r="H103" s="3" t="str">
        <x:v>Anshul</x:v>
      </x:c>
      <x:c r="I103" s="3" t="str">
        <x:v>Jain</x:v>
      </x:c>
      <x:c r="J103" s="3" t="str">
        <x:v>anshuljain753@gmail.com</x:v>
      </x:c>
      <x:c r="K103" s="3" t="str">
        <x:v>10/13/26, 4:35:25 PM</x:v>
      </x:c>
      <x:c r="L103" s="3" t="str">
        <x:v>Registrado</x:v>
      </x:c>
      <x:c r="M103" s="3" t="str">
        <x:v>Biotown Biogas </x:v>
      </x:c>
      <x:c r="N103" s="3" t="str">
        <x:v>USA</x:v>
      </x:c>
      <x:c r="O103" s="3" t="str"/>
      <x:c r="P103" s="3" t="str"/>
      <x:c r="Q103" s="3" t="str"/>
      <x:c r="R103" s="3" t="str"/>
      <x:c r="S103" s="3" t="str"/>
      <x:c r="T103" s="3" t="str"/>
      <x:c r="U103" s="3" t="str"/>
      <x:c r="V103" s="3" t="str"/>
      <x:c r="W103" s="3" t="str"/>
      <x:c r="X103" s="3" t="str"/>
      <x:c r="Y103" s="3" t="str"/>
      <x:c r="Z103" s="3" t="str"/>
      <x:c r="AA103" s="3" t="str"/>
      <x:c r="AB103" s="3" t="str"/>
      <x:c r="AC103" s="3" t="str"/>
    </x:row>
    <x:row r="104" ht="45" customHeight="1">
      <x:c r="A104" s="3" t="str"/>
      <x:c r="B104" s="3" t="str"/>
      <x:c r="C104" s="3" t="str"/>
      <x:c r="D104" s="3" t="str"/>
      <x:c r="E104" s="3" t="str"/>
      <x:c r="F104" s="3" t="str"/>
      <x:c r="G104" s="3" t="str"/>
      <x:c r="H104" s="3" t="str">
        <x:v>Anshul</x:v>
      </x:c>
      <x:c r="I104" s="3" t="str">
        <x:v>Jain</x:v>
      </x:c>
      <x:c r="J104" s="3" t="str">
        <x:v>anshul@biotownbiogas.com</x:v>
      </x:c>
      <x:c r="K104" s="3" t="str">
        <x:v>10/13/26, 4:36:12 PM</x:v>
      </x:c>
      <x:c r="L104" s="3" t="str">
        <x:v>Registrado</x:v>
      </x:c>
      <x:c r="M104" s="3" t="str">
        <x:v>Biotown Biogas</x:v>
      </x:c>
      <x:c r="N104" s="3" t="str">
        <x:v>USA</x:v>
      </x:c>
      <x:c r="O104" s="3" t="str"/>
      <x:c r="P104" s="3" t="str"/>
      <x:c r="Q104" s="3" t="str"/>
      <x:c r="R104" s="3" t="str"/>
      <x:c r="S104" s="3" t="str"/>
      <x:c r="T104" s="3" t="str"/>
      <x:c r="U104" s="3" t="str"/>
      <x:c r="V104" s="3" t="str"/>
      <x:c r="W104" s="3" t="str"/>
      <x:c r="X104" s="3" t="str"/>
      <x:c r="Y104" s="3" t="str"/>
      <x:c r="Z104" s="3" t="str"/>
      <x:c r="AA104" s="3" t="str"/>
      <x:c r="AB104" s="3" t="str"/>
      <x:c r="AC104" s="3" t="str"/>
    </x:row>
    <x:row r="105" ht="45" customHeight="1">
      <x:c r="A105" s="3" t="str"/>
      <x:c r="B105" s="3" t="str"/>
      <x:c r="C105" s="3" t="str"/>
      <x:c r="D105" s="3" t="str"/>
      <x:c r="E105" s="3" t="str"/>
      <x:c r="F105" s="3" t="str"/>
      <x:c r="G105" s="3" t="str"/>
      <x:c r="H105" s="3" t="str">
        <x:v>Adam</x:v>
      </x:c>
      <x:c r="I105" s="3" t="str">
        <x:v>Gross</x:v>
      </x:c>
      <x:c r="J105" s="3" t="str">
        <x:v>adam@newgrowthtalent.com</x:v>
      </x:c>
      <x:c r="K105" s="3" t="str">
        <x:v>10/13/26, 5:20:12 PM</x:v>
      </x:c>
      <x:c r="L105" s="3" t="str">
        <x:v>Registrado</x:v>
      </x:c>
      <x:c r="M105" s="3" t="str">
        <x:v>New Growth Talent </x:v>
      </x:c>
      <x:c r="N105" s="3" t="str">
        <x:v>United States</x:v>
      </x:c>
      <x:c r="O105" s="3" t="str"/>
      <x:c r="P105" s="3" t="str"/>
      <x:c r="Q105" s="3" t="str"/>
      <x:c r="R105" s="3" t="str"/>
      <x:c r="S105" s="3" t="str"/>
      <x:c r="T105" s="3" t="str"/>
      <x:c r="U105" s="3" t="str"/>
      <x:c r="V105" s="3" t="str"/>
      <x:c r="W105" s="3" t="str"/>
      <x:c r="X105" s="3" t="str"/>
      <x:c r="Y105" s="3" t="str"/>
      <x:c r="Z105" s="3" t="str"/>
      <x:c r="AA105" s="3" t="str"/>
      <x:c r="AB105" s="3" t="str"/>
      <x:c r="AC105" s="3" t="str"/>
    </x:row>
    <x:row r="106" ht="45" customHeight="1">
      <x:c r="A106" s="3" t="str"/>
      <x:c r="B106" s="3" t="str"/>
      <x:c r="C106" s="3" t="str"/>
      <x:c r="D106" s="3" t="str"/>
      <x:c r="E106" s="3" t="str"/>
      <x:c r="F106" s="3" t="str"/>
      <x:c r="G106" s="3" t="str"/>
      <x:c r="H106" s="3" t="str">
        <x:v>Monika</x:v>
      </x:c>
      <x:c r="I106" s="3" t="str">
        <x:v>Rajoria</x:v>
      </x:c>
      <x:c r="J106" s="3" t="str">
        <x:v>monikarajoria@gmail.com</x:v>
      </x:c>
      <x:c r="K106" s="3" t="str">
        <x:v>10/13/26, 5:40:24 PM</x:v>
      </x:c>
      <x:c r="L106" s="3" t="str">
        <x:v>Registrado</x:v>
      </x:c>
      <x:c r="M106" s="3" t="str">
        <x:v>EA</x:v>
      </x:c>
      <x:c r="N106" s="3" t="str">
        <x:v>United Kingdom </x:v>
      </x:c>
      <x:c r="O106" s="3" t="str"/>
      <x:c r="P106" s="3" t="str"/>
      <x:c r="Q106" s="3" t="str"/>
      <x:c r="R106" s="3" t="str"/>
      <x:c r="S106" s="3" t="str"/>
      <x:c r="T106" s="3" t="str"/>
      <x:c r="U106" s="3" t="str"/>
      <x:c r="V106" s="3" t="str"/>
      <x:c r="W106" s="3" t="str"/>
      <x:c r="X106" s="3" t="str"/>
      <x:c r="Y106" s="3" t="str"/>
      <x:c r="Z106" s="3" t="str"/>
      <x:c r="AA106" s="3" t="str"/>
      <x:c r="AB106" s="3" t="str"/>
      <x:c r="AC106" s="3" t="str"/>
    </x:row>
    <x:row r="107" ht="45" customHeight="1">
      <x:c r="A107" s="3" t="str"/>
      <x:c r="B107" s="3" t="str"/>
      <x:c r="C107" s="3" t="str"/>
      <x:c r="D107" s="3" t="str"/>
      <x:c r="E107" s="3" t="str"/>
      <x:c r="F107" s="3" t="str"/>
      <x:c r="G107" s="3" t="str"/>
      <x:c r="H107" s="3" t="str">
        <x:v>Tarique</x:v>
      </x:c>
      <x:c r="I107" s="3" t="str">
        <x:v>Rashaud</x:v>
      </x:c>
      <x:c r="J107" s="3" t="str">
        <x:v>tjrashaud@xemplarcarbon.com</x:v>
      </x:c>
      <x:c r="K107" s="3" t="str">
        <x:v>10/14/26, 3:03:53 PM</x:v>
      </x:c>
      <x:c r="L107" s="3" t="str">
        <x:v>Registrado</x:v>
      </x:c>
      <x:c r="M107" s="3" t="str">
        <x:v>Xemplar Carbon &amp; Capital LLC</x:v>
      </x:c>
      <x:c r="N107" s="3" t="str">
        <x:v>United States</x:v>
      </x:c>
      <x:c r="O107" s="3" t="str"/>
      <x:c r="P107" s="3" t="str"/>
      <x:c r="Q107" s="3" t="str"/>
      <x:c r="R107" s="3" t="str"/>
      <x:c r="S107" s="3" t="str"/>
      <x:c r="T107" s="3" t="str"/>
      <x:c r="U107" s="3" t="str"/>
      <x:c r="V107" s="3" t="str"/>
      <x:c r="W107" s="3" t="str"/>
      <x:c r="X107" s="3" t="str"/>
      <x:c r="Y107" s="3" t="str"/>
      <x:c r="Z107" s="3" t="str"/>
      <x:c r="AA107" s="3" t="str"/>
      <x:c r="AB107" s="3" t="str"/>
      <x:c r="AC107" s="3" t="str"/>
    </x:row>
    <x:row r="108" ht="45" customHeight="1">
      <x:c r="A108" s="3" t="str"/>
      <x:c r="B108" s="3" t="str"/>
      <x:c r="C108" s="3" t="str"/>
      <x:c r="D108" s="3" t="str"/>
      <x:c r="E108" s="3" t="str"/>
      <x:c r="F108" s="3" t="str"/>
      <x:c r="G108" s="3" t="str"/>
      <x:c r="H108" s="3" t="str">
        <x:v>Corey</x:v>
      </x:c>
      <x:c r="I108" s="3" t="str">
        <x:v>Lavinsky</x:v>
      </x:c>
      <x:c r="J108" s="3" t="str">
        <x:v>corey.lavinsky@calumet.com</x:v>
      </x:c>
      <x:c r="K108" s="3" t="str">
        <x:v>10/14/26, 3:22:31 PM</x:v>
      </x:c>
      <x:c r="L108" s="3" t="str">
        <x:v>Registrado</x:v>
      </x:c>
      <x:c r="M108" s="3" t="str">
        <x:v>Montana Renewables</x:v>
      </x:c>
      <x:c r="N108" s="3" t="str">
        <x:v>United States</x:v>
      </x:c>
      <x:c r="O108" s="3" t="str"/>
      <x:c r="P108" s="3" t="str"/>
      <x:c r="Q108" s="3" t="str"/>
      <x:c r="R108" s="3" t="str"/>
      <x:c r="S108" s="3" t="str"/>
      <x:c r="T108" s="3" t="str"/>
      <x:c r="U108" s="3" t="str"/>
      <x:c r="V108" s="3" t="str"/>
      <x:c r="W108" s="3" t="str"/>
      <x:c r="X108" s="3" t="str"/>
      <x:c r="Y108" s="3" t="str"/>
      <x:c r="Z108" s="3" t="str"/>
      <x:c r="AA108" s="3" t="str"/>
      <x:c r="AB108" s="3" t="str"/>
      <x:c r="AC108" s="3" t="str"/>
    </x:row>
    <x:row r="109" ht="45" customHeight="1">
      <x:c r="A109" s="3" t="str"/>
      <x:c r="B109" s="3" t="str"/>
      <x:c r="C109" s="3" t="str"/>
      <x:c r="D109" s="3" t="str"/>
      <x:c r="E109" s="3" t="str"/>
      <x:c r="F109" s="3" t="str"/>
      <x:c r="G109" s="3" t="str"/>
      <x:c r="H109" s="3" t="str">
        <x:v>Matthew</x:v>
      </x:c>
      <x:c r="I109" s="3" t="str">
        <x:v>McBain</x:v>
      </x:c>
      <x:c r="J109" s="3" t="str">
        <x:v>mmcbain@edeniq.com</x:v>
      </x:c>
      <x:c r="K109" s="3" t="str">
        <x:v>10/14/26, 3:27:41 PM</x:v>
      </x:c>
      <x:c r="L109" s="3" t="str">
        <x:v>Registrado</x:v>
      </x:c>
      <x:c r="M109" s="3" t="str">
        <x:v>Edeniq</x:v>
      </x:c>
      <x:c r="N109" s="3" t="str">
        <x:v>United States</x:v>
      </x:c>
      <x:c r="O109" s="3" t="str"/>
      <x:c r="P109" s="3" t="str"/>
      <x:c r="Q109" s="3" t="str"/>
      <x:c r="R109" s="3" t="str"/>
      <x:c r="S109" s="3" t="str"/>
      <x:c r="T109" s="3" t="str"/>
      <x:c r="U109" s="3" t="str"/>
      <x:c r="V109" s="3" t="str"/>
      <x:c r="W109" s="3" t="str"/>
      <x:c r="X109" s="3" t="str"/>
      <x:c r="Y109" s="3" t="str"/>
      <x:c r="Z109" s="3" t="str"/>
      <x:c r="AA109" s="3" t="str"/>
      <x:c r="AB109" s="3" t="str"/>
      <x:c r="AC109" s="3" t="str"/>
    </x:row>
    <x:row r="110" ht="45" customHeight="1">
      <x:c r="A110" s="3" t="str"/>
      <x:c r="B110" s="3" t="str"/>
      <x:c r="C110" s="3" t="str"/>
      <x:c r="D110" s="3" t="str"/>
      <x:c r="E110" s="3" t="str"/>
      <x:c r="F110" s="3" t="str"/>
      <x:c r="G110" s="3" t="str"/>
      <x:c r="H110" s="3" t="str">
        <x:v>Peter</x:v>
      </x:c>
      <x:c r="I110" s="3" t="str">
        <x:v>Ronn</x:v>
      </x:c>
      <x:c r="J110" s="3" t="str">
        <x:v>peter@safdesk.ca</x:v>
      </x:c>
      <x:c r="K110" s="3" t="str">
        <x:v>10/14/26, 7:28:14 PM</x:v>
      </x:c>
      <x:c r="L110" s="3" t="str">
        <x:v>Registrado</x:v>
      </x:c>
      <x:c r="M110" s="3" t="str">
        <x:v>Safdesk Ltd.</x:v>
      </x:c>
      <x:c r="N110" s="3" t="str">
        <x:v>Canada</x:v>
      </x:c>
      <x:c r="O110" s="3" t="str"/>
      <x:c r="P110" s="3" t="str"/>
      <x:c r="Q110" s="3" t="str"/>
      <x:c r="R110" s="3" t="str"/>
      <x:c r="S110" s="3" t="str"/>
      <x:c r="T110" s="3" t="str"/>
      <x:c r="U110" s="3" t="str"/>
      <x:c r="V110" s="3" t="str"/>
      <x:c r="W110" s="3" t="str"/>
      <x:c r="X110" s="3" t="str"/>
      <x:c r="Y110" s="3" t="str"/>
      <x:c r="Z110" s="3" t="str"/>
      <x:c r="AA110" s="3" t="str"/>
      <x:c r="AB110" s="3" t="str"/>
      <x:c r="AC110" s="3" t="str"/>
    </x:row>
    <x:row r="111" ht="45" customHeight="1">
      <x:c r="A111" s="3" t="str"/>
      <x:c r="B111" s="3" t="str"/>
      <x:c r="C111" s="3" t="str"/>
      <x:c r="D111" s="3" t="str"/>
      <x:c r="E111" s="3" t="str"/>
      <x:c r="F111" s="3" t="str"/>
      <x:c r="G111" s="3" t="str"/>
      <x:c r="H111" s="3" t="str">
        <x:v>Andrés</x:v>
      </x:c>
      <x:c r="I111" s="3" t="str">
        <x:v>Martínez Garcia</x:v>
      </x:c>
      <x:c r="J111" s="3" t="str">
        <x:v>amartinezg@controlunion.com</x:v>
      </x:c>
      <x:c r="K111" s="3" t="str">
        <x:v>10/16/26, 3:17:18 AM</x:v>
      </x:c>
      <x:c r="L111" s="3" t="str">
        <x:v>Registrado</x:v>
      </x:c>
      <x:c r="M111" s="3" t="str"/>
      <x:c r="N111" s="3" t="str"/>
      <x:c r="O111" s="3" t="str"/>
      <x:c r="P111" s="3" t="str"/>
      <x:c r="Q111" s="3" t="str"/>
      <x:c r="R111" s="3" t="str"/>
      <x:c r="S111" s="3" t="str"/>
      <x:c r="T111" s="3" t="str"/>
      <x:c r="U111" s="3" t="str"/>
      <x:c r="V111" s="3" t="str"/>
      <x:c r="W111" s="3" t="str"/>
      <x:c r="X111" s="3" t="str"/>
      <x:c r="Y111" s="3" t="str"/>
      <x:c r="Z111" s="3" t="str"/>
      <x:c r="AA111" s="3" t="str"/>
      <x:c r="AB111" s="3" t="str"/>
      <x:c r="AC111" s="3" t="str"/>
    </x:row>
    <x:row r="112" ht="45" customHeight="1">
      <x:c r="A112" s="3" t="str"/>
      <x:c r="B112" s="3" t="str"/>
      <x:c r="C112" s="3" t="str"/>
      <x:c r="D112" s="3" t="str"/>
      <x:c r="E112" s="3" t="str"/>
      <x:c r="F112" s="3" t="str"/>
      <x:c r="G112" s="3" t="str"/>
      <x:c r="H112" s="3" t="str">
        <x:v>Alejandro</x:v>
      </x:c>
      <x:c r="I112" s="3" t="str">
        <x:v>Sanguinetti</x:v>
      </x:c>
      <x:c r="J112" s="3" t="str">
        <x:v>alejuansanguinetti@gmail.com</x:v>
      </x:c>
      <x:c r="K112" s="3" t="str">
        <x:v>10/16/26, 11:20:14 AM</x:v>
      </x:c>
      <x:c r="L112" s="3" t="str">
        <x:v>Registrado</x:v>
      </x:c>
      <x:c r="M112" s="3" t="str">
        <x:v>UCES</x:v>
      </x:c>
      <x:c r="N112" s="3" t="str">
        <x:v>Spain</x:v>
      </x:c>
      <x:c r="O112" s="3" t="str"/>
      <x:c r="P112" s="3" t="str"/>
      <x:c r="Q112" s="3" t="str"/>
      <x:c r="R112" s="3" t="str"/>
      <x:c r="S112" s="3" t="str"/>
      <x:c r="T112" s="3" t="str"/>
      <x:c r="U112" s="3" t="str"/>
      <x:c r="V112" s="3" t="str"/>
      <x:c r="W112" s="3" t="str"/>
      <x:c r="X112" s="3" t="str"/>
      <x:c r="Y112" s="3" t="str"/>
      <x:c r="Z112" s="3" t="str"/>
      <x:c r="AA112" s="3" t="str"/>
      <x:c r="AB112" s="3" t="str"/>
      <x:c r="AC112" s="3" t="str"/>
    </x:row>
    <x:row r="113" ht="45" customHeight="1">
      <x:c r="A113" s="3" t="str"/>
      <x:c r="B113" s="3" t="str"/>
      <x:c r="C113" s="3" t="str"/>
      <x:c r="D113" s="3" t="str"/>
      <x:c r="E113" s="3" t="str"/>
      <x:c r="F113" s="3" t="str"/>
      <x:c r="G113" s="3" t="str"/>
      <x:c r="H113" s="3" t="str">
        <x:v>steve</x:v>
      </x:c>
      <x:c r="I113" s="3" t="str">
        <x:v>dorcheus</x:v>
      </x:c>
      <x:c r="J113" s="3" t="str">
        <x:v>steve@sdcenerserve.com</x:v>
      </x:c>
      <x:c r="K113" s="3" t="str">
        <x:v>10/16/26, 3:03:23 PM</x:v>
      </x:c>
      <x:c r="L113" s="3" t="str">
        <x:v>Registrado</x:v>
      </x:c>
      <x:c r="M113" s="3" t="str">
        <x:v>SDC Enerserve</x:v>
      </x:c>
      <x:c r="N113" s="3" t="str">
        <x:v>usa</x:v>
      </x:c>
      <x:c r="O113" s="3" t="str"/>
      <x:c r="P113" s="3" t="str"/>
      <x:c r="Q113" s="3" t="str"/>
      <x:c r="R113" s="3" t="str"/>
      <x:c r="S113" s="3" t="str"/>
      <x:c r="T113" s="3" t="str"/>
      <x:c r="U113" s="3" t="str"/>
      <x:c r="V113" s="3" t="str"/>
      <x:c r="W113" s="3" t="str"/>
      <x:c r="X113" s="3" t="str"/>
      <x:c r="Y113" s="3" t="str"/>
      <x:c r="Z113" s="3" t="str"/>
      <x:c r="AA113" s="3" t="str"/>
      <x:c r="AB113" s="3" t="str"/>
      <x:c r="AC113" s="3" t="str"/>
    </x:row>
    <x:row r="114" ht="45" customHeight="1">
      <x:c r="A114" s="3" t="str"/>
      <x:c r="B114" s="3" t="str"/>
      <x:c r="C114" s="3" t="str"/>
      <x:c r="D114" s="3" t="str"/>
      <x:c r="E114" s="3" t="str"/>
      <x:c r="F114" s="3" t="str"/>
      <x:c r="G114" s="3" t="str"/>
      <x:c r="H114" s="3" t="str">
        <x:v>Fernando</x:v>
      </x:c>
      <x:c r="I114" s="3" t="str">
        <x:v>Rodriguez Uslenghi</x:v>
      </x:c>
      <x:c r="J114" s="3" t="str">
        <x:v>fuslenghi@contrlunion.com</x:v>
      </x:c>
      <x:c r="K114" s="3" t="str">
        <x:v>10/16/26, 4:05:27 PM</x:v>
      </x:c>
      <x:c r="L114" s="3" t="str">
        <x:v>Registrado</x:v>
      </x:c>
      <x:c r="M114" s="3" t="str"/>
      <x:c r="N114" s="3" t="str">
        <x:v>United states</x:v>
      </x:c>
      <x:c r="O114" s="3" t="str"/>
      <x:c r="P114" s="3" t="str"/>
      <x:c r="Q114" s="3" t="str"/>
      <x:c r="R114" s="3" t="str"/>
      <x:c r="S114" s="3" t="str"/>
      <x:c r="T114" s="3" t="str"/>
      <x:c r="U114" s="3" t="str"/>
      <x:c r="V114" s="3" t="str"/>
      <x:c r="W114" s="3" t="str"/>
      <x:c r="X114" s="3" t="str"/>
      <x:c r="Y114" s="3" t="str"/>
      <x:c r="Z114" s="3" t="str"/>
      <x:c r="AA114" s="3" t="str"/>
      <x:c r="AB114" s="3" t="str"/>
      <x:c r="AC114" s="3" t="str"/>
    </x:row>
  </x:sheetData>
  <x:pageMargins left="0.7" right="0.7" top="0.75" bottom="0.75" header="0.3" footer="0.3"/>
  <x:tableParts count="1">
    <x:tablePart xmlns:r="http://schemas.openxmlformats.org/officeDocument/2006/relationships" r:id="R2a813cfb97dc4db4"/>
  </x:tableParts>
</x:worksheet>
</file>