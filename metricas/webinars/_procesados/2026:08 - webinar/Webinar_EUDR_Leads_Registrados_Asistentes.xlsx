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c5e6bcadaf4219" /></Relationships>
</file>

<file path=xl/workbook.xml><?xml version="1.0" encoding="utf-8"?>
<x:workbook xmlns:x="http://schemas.openxmlformats.org/spreadsheetml/2006/main">
  <x:sheets>
    <x:sheet xmlns:r="http://schemas.openxmlformats.org/officeDocument/2006/relationships" name="Hot &amp; Warm Leads" sheetId="1" r:id="Rf57d982a75fa4eb8"/>
    <x:sheet xmlns:r="http://schemas.openxmlformats.org/officeDocument/2006/relationships" name="Registrados" sheetId="2" r:id="Re97f22872dd84c34"/>
    <x:sheet xmlns:r="http://schemas.openxmlformats.org/officeDocument/2006/relationships" name="Asistentes" sheetId="3" r:id="R555b5774f75e4ce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hh:mm:ss"/>
  </x:numFmts>
  <x:fonts count="6">
    <x:font>
      <x:sz val="11"/>
      <x:name val="Carlito"/>
    </x:font>
    <x:font>
      <x:b/>
      <x:sz val="16"/>
      <x:color rgb="FFFFFFFF"/>
      <x:name val="Carlito"/>
    </x:font>
    <x:font>
      <x:i/>
      <x:sz val="11"/>
      <x:color rgb="FF334155"/>
      <x:name val="Carlito"/>
    </x:font>
    <x:font>
      <x:b/>
      <x:sz val="11"/>
      <x:color rgb="FF334155"/>
      <x:name val="Carlito"/>
    </x:font>
    <x:font>
      <x:b/>
      <x:sz val="14"/>
      <x:color rgb="FF143B4A"/>
      <x:name val="Carlito"/>
    </x:font>
    <x:font>
      <x:b/>
      <x:sz val="11"/>
      <x:color rgb="FFFFFFFF"/>
      <x:name val="Carlito"/>
    </x:font>
  </x:fonts>
  <x:fills count="7">
    <x:fill>
      <x:patternFill patternType="none"/>
    </x:fill>
    <x:fill>
      <x:patternFill patternType="gray125"/>
    </x:fill>
    <x:fill>
      <x:patternFill patternType="solid">
        <x:fgColor rgb="FF143B4A"/>
      </x:patternFill>
    </x:fill>
    <x:fill>
      <x:patternFill patternType="solid">
        <x:fgColor rgb="FFEAF1F4"/>
      </x:patternFill>
    </x:fill>
    <x:fill>
      <x:patternFill patternType="solid">
        <x:fgColor rgb="FFD8E6EA"/>
      </x:patternFill>
    </x:fill>
    <x:fill>
      <x:patternFill patternType="solid">
        <x:fgColor rgb="FFF8FAFC"/>
      </x:patternFill>
    </x:fill>
    <x:fill>
      <x:patternFill patternType="solid">
        <x:fgColor rgb="FF1F5D6B"/>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dxfs count="8">
    <x:dxf>
      <x:fill>
        <x:patternFill patternType="solid">
          <x:bgColor rgb="FFFDE2E2"/>
        </x:patternFill>
      </x:fill>
    </x:dxf>
    <x:dxf>
      <x:fill>
        <x:patternFill patternType="solid">
          <x:bgColor rgb="FFFFF4D6"/>
        </x:patternFill>
      </x:fill>
    </x:dxf>
    <x:dxf>
      <x:fill>
        <x:patternFill patternType="solid">
          <x:bgColor rgb="FFF3F4F6"/>
        </x:patternFill>
      </x:fill>
    </x:dxf>
    <x:dxf>
      <x:fill>
        <x:patternFill patternType="solid">
          <x:bgColor rgb="FFFDE2E2"/>
        </x:patternFill>
      </x:fill>
    </x:dxf>
    <x:dxf>
      <x:fill>
        <x:patternFill patternType="solid">
          <x:bgColor rgb="FFFFF4D6"/>
        </x:patternFill>
      </x:fill>
    </x:dxf>
    <x:dxf>
      <x:fill>
        <x:patternFill patternType="solid">
          <x:bgColor rgb="FFF3F4F6"/>
        </x:patternFill>
      </x:fill>
    </x:dxf>
    <x:dxf>
      <x:fill>
        <x:patternFill patternType="solid">
          <x:bgColor rgb="FFFDE2E2"/>
        </x:patternFill>
      </x:fill>
    </x:dxf>
    <x:dxf>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95f15304914c16" /><Relationship Type="http://schemas.openxmlformats.org/officeDocument/2006/relationships/theme" Target="/xl/theme/theme1.xml" Id="Rc88f9bea2cd9405c" /><Relationship Type="http://schemas.openxmlformats.org/officeDocument/2006/relationships/sharedStrings" Target="/xl/sharedStrings.xml" Id="R159228dcff214da0" /><Relationship Type="http://schemas.openxmlformats.org/officeDocument/2006/relationships/worksheet" Target="/xl/worksheets/sheet1.xml" Id="Rf57d982a75fa4eb8" /><Relationship Type="http://schemas.openxmlformats.org/officeDocument/2006/relationships/worksheet" Target="/xl/worksheets/sheet2.xml" Id="Re97f22872dd84c34" /><Relationship Type="http://schemas.openxmlformats.org/officeDocument/2006/relationships/worksheet" Target="/xl/worksheets/sheet3.xml" Id="R555b5774f75e4cef" /></Relationships>
</file>

<file path=xl/tables/table1.xml><?xml version="1.0" encoding="utf-8"?>
<x:table xmlns:x="http://schemas.openxmlformats.org/spreadsheetml/2006/main" id="1" name="PriorityLeadsTable" displayName="PriorityLeadsTable" ref="A6:P33" headerRowCount="1" totalsRowCount="0" totalsRowShown="0">
  <x:tableColumns count="16">
    <x:tableColumn id="1" name="Lead Tier"/>
    <x:tableColumn id="2" name="Name"/>
    <x:tableColumn id="3" name="Email"/>
    <x:tableColumn id="4" name="Registration Email"/>
    <x:tableColumn id="5" name="Company / Organization"/>
    <x:tableColumn id="6" name="Country / Region"/>
    <x:tableColumn id="7" name="Time (min)"/>
    <x:tableColumn id="8" name="Attendance Points"/>
    <x:tableColumn id="9" name="Duration Bonus"/>
    <x:tableColumn id="10" name="Q&amp;A Interactions"/>
    <x:tableColumn id="11" name="Camera On"/>
    <x:tableColumn id="12" name="Hands Raised"/>
    <x:tableColumn id="13" name="Audio Activated"/>
    <x:tableColumn id="14" name="Engagement Clicks"/>
    <x:tableColumn id="15" name="Score"/>
    <x:tableColumn id="16" name="Questions / Q&amp;A"/>
  </x:tableColumns>
  <x:tableStyleInfo name="TableStyleMedium2" showFirstColumn="0" showLastColumn="0" showRowStripes="1" showColumnStripes="0"/>
</x:table>
</file>

<file path=xl/tables/table2.xml><?xml version="1.0" encoding="utf-8"?>
<x:table xmlns:x="http://schemas.openxmlformats.org/spreadsheetml/2006/main" id="2" name="RegisteredTable" displayName="RegisteredTable" ref="A6:L301" headerRowCount="1" totalsRowCount="0" totalsRowShown="0">
  <x:tableColumns count="12">
    <x:tableColumn id="1" name="Priority"/>
    <x:tableColumn id="2" name="Name"/>
    <x:tableColumn id="3" name="Email"/>
    <x:tableColumn id="4" name="Company / Organization"/>
    <x:tableColumn id="5" name="Country / Region"/>
    <x:tableColumn id="6" name="Registration Time"/>
    <x:tableColumn id="7" name="Status"/>
    <x:tableColumn id="8" name="Attended?"/>
    <x:tableColumn id="9" name="Time (min)"/>
    <x:tableColumn id="10" name="Score"/>
    <x:tableColumn id="11" name="Lead Tier"/>
    <x:tableColumn id="12" name="Commercial Priority"/>
  </x:tableColumns>
  <x:tableStyleInfo name="TableStyleMedium2" showFirstColumn="0" showLastColumn="0" showRowStripes="1" showColumnStripes="0"/>
</x:table>
</file>

<file path=xl/tables/table3.xml><?xml version="1.0" encoding="utf-8"?>
<x:table xmlns:x="http://schemas.openxmlformats.org/spreadsheetml/2006/main" id="3" name="AttendeesTable" displayName="AttendeesTable" ref="A6:X156" headerRowCount="1" totalsRowCount="0" totalsRowShown="0">
  <x:tableColumns count="24">
    <x:tableColumn id="1" name="Priority"/>
    <x:tableColumn id="2" name="Name"/>
    <x:tableColumn id="3" name="Main Email"/>
    <x:tableColumn id="4" name="Registration Email"/>
    <x:tableColumn id="5" name="Company / Organization"/>
    <x:tableColumn id="6" name="Country / Region"/>
    <x:tableColumn id="7" name="Time (min)"/>
    <x:tableColumn id="8" name="Attendance Points"/>
    <x:tableColumn id="9" name="Duration Bonus"/>
    <x:tableColumn id="10" name="Q&amp;A Interactions"/>
    <x:tableColumn id="11" name="Camera On"/>
    <x:tableColumn id="12" name="Hands Raised"/>
    <x:tableColumn id="13" name="Audio Activated"/>
    <x:tableColumn id="14" name="Engagement Clicks"/>
    <x:tableColumn id="15" name="Score"/>
    <x:tableColumn id="16" name="Lead Tier"/>
    <x:tableColumn id="17" name="Questions / Q&amp;A"/>
    <x:tableColumn id="18" name="First Entry"/>
    <x:tableColumn id="19" name="Last Exit"/>
    <x:tableColumn id="20" name="Teams Duration"/>
    <x:tableColumn id="21" name="Role"/>
    <x:tableColumn id="22" name="Teams Email"/>
    <x:tableColumn id="23" name="UPN"/>
    <x:tableColumn id="24" name="Identity / Data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213f4202804f01" /></Relationships>
</file>

<file path=xl/worksheets/_rels/sheet2.xml.rels>&#65279;<?xml version="1.0" encoding="utf-8"?><Relationships xmlns="http://schemas.openxmlformats.org/package/2006/relationships"><Relationship Type="http://schemas.openxmlformats.org/officeDocument/2006/relationships/table" Target="/xl/tables/table2.xml" Id="R28807263b8ed4bb6" /></Relationships>
</file>

<file path=xl/worksheets/_rels/sheet3.xml.rels>&#65279;<?xml version="1.0" encoding="utf-8"?><Relationships xmlns="http://schemas.openxmlformats.org/package/2006/relationships"><Relationship Type="http://schemas.openxmlformats.org/officeDocument/2006/relationships/table" Target="/xl/tables/table3.xml" Id="Rab4c021d4e594901" /></Relationships>
</file>

<file path=xl/worksheets/sheet1.xml><?xml version="1.0" encoding="utf-8"?>
<x:worksheet xmlns:x="http://schemas.openxmlformats.org/spreadsheetml/2006/main">
  <x:sheetFormatPr defaultRowHeight="15"/>
  <x:cols>
    <x:col min="1" max="1" width="14" hidden="0" customWidth="1"/>
    <x:col min="2" max="2" width="30" hidden="0" customWidth="1"/>
    <x:col min="3" max="3" width="32" hidden="0" customWidth="1"/>
    <x:col min="4" max="4" width="32" hidden="0" customWidth="1"/>
    <x:col min="5" max="5" width="34" hidden="0" customWidth="1"/>
    <x:col min="6" max="6" width="20" hidden="0" customWidth="1"/>
    <x:col min="7" max="7" width="13" hidden="0" customWidth="1"/>
    <x:col min="8" max="8" width="16" hidden="0" customWidth="1"/>
    <x:col min="9" max="9" width="15" hidden="0" customWidth="1"/>
    <x:col min="10" max="10" width="17" hidden="0" customWidth="1"/>
    <x:col min="11" max="11" width="12" hidden="0" customWidth="1"/>
    <x:col min="12" max="12" width="13" hidden="0" customWidth="1"/>
    <x:col min="13" max="13" width="14" hidden="0" customWidth="1"/>
    <x:col min="14" max="14" width="17" hidden="0" customWidth="1"/>
    <x:col min="15" max="15" width="11" hidden="0" customWidth="1"/>
    <x:col min="16" max="16" width="58" hidden="0" customWidth="1"/>
  </x:cols>
  <x:sheetData>
    <x:row r="1" ht="30" customHeight="1">
      <x:c r="A1" s="4" t="str">
        <x:v>Webinar EUDR | Hot &amp; Warm Leads</x:v>
      </x:c>
      <x:c r="B1" s="4"/>
      <x:c r="C1" s="4"/>
      <x:c r="D1" s="4"/>
      <x:c r="E1" s="4"/>
      <x:c r="F1" s="4"/>
      <x:c r="G1" s="4"/>
      <x:c r="H1" s="4"/>
      <x:c r="I1" s="4"/>
      <x:c r="J1" s="4"/>
      <x:c r="K1" s="4"/>
      <x:c r="L1" s="4"/>
      <x:c r="M1" s="4"/>
      <x:c r="N1" s="4"/>
      <x:c r="O1" s="4"/>
      <x:c r="P1" s="4"/>
    </x:row>
    <x:row r="2" ht="38" customHeight="1">
      <x:c r="A2" s="10" t="str">
        <x:v>Scoring: +3 attended live | +2 if &gt;50 min / +1 if &gt;30 min | +1 per identifiable webinar interaction (Q&amp;A entry, camera on, hand raised, audio activated). HOT &gt;= 8 | WARM 5-7. Internal Control Union / Peterson excluded.</x:v>
      </x:c>
      <x:c r="B2" s="10"/>
      <x:c r="C2" s="10"/>
      <x:c r="D2" s="10"/>
      <x:c r="E2" s="10"/>
      <x:c r="F2" s="10"/>
      <x:c r="G2" s="10"/>
      <x:c r="H2" s="10"/>
      <x:c r="I2" s="10"/>
      <x:c r="J2" s="10"/>
      <x:c r="K2" s="10"/>
      <x:c r="L2" s="10"/>
      <x:c r="M2" s="10"/>
      <x:c r="N2" s="10"/>
      <x:c r="O2" s="10"/>
      <x:c r="P2" s="10"/>
    </x:row>
    <x:row r="3">
      <x:c r="A3" s="16" t="str">
        <x:v>HOT leads</x:v>
      </x:c>
      <x:c r="B3" s="16"/>
      <x:c r="C3" s="16"/>
      <x:c r="E3" s="16" t="str">
        <x:v>WARM leads</x:v>
      </x:c>
      <x:c r="F3" s="16"/>
      <x:c r="G3" s="16"/>
      <x:c r="I3" s="16" t="str">
        <x:v>Priority leads</x:v>
      </x:c>
      <x:c r="J3" s="16"/>
      <x:c r="K3" s="16"/>
      <x:c r="M3" s="16" t="str">
        <x:v>Anonymous Q&amp;A excluded</x:v>
      </x:c>
      <x:c r="N3" s="16"/>
      <x:c r="O3" s="16"/>
    </x:row>
    <x:row r="4">
      <x:c r="A4" s="22" t="n">
        <x:v>1</x:v>
      </x:c>
      <x:c r="B4" s="22"/>
      <x:c r="C4" s="22"/>
      <x:c r="E4" s="22" t="n">
        <x:v>26</x:v>
      </x:c>
      <x:c r="F4" s="22"/>
      <x:c r="G4" s="22"/>
      <x:c r="I4" s="22" t="n">
        <x:v>27</x:v>
      </x:c>
      <x:c r="J4" s="22"/>
      <x:c r="K4" s="22"/>
      <x:c r="M4" s="22" t="n">
        <x:v>16</x:v>
      </x:c>
      <x:c r="N4" s="22"/>
      <x:c r="O4" s="22"/>
    </x:row>
    <x:row r="6">
      <x:c r="A6" s="29" t="str">
        <x:v>Lead Tier</x:v>
      </x:c>
      <x:c r="B6" s="29" t="str">
        <x:v>Name</x:v>
      </x:c>
      <x:c r="C6" s="29" t="str">
        <x:v>Email</x:v>
      </x:c>
      <x:c r="D6" s="29" t="str">
        <x:v>Registration Email</x:v>
      </x:c>
      <x:c r="E6" s="29" t="str">
        <x:v>Company / Organization</x:v>
      </x:c>
      <x:c r="F6" s="29" t="str">
        <x:v>Country / Region</x:v>
      </x:c>
      <x:c r="G6" s="29" t="str">
        <x:v>Time (min)</x:v>
      </x:c>
      <x:c r="H6" s="29" t="str">
        <x:v>Attendance Points</x:v>
      </x:c>
      <x:c r="I6" s="29" t="str">
        <x:v>Duration Bonus</x:v>
      </x:c>
      <x:c r="J6" s="29" t="str">
        <x:v>Q&amp;A Interactions</x:v>
      </x:c>
      <x:c r="K6" s="29" t="str">
        <x:v>Camera On</x:v>
      </x:c>
      <x:c r="L6" s="29" t="str">
        <x:v>Hands Raised</x:v>
      </x:c>
      <x:c r="M6" s="29" t="str">
        <x:v>Audio Activated</x:v>
      </x:c>
      <x:c r="N6" s="29" t="str">
        <x:v>Engagement Clicks</x:v>
      </x:c>
      <x:c r="O6" s="29" t="str">
        <x:v>Score</x:v>
      </x:c>
      <x:c r="P6" s="29" t="str">
        <x:v>Questions / Q&amp;A</x:v>
      </x:c>
    </x:row>
    <x:row r="7">
      <x:c r="A7" s="36" t="str">
        <x:v>HOT</x:v>
      </x:c>
      <x:c r="B7" s="36" t="str">
        <x:v>Darlin Mejia</x:v>
      </x:c>
      <x:c r="C7" s="36" t="str">
        <x:v>dcmejia@pantaleon.com</x:v>
      </x:c>
      <x:c r="D7" s="36" t="str">
        <x:v>dcmejia@pantaleon.com</x:v>
      </x:c>
      <x:c r="E7" s="36" t="str">
        <x:v>Pantaleon S.A.</x:v>
      </x:c>
      <x:c r="F7" s="36" t="str">
        <x:v>Guatemala</x:v>
      </x:c>
      <x:c r="G7" s="38" t="n">
        <x:v>37.6</x:v>
      </x:c>
      <x:c r="H7" s="38" t="n">
        <x:v>3</x:v>
      </x:c>
      <x:c r="I7" s="38" t="n">
        <x:f>IF(G7&gt;50,2,IF(G7&gt;30,1,0))</x:f>
        <x:v>1</x:v>
      </x:c>
      <x:c r="J7" s="38" t="n">
        <x:v>5</x:v>
      </x:c>
      <x:c r="K7" s="38" t="n">
        <x:v>0</x:v>
      </x:c>
      <x:c r="L7" s="38" t="n">
        <x:v>0</x:v>
      </x:c>
      <x:c r="M7" s="38" t="n">
        <x:v>0</x:v>
      </x:c>
      <x:c r="N7" s="38" t="n">
        <x:f>SUM(J7:M7)</x:f>
        <x:v>5</x:v>
      </x:c>
      <x:c r="O7" s="38" t="n">
        <x:f>H7+I7+N7</x:f>
        <x:v>9</x:v>
      </x:c>
      <x:c r="P7" s="36" t="str">
        <x:v>[12:23] Reply: Hola buen día, una consulta, respecto a los ingenios, que el tema de segregación física en el procesamiento seria complejo, como lo ven desde el punto de vista de trazabilidad?
[12:42] Reply: Esta plataforma es solo herramienta de Peterson o forma parte de alguna certificación?
[12:44] Discussion: Hola buen día, una consulta, respecto a los ingenios, que el tema de segregación física en el procesamiento seria complejo, como lo ven desde el punto de vista de trazabilidad?
[12:44] Discussion: Esta plataforma es solo herramienta de Peterson o forma parte de alguna certificación?
[12:47] Question: El operador o trader es quien implementa la due dilegence?</x:v>
      </x:c>
    </x:row>
    <x:row r="8">
      <x:c r="A8" s="36" t="str">
        <x:v>WARM</x:v>
      </x:c>
      <x:c r="B8" s="36" t="str">
        <x:v>carlos calo</x:v>
      </x:c>
      <x:c r="C8" s="36" t="str">
        <x:v>carloscalo83@hotmail.com</x:v>
      </x:c>
      <x:c r="D8" s="36" t="str">
        <x:v>carloscalo83@hotmail.com</x:v>
      </x:c>
      <x:c r="E8" s="36" t="str">
        <x:v>Service corp trading</x:v>
      </x:c>
      <x:c r="F8" s="36" t="str">
        <x:v>Argentina</x:v>
      </x:c>
      <x:c r="G8" s="38" t="n">
        <x:v>43.2</x:v>
      </x:c>
      <x:c r="H8" s="38" t="n">
        <x:v>3</x:v>
      </x:c>
      <x:c r="I8" s="38" t="n">
        <x:f>IF(G8&gt;50,2,IF(G8&gt;30,1,0))</x:f>
        <x:v>1</x:v>
      </x:c>
      <x:c r="J8" s="38" t="n">
        <x:v>0</x:v>
      </x:c>
      <x:c r="K8" s="38" t="n">
        <x:v>0</x:v>
      </x:c>
      <x:c r="L8" s="38" t="n">
        <x:v>0</x:v>
      </x:c>
      <x:c r="M8" s="38" t="n">
        <x:v>2</x:v>
      </x:c>
      <x:c r="N8" s="38" t="n">
        <x:f>SUM(J8:M8)</x:f>
        <x:v>2</x:v>
      </x:c>
      <x:c r="O8" s="38" t="n">
        <x:f>H8+I8+N8</x:f>
        <x:v>6</x:v>
      </x:c>
      <x:c r="P8" s="36" t="str"/>
    </x:row>
    <x:row r="9">
      <x:c r="A9" s="36" t="str">
        <x:v>WARM</x:v>
      </x:c>
      <x:c r="B9" s="36" t="str">
        <x:v>Wilber Gutierrez Usedo</x:v>
      </x:c>
      <x:c r="C9" s="36" t="str">
        <x:v>wilber.g@ofi.com</x:v>
      </x:c>
      <x:c r="D9" s="36" t="str">
        <x:v>wilber.g@ofi.com</x:v>
      </x:c>
      <x:c r="E9" s="36" t="str">
        <x:v>Olam Agro Peru SAC</x:v>
      </x:c>
      <x:c r="F9" s="36" t="str">
        <x:v>Peru</x:v>
      </x:c>
      <x:c r="G9" s="38" t="n">
        <x:v>40.23</x:v>
      </x:c>
      <x:c r="H9" s="38" t="n">
        <x:v>3</x:v>
      </x:c>
      <x:c r="I9" s="38" t="n">
        <x:f>IF(G9&gt;50,2,IF(G9&gt;30,1,0))</x:f>
        <x:v>1</x:v>
      </x:c>
      <x:c r="J9" s="38" t="n">
        <x:v>1</x:v>
      </x:c>
      <x:c r="K9" s="38" t="n">
        <x:v>0</x:v>
      </x:c>
      <x:c r="L9" s="38" t="n">
        <x:v>0</x:v>
      </x:c>
      <x:c r="M9" s="38" t="n">
        <x:v>1</x:v>
      </x:c>
      <x:c r="N9" s="38" t="n">
        <x:f>SUM(J9:M9)</x:f>
        <x:v>2</x:v>
      </x:c>
      <x:c r="O9" s="38" t="n">
        <x:f>H9+I9+N9</x:f>
        <x:v>6</x:v>
      </x:c>
      <x:c r="P9" s="36" t="str">
        <x:v>[12:19] Question: Es obligatorio para todos los importadores de la UE pedir la DDD? o puede un importador no solicitar la DDD?.</x:v>
      </x:c>
    </x:row>
    <x:row r="10">
      <x:c r="A10" s="36" t="str">
        <x:v>WARM</x:v>
      </x:c>
      <x:c r="B10" s="36" t="str">
        <x:v>Gianella Lizbeth Carrion Vega</x:v>
      </x:c>
      <x:c r="C10" s="36" t="str">
        <x:v>merci@origincoffeelab.com</x:v>
      </x:c>
      <x:c r="D10" s="36" t="str">
        <x:v>merci@origincoffeelab.com</x:v>
      </x:c>
      <x:c r="E10" s="36" t="str">
        <x:v>Asociación de Productores Agroecológicos Origin Coffee Lab</x:v>
      </x:c>
      <x:c r="F10" s="36" t="str">
        <x:v>Cajamarca</x:v>
      </x:c>
      <x:c r="G10" s="38" t="n">
        <x:v>103.12</x:v>
      </x:c>
      <x:c r="H10" s="38" t="n">
        <x:v>3</x:v>
      </x:c>
      <x:c r="I10" s="38" t="n">
        <x:f>IF(G10&gt;50,2,IF(G10&gt;30,1,0))</x:f>
        <x:v>2</x:v>
      </x:c>
      <x:c r="J10" s="38" t="n">
        <x:v>0</x:v>
      </x:c>
      <x:c r="K10" s="38" t="n">
        <x:v>0</x:v>
      </x:c>
      <x:c r="L10" s="38" t="n">
        <x:v>0</x:v>
      </x:c>
      <x:c r="M10" s="38" t="n">
        <x:v>1</x:v>
      </x:c>
      <x:c r="N10" s="38" t="n">
        <x:f>SUM(J10:M10)</x:f>
        <x:v>1</x:v>
      </x:c>
      <x:c r="O10" s="38" t="n">
        <x:f>H10+I10+N10</x:f>
        <x:v>6</x:v>
      </x:c>
      <x:c r="P10" s="36" t="str"/>
    </x:row>
    <x:row r="11">
      <x:c r="A11" s="36" t="str">
        <x:v>WARM</x:v>
      </x:c>
      <x:c r="B11" s="36" t="str">
        <x:v>Branlyn Teran Ostaiza (Externo)</x:v>
      </x:c>
      <x:c r="C11" s="36" t="str">
        <x:v>branlyn.teranostaiza@ecomgroup.com</x:v>
      </x:c>
      <x:c r="D11" s="36" t="str">
        <x:v>branlyn_76@hotmail.com</x:v>
      </x:c>
      <x:c r="E11" s="36" t="str">
        <x:v>Ecom</x:v>
      </x:c>
      <x:c r="F11" s="36" t="str">
        <x:v>Ecuador</x:v>
      </x:c>
      <x:c r="G11" s="38" t="n">
        <x:v>56.35</x:v>
      </x:c>
      <x:c r="H11" s="38" t="n">
        <x:v>3</x:v>
      </x:c>
      <x:c r="I11" s="38" t="n">
        <x:f>IF(G11&gt;50,2,IF(G11&gt;30,1,0))</x:f>
        <x:v>2</x:v>
      </x:c>
      <x:c r="J11" s="38" t="n">
        <x:v>1</x:v>
      </x:c>
      <x:c r="K11" s="38" t="n">
        <x:v>0</x:v>
      </x:c>
      <x:c r="L11" s="38" t="n">
        <x:v>0</x:v>
      </x:c>
      <x:c r="M11" s="38" t="n">
        <x:v>0</x:v>
      </x:c>
      <x:c r="N11" s="38" t="n">
        <x:f>SUM(J11:M11)</x:f>
        <x:v>1</x:v>
      </x:c>
      <x:c r="O11" s="38" t="n">
        <x:f>H11+I11+N11</x:f>
        <x:v>6</x:v>
      </x:c>
      <x:c r="P11" s="36" t="str">
        <x:v>[12:44] Question: SI ya tengo una parcela que fue deforestada luego de la fecha limite, cual seria el plan de remediacion?</x:v>
      </x:c>
    </x:row>
    <x:row r="12">
      <x:c r="A12" s="36" t="str">
        <x:v>WARM</x:v>
      </x:c>
      <x:c r="B12" s="36" t="str">
        <x:v>Juan David Moreno (Externo)</x:v>
      </x:c>
      <x:c r="C12" s="36" t="str">
        <x:v>dircalidad@siesas.com.co</x:v>
      </x:c>
      <x:c r="D12" s="36" t="str">
        <x:v>dircalidad@siesas.com.co</x:v>
      </x:c>
      <x:c r="E12" s="36" t="str">
        <x:v>Oleaginosas San Marcos S.A</x:v>
      </x:c>
      <x:c r="F12" s="36" t="str">
        <x:v>Colombia</x:v>
      </x:c>
      <x:c r="G12" s="38" t="n">
        <x:v>53.08</x:v>
      </x:c>
      <x:c r="H12" s="38" t="n">
        <x:v>3</x:v>
      </x:c>
      <x:c r="I12" s="38" t="n">
        <x:f>IF(G12&gt;50,2,IF(G12&gt;30,1,0))</x:f>
        <x:v>2</x:v>
      </x:c>
      <x:c r="J12" s="38" t="n">
        <x:v>0</x:v>
      </x:c>
      <x:c r="K12" s="38" t="n">
        <x:v>0</x:v>
      </x:c>
      <x:c r="L12" s="38" t="n">
        <x:v>0</x:v>
      </x:c>
      <x:c r="M12" s="38" t="n">
        <x:v>1</x:v>
      </x:c>
      <x:c r="N12" s="38" t="n">
        <x:f>SUM(J12:M12)</x:f>
        <x:v>1</x:v>
      </x:c>
      <x:c r="O12" s="38" t="n">
        <x:f>H12+I12+N12</x:f>
        <x:v>6</x:v>
      </x:c>
      <x:c r="P12" s="36" t="str"/>
    </x:row>
    <x:row r="13">
      <x:c r="A13" s="36" t="str">
        <x:v>WARM</x:v>
      </x:c>
      <x:c r="B13" s="36" t="str">
        <x:v>Marco Coscione (No comprobado)</x:v>
      </x:c>
      <x:c r="C13" s="36" t="str">
        <x:v>marco.coscione@gmail.com</x:v>
      </x:c>
      <x:c r="D13" s="36" t="str">
        <x:v>marco.coscione@gmail.com</x:v>
      </x:c>
      <x:c r="E13" s="36" t="str">
        <x:v>Funglode</x:v>
      </x:c>
      <x:c r="F13" s="36" t="str">
        <x:v>República Dominicana</x:v>
      </x:c>
      <x:c r="G13" s="38" t="n">
        <x:v>50.42</x:v>
      </x:c>
      <x:c r="H13" s="38" t="n">
        <x:v>3</x:v>
      </x:c>
      <x:c r="I13" s="38" t="n">
        <x:f>IF(G13&gt;50,2,IF(G13&gt;30,1,0))</x:f>
        <x:v>2</x:v>
      </x:c>
      <x:c r="J13" s="38" t="n">
        <x:v>0</x:v>
      </x:c>
      <x:c r="K13" s="38" t="n">
        <x:v>0</x:v>
      </x:c>
      <x:c r="L13" s="38" t="n">
        <x:v>1</x:v>
      </x:c>
      <x:c r="M13" s="38" t="n">
        <x:v>0</x:v>
      </x:c>
      <x:c r="N13" s="38" t="n">
        <x:f>SUM(J13:M13)</x:f>
        <x:v>1</x:v>
      </x:c>
      <x:c r="O13" s="38" t="n">
        <x:f>H13+I13+N13</x:f>
        <x:v>6</x:v>
      </x:c>
      <x:c r="P13" s="36" t="str"/>
    </x:row>
    <x:row r="14">
      <x:c r="A14" s="36" t="str">
        <x:v>WARM</x:v>
      </x:c>
      <x:c r="B14" s="36" t="str">
        <x:v>Alejandro (No comprobado)</x:v>
      </x:c>
      <x:c r="C14" s="36" t="str">
        <x:v>ian.alejandro@gmail.com</x:v>
      </x:c>
      <x:c r="D14" s="36" t="str">
        <x:v>ian.alejandro@gmail.com</x:v>
      </x:c>
      <x:c r="E14" s="36" t="str">
        <x:v>Produtor Aguacate Hass</x:v>
      </x:c>
      <x:c r="F14" s="36" t="str">
        <x:v>mexico</x:v>
      </x:c>
      <x:c r="G14" s="38" t="n">
        <x:v>50.22</x:v>
      </x:c>
      <x:c r="H14" s="38" t="n">
        <x:v>3</x:v>
      </x:c>
      <x:c r="I14" s="38" t="n">
        <x:f>IF(G14&gt;50,2,IF(G14&gt;30,1,0))</x:f>
        <x:v>2</x:v>
      </x:c>
      <x:c r="J14" s="38" t="n">
        <x:v>0</x:v>
      </x:c>
      <x:c r="K14" s="38" t="n">
        <x:v>0</x:v>
      </x:c>
      <x:c r="L14" s="38" t="n">
        <x:v>0</x:v>
      </x:c>
      <x:c r="M14" s="38" t="n">
        <x:v>1</x:v>
      </x:c>
      <x:c r="N14" s="38" t="n">
        <x:f>SUM(J14:M14)</x:f>
        <x:v>1</x:v>
      </x:c>
      <x:c r="O14" s="38" t="n">
        <x:f>H14+I14+N14</x:f>
        <x:v>6</x:v>
      </x:c>
      <x:c r="P14" s="36" t="str"/>
    </x:row>
    <x:row r="15">
      <x:c r="A15" s="36" t="str">
        <x:v>WARM</x:v>
      </x:c>
      <x:c r="B15" s="36" t="str">
        <x:v>Netzza De la Cruz</x:v>
      </x:c>
      <x:c r="C15" s="36" t="str">
        <x:v>netzza.delacruz@ofi.com</x:v>
      </x:c>
      <x:c r="D15" s="36" t="str">
        <x:v>netzza.delacruz@ofi.com</x:v>
      </x:c>
      <x:c r="E15" s="36" t="str">
        <x:v>Olam Agro Peru SAC</x:v>
      </x:c>
      <x:c r="F15" s="36" t="str">
        <x:v>Perú</x:v>
      </x:c>
      <x:c r="G15" s="38" t="n">
        <x:v>49.88</x:v>
      </x:c>
      <x:c r="H15" s="38" t="n">
        <x:v>3</x:v>
      </x:c>
      <x:c r="I15" s="38" t="n">
        <x:f>IF(G15&gt;50,2,IF(G15&gt;30,1,0))</x:f>
        <x:v>1</x:v>
      </x:c>
      <x:c r="J15" s="38" t="n">
        <x:v>0</x:v>
      </x:c>
      <x:c r="K15" s="38" t="n">
        <x:v>0</x:v>
      </x:c>
      <x:c r="L15" s="38" t="n">
        <x:v>0</x:v>
      </x:c>
      <x:c r="M15" s="38" t="n">
        <x:v>1</x:v>
      </x:c>
      <x:c r="N15" s="38" t="n">
        <x:f>SUM(J15:M15)</x:f>
        <x:v>1</x:v>
      </x:c>
      <x:c r="O15" s="38" t="n">
        <x:f>H15+I15+N15</x:f>
        <x:v>5</x:v>
      </x:c>
      <x:c r="P15" s="36" t="str"/>
    </x:row>
    <x:row r="16">
      <x:c r="A16" s="36" t="str">
        <x:v>WARM</x:v>
      </x:c>
      <x:c r="B16" s="36" t="str">
        <x:v>Luis  Oliva (Externo)</x:v>
      </x:c>
      <x:c r="C16" s="36" t="str">
        <x:v>loliva@palmasdelixcan.com</x:v>
      </x:c>
      <x:c r="D16" s="36" t="str">
        <x:v>loliva@palmasdelixcan.com</x:v>
      </x:c>
      <x:c r="E16" s="36" t="str">
        <x:v>Agroindustria Palmera San Roman</x:v>
      </x:c>
      <x:c r="F16" s="36" t="str">
        <x:v>Guatemala</x:v>
      </x:c>
      <x:c r="G16" s="38" t="n">
        <x:v>48.75</x:v>
      </x:c>
      <x:c r="H16" s="38" t="n">
        <x:v>3</x:v>
      </x:c>
      <x:c r="I16" s="38" t="n">
        <x:f>IF(G16&gt;50,2,IF(G16&gt;30,1,0))</x:f>
        <x:v>1</x:v>
      </x:c>
      <x:c r="J16" s="38" t="n">
        <x:v>0</x:v>
      </x:c>
      <x:c r="K16" s="38" t="n">
        <x:v>0</x:v>
      </x:c>
      <x:c r="L16" s="38" t="n">
        <x:v>0</x:v>
      </x:c>
      <x:c r="M16" s="38" t="n">
        <x:v>1</x:v>
      </x:c>
      <x:c r="N16" s="38" t="n">
        <x:f>SUM(J16:M16)</x:f>
        <x:v>1</x:v>
      </x:c>
      <x:c r="O16" s="38" t="n">
        <x:f>H16+I16+N16</x:f>
        <x:v>5</x:v>
      </x:c>
      <x:c r="P16" s="36" t="str"/>
    </x:row>
    <x:row r="17">
      <x:c r="A17" s="36" t="str">
        <x:v>WARM</x:v>
      </x:c>
      <x:c r="B17" s="36" t="str">
        <x:v>SARITA YESICA RIVA INGA (Externo)</x:v>
      </x:c>
      <x:c r="C17" s="36" t="str">
        <x:v>syrivai@epgunheval.edu.pe</x:v>
      </x:c>
      <x:c r="D17" s="36" t="str">
        <x:v>saritarivainga@gmail.com</x:v>
      </x:c>
      <x:c r="E17" s="36" t="str">
        <x:v>Ochosur</x:v>
      </x:c>
      <x:c r="F17" s="36" t="str">
        <x:v>Perú</x:v>
      </x:c>
      <x:c r="G17" s="38" t="n">
        <x:v>47.47</x:v>
      </x:c>
      <x:c r="H17" s="38" t="n">
        <x:v>3</x:v>
      </x:c>
      <x:c r="I17" s="38" t="n">
        <x:f>IF(G17&gt;50,2,IF(G17&gt;30,1,0))</x:f>
        <x:v>1</x:v>
      </x:c>
      <x:c r="J17" s="38" t="n">
        <x:v>0</x:v>
      </x:c>
      <x:c r="K17" s="38" t="n">
        <x:v>0</x:v>
      </x:c>
      <x:c r="L17" s="38" t="n">
        <x:v>0</x:v>
      </x:c>
      <x:c r="M17" s="38" t="n">
        <x:v>1</x:v>
      </x:c>
      <x:c r="N17" s="38" t="n">
        <x:f>SUM(J17:M17)</x:f>
        <x:v>1</x:v>
      </x:c>
      <x:c r="O17" s="38" t="n">
        <x:f>H17+I17+N17</x:f>
        <x:v>5</x:v>
      </x:c>
      <x:c r="P17" s="36" t="str"/>
    </x:row>
    <x:row r="18">
      <x:c r="A18" s="36" t="str">
        <x:v>WARM</x:v>
      </x:c>
      <x:c r="B18" s="36" t="str">
        <x:v>Brayan Escobar (No comprobado)</x:v>
      </x:c>
      <x:c r="C18" s="36" t="str">
        <x:v>analistagranos@cacaohunters.com</x:v>
      </x:c>
      <x:c r="D18" s="36" t="str">
        <x:v>analistagranos@cacaohunters.com</x:v>
      </x:c>
      <x:c r="E18" s="36" t="str">
        <x:v>Cacao de Colombia S.A.S</x:v>
      </x:c>
      <x:c r="F18" s="36" t="str">
        <x:v>Colombia</x:v>
      </x:c>
      <x:c r="G18" s="38" t="n">
        <x:v>46.88</x:v>
      </x:c>
      <x:c r="H18" s="38" t="n">
        <x:v>3</x:v>
      </x:c>
      <x:c r="I18" s="38" t="n">
        <x:f>IF(G18&gt;50,2,IF(G18&gt;30,1,0))</x:f>
        <x:v>1</x:v>
      </x:c>
      <x:c r="J18" s="38" t="n">
        <x:v>0</x:v>
      </x:c>
      <x:c r="K18" s="38" t="n">
        <x:v>0</x:v>
      </x:c>
      <x:c r="L18" s="38" t="n">
        <x:v>1</x:v>
      </x:c>
      <x:c r="M18" s="38" t="n">
        <x:v>0</x:v>
      </x:c>
      <x:c r="N18" s="38" t="n">
        <x:f>SUM(J18:M18)</x:f>
        <x:v>1</x:v>
      </x:c>
      <x:c r="O18" s="38" t="n">
        <x:f>H18+I18+N18</x:f>
        <x:v>5</x:v>
      </x:c>
      <x:c r="P18" s="36" t="str"/>
    </x:row>
    <x:row r="19">
      <x:c r="A19" s="36" t="str">
        <x:v>WARM</x:v>
      </x:c>
      <x:c r="B19" s="36" t="str">
        <x:v>Leonardo (No comprobado)</x:v>
      </x:c>
      <x:c r="C19" s="36" t="str">
        <x:v>leonardo.amarilla@unc.edu.ar</x:v>
      </x:c>
      <x:c r="D19" s="36" t="str">
        <x:v>leonardo.amarilla@unc.edu.ar</x:v>
      </x:c>
      <x:c r="E19" s="36" t="str">
        <x:v>Universidad Nacional de Córdoba</x:v>
      </x:c>
      <x:c r="F19" s="36" t="str">
        <x:v>Argentina</x:v>
      </x:c>
      <x:c r="G19" s="38" t="n">
        <x:v>43.98</x:v>
      </x:c>
      <x:c r="H19" s="38" t="n">
        <x:v>3</x:v>
      </x:c>
      <x:c r="I19" s="38" t="n">
        <x:f>IF(G19&gt;50,2,IF(G19&gt;30,1,0))</x:f>
        <x:v>1</x:v>
      </x:c>
      <x:c r="J19" s="38" t="n">
        <x:v>0</x:v>
      </x:c>
      <x:c r="K19" s="38" t="n">
        <x:v>0</x:v>
      </x:c>
      <x:c r="L19" s="38" t="n">
        <x:v>1</x:v>
      </x:c>
      <x:c r="M19" s="38" t="n">
        <x:v>0</x:v>
      </x:c>
      <x:c r="N19" s="38" t="n">
        <x:f>SUM(J19:M19)</x:f>
        <x:v>1</x:v>
      </x:c>
      <x:c r="O19" s="38" t="n">
        <x:f>H19+I19+N19</x:f>
        <x:v>5</x:v>
      </x:c>
      <x:c r="P19" s="36" t="str"/>
    </x:row>
    <x:row r="20">
      <x:c r="A20" s="36" t="str">
        <x:v>WARM</x:v>
      </x:c>
      <x:c r="B20" s="36" t="str">
        <x:v>JUAN MONTES (Externo)</x:v>
      </x:c>
      <x:c r="C20" s="36" t="str">
        <x:v>jmontes@daabon.com.co</x:v>
      </x:c>
      <x:c r="D20" s="36" t="str">
        <x:v>jmontes@daabon.com.co</x:v>
      </x:c>
      <x:c r="E20" s="36" t="str">
        <x:v>Daabon</x:v>
      </x:c>
      <x:c r="F20" s="36" t="str">
        <x:v>Colombia</x:v>
      </x:c>
      <x:c r="G20" s="38" t="n">
        <x:v>42.97</x:v>
      </x:c>
      <x:c r="H20" s="38" t="n">
        <x:v>3</x:v>
      </x:c>
      <x:c r="I20" s="38" t="n">
        <x:f>IF(G20&gt;50,2,IF(G20&gt;30,1,0))</x:f>
        <x:v>1</x:v>
      </x:c>
      <x:c r="J20" s="38" t="n">
        <x:v>1</x:v>
      </x:c>
      <x:c r="K20" s="38" t="n">
        <x:v>0</x:v>
      </x:c>
      <x:c r="L20" s="38" t="n">
        <x:v>0</x:v>
      </x:c>
      <x:c r="M20" s="38" t="n">
        <x:v>0</x:v>
      </x:c>
      <x:c r="N20" s="38" t="n">
        <x:f>SUM(J20:M20)</x:f>
        <x:v>1</x:v>
      </x:c>
      <x:c r="O20" s="38" t="n">
        <x:f>H20+I20+N20</x:f>
        <x:v>5</x:v>
      </x:c>
      <x:c r="P20" s="36" t="str">
        <x:v>[12:44] Reply: Desde colombia, para palma, si tengo implementados mis sistemas para recolección de información, puede servirme el protocolo y o el DFS como certificaciones de una verificación por terceros de mi información, como cumplimiento de eudr? me entregarían algun perfil IRF de mi organización? se manejaría como una auditoría anual? que herramienta hace el análisis geoespacial</x:v>
      </x:c>
    </x:row>
    <x:row r="21">
      <x:c r="A21" s="36" t="str">
        <x:v>WARM</x:v>
      </x:c>
      <x:c r="B21" s="36" t="str">
        <x:v>Diana Rocío Sánchez Infante (Externo)</x:v>
      </x:c>
      <x:c r="C21" s="36" t="str">
        <x:v>asisadministrativa@ecosantana.com</x:v>
      </x:c>
      <x:c r="D21" s="36" t="str"/>
      <x:c r="E21" s="36" t="str"/>
      <x:c r="F21" s="36" t="str"/>
      <x:c r="G21" s="38" t="n">
        <x:v>41.48</x:v>
      </x:c>
      <x:c r="H21" s="38" t="n">
        <x:v>3</x:v>
      </x:c>
      <x:c r="I21" s="38" t="n">
        <x:f>IF(G21&gt;50,2,IF(G21&gt;30,1,0))</x:f>
        <x:v>1</x:v>
      </x:c>
      <x:c r="J21" s="38" t="n">
        <x:v>0</x:v>
      </x:c>
      <x:c r="K21" s="38" t="n">
        <x:v>0</x:v>
      </x:c>
      <x:c r="L21" s="38" t="n">
        <x:v>0</x:v>
      </x:c>
      <x:c r="M21" s="38" t="n">
        <x:v>1</x:v>
      </x:c>
      <x:c r="N21" s="38" t="n">
        <x:f>SUM(J21:M21)</x:f>
        <x:v>1</x:v>
      </x:c>
      <x:c r="O21" s="38" t="n">
        <x:f>H21+I21+N21</x:f>
        <x:v>5</x:v>
      </x:c>
      <x:c r="P21" s="36" t="str"/>
    </x:row>
    <x:row r="22">
      <x:c r="A22" s="36" t="str">
        <x:v>WARM</x:v>
      </x:c>
      <x:c r="B22" s="36" t="str">
        <x:v>Maiten Castro Alarcon</x:v>
      </x:c>
      <x:c r="C22" s="36" t="str">
        <x:v>maiten.castro@ofi.com</x:v>
      </x:c>
      <x:c r="D22" s="36" t="str">
        <x:v>wilber.g@ofi.com</x:v>
      </x:c>
      <x:c r="E22" s="36" t="str">
        <x:v>Olam Agro Peru SAC</x:v>
      </x:c>
      <x:c r="F22" s="36" t="str">
        <x:v>Peru</x:v>
      </x:c>
      <x:c r="G22" s="38" t="n">
        <x:v>40.83</x:v>
      </x:c>
      <x:c r="H22" s="38" t="n">
        <x:v>3</x:v>
      </x:c>
      <x:c r="I22" s="38" t="n">
        <x:f>IF(G22&gt;50,2,IF(G22&gt;30,1,0))</x:f>
        <x:v>1</x:v>
      </x:c>
      <x:c r="J22" s="38" t="n">
        <x:v>0</x:v>
      </x:c>
      <x:c r="K22" s="38" t="n">
        <x:v>0</x:v>
      </x:c>
      <x:c r="L22" s="38" t="n">
        <x:v>0</x:v>
      </x:c>
      <x:c r="M22" s="38" t="n">
        <x:v>1</x:v>
      </x:c>
      <x:c r="N22" s="38" t="n">
        <x:f>SUM(J22:M22)</x:f>
        <x:v>1</x:v>
      </x:c>
      <x:c r="O22" s="38" t="n">
        <x:f>H22+I22+N22</x:f>
        <x:v>5</x:v>
      </x:c>
      <x:c r="P22" s="36" t="str"/>
    </x:row>
    <x:row r="23">
      <x:c r="A23" s="36" t="str">
        <x:v>WARM</x:v>
      </x:c>
      <x:c r="B23" s="36" t="str">
        <x:v>Ines Collazo (Externo)</x:v>
      </x:c>
      <x:c r="C23" s="36" t="str">
        <x:v>icollazo@cousa.com</x:v>
      </x:c>
      <x:c r="D23" s="36" t="str">
        <x:v>icollazo@cousa.com</x:v>
      </x:c>
      <x:c r="E23" s="36" t="str">
        <x:v>COUSA</x:v>
      </x:c>
      <x:c r="F23" s="36" t="str">
        <x:v>Uruguay</x:v>
      </x:c>
      <x:c r="G23" s="38" t="n">
        <x:v>37.03</x:v>
      </x:c>
      <x:c r="H23" s="38" t="n">
        <x:v>3</x:v>
      </x:c>
      <x:c r="I23" s="38" t="n">
        <x:f>IF(G23&gt;50,2,IF(G23&gt;30,1,0))</x:f>
        <x:v>1</x:v>
      </x:c>
      <x:c r="J23" s="38" t="n">
        <x:v>0</x:v>
      </x:c>
      <x:c r="K23" s="38" t="n">
        <x:v>0</x:v>
      </x:c>
      <x:c r="L23" s="38" t="n">
        <x:v>0</x:v>
      </x:c>
      <x:c r="M23" s="38" t="n">
        <x:v>1</x:v>
      </x:c>
      <x:c r="N23" s="38" t="n">
        <x:f>SUM(J23:M23)</x:f>
        <x:v>1</x:v>
      </x:c>
      <x:c r="O23" s="38" t="n">
        <x:f>H23+I23+N23</x:f>
        <x:v>5</x:v>
      </x:c>
      <x:c r="P23" s="36" t="str"/>
    </x:row>
    <x:row r="24">
      <x:c r="A24" s="36" t="str">
        <x:v>WARM</x:v>
      </x:c>
      <x:c r="B24" s="36" t="str">
        <x:v>Mirta Senovia Madrid Tomé (No comprobado)</x:v>
      </x:c>
      <x:c r="C24" s="36" t="str">
        <x:v>mirtatome@gmail.com</x:v>
      </x:c>
      <x:c r="D24" s="36" t="str">
        <x:v>mirtatome@gmail.com</x:v>
      </x:c>
      <x:c r="E24" s="36" t="str">
        <x:v>PROSERIN</x:v>
      </x:c>
      <x:c r="F24" s="36" t="str">
        <x:v>Honduras</x:v>
      </x:c>
      <x:c r="G24" s="38" t="n">
        <x:v>33.47</x:v>
      </x:c>
      <x:c r="H24" s="38" t="n">
        <x:v>3</x:v>
      </x:c>
      <x:c r="I24" s="38" t="n">
        <x:f>IF(G24&gt;50,2,IF(G24&gt;30,1,0))</x:f>
        <x:v>1</x:v>
      </x:c>
      <x:c r="J24" s="38" t="n">
        <x:v>0</x:v>
      </x:c>
      <x:c r="K24" s="38" t="n">
        <x:v>0</x:v>
      </x:c>
      <x:c r="L24" s="38" t="n">
        <x:v>0</x:v>
      </x:c>
      <x:c r="M24" s="38" t="n">
        <x:v>1</x:v>
      </x:c>
      <x:c r="N24" s="38" t="n">
        <x:f>SUM(J24:M24)</x:f>
        <x:v>1</x:v>
      </x:c>
      <x:c r="O24" s="38" t="n">
        <x:f>H24+I24+N24</x:f>
        <x:v>5</x:v>
      </x:c>
      <x:c r="P24" s="36" t="str"/>
    </x:row>
    <x:row r="25">
      <x:c r="A25" s="36" t="str">
        <x:v>WARM</x:v>
      </x:c>
      <x:c r="B25" s="36" t="str">
        <x:v>Liliana Neyra Roman</x:v>
      </x:c>
      <x:c r="C25" s="36" t="str">
        <x:v>liliana.neyraroman@ofi.com</x:v>
      </x:c>
      <x:c r="D25" s="36" t="str">
        <x:v>liliana.neyraroman@ofi.com</x:v>
      </x:c>
      <x:c r="E25" s="36" t="str">
        <x:v>OLAM</x:v>
      </x:c>
      <x:c r="F25" s="36" t="str">
        <x:v>Perú</x:v>
      </x:c>
      <x:c r="G25" s="38" t="n">
        <x:v>30.83</x:v>
      </x:c>
      <x:c r="H25" s="38" t="n">
        <x:v>3</x:v>
      </x:c>
      <x:c r="I25" s="38" t="n">
        <x:f>IF(G25&gt;50,2,IF(G25&gt;30,1,0))</x:f>
        <x:v>1</x:v>
      </x:c>
      <x:c r="J25" s="38" t="n">
        <x:v>0</x:v>
      </x:c>
      <x:c r="K25" s="38" t="n">
        <x:v>0</x:v>
      </x:c>
      <x:c r="L25" s="38" t="n">
        <x:v>0</x:v>
      </x:c>
      <x:c r="M25" s="38" t="n">
        <x:v>1</x:v>
      </x:c>
      <x:c r="N25" s="38" t="n">
        <x:f>SUM(J25:M25)</x:f>
        <x:v>1</x:v>
      </x:c>
      <x:c r="O25" s="38" t="n">
        <x:f>H25+I25+N25</x:f>
        <x:v>5</x:v>
      </x:c>
      <x:c r="P25" s="36" t="str"/>
    </x:row>
    <x:row r="26">
      <x:c r="A26" s="36" t="str">
        <x:v>WARM</x:v>
      </x:c>
      <x:c r="B26" s="36" t="str">
        <x:v>Alexandra Morocho (No comprobado)</x:v>
      </x:c>
      <x:c r="C26" s="36" t="str">
        <x:v>agricolaelrecuerdof@aol.com</x:v>
      </x:c>
      <x:c r="D26" s="36" t="str">
        <x:v>agricolaelrecuerdof@aol.com</x:v>
      </x:c>
      <x:c r="E26" s="36" t="str">
        <x:v>banano</x:v>
      </x:c>
      <x:c r="F26" s="36" t="str">
        <x:v>costa</x:v>
      </x:c>
      <x:c r="G26" s="38" t="n">
        <x:v>98.38</x:v>
      </x:c>
      <x:c r="H26" s="38" t="n">
        <x:v>3</x:v>
      </x:c>
      <x:c r="I26" s="38" t="n">
        <x:f>IF(G26&gt;50,2,IF(G26&gt;30,1,0))</x:f>
        <x:v>2</x:v>
      </x:c>
      <x:c r="J26" s="38" t="n">
        <x:v>0</x:v>
      </x:c>
      <x:c r="K26" s="38" t="n">
        <x:v>0</x:v>
      </x:c>
      <x:c r="L26" s="38" t="n">
        <x:v>0</x:v>
      </x:c>
      <x:c r="M26" s="38" t="n">
        <x:v>0</x:v>
      </x:c>
      <x:c r="N26" s="38" t="n">
        <x:f>SUM(J26:M26)</x:f>
        <x:v>0</x:v>
      </x:c>
      <x:c r="O26" s="38" t="n">
        <x:f>H26+I26+N26</x:f>
        <x:v>5</x:v>
      </x:c>
      <x:c r="P26" s="36" t="str"/>
    </x:row>
    <x:row r="27">
      <x:c r="A27" s="36" t="str">
        <x:v>WARM</x:v>
      </x:c>
      <x:c r="B27" s="36" t="str">
        <x:v>Angela Espinoza</x:v>
      </x:c>
      <x:c r="C27" s="36" t="str">
        <x:v>angelaespinozaperez@ymail.com</x:v>
      </x:c>
      <x:c r="D27" s="36" t="str">
        <x:v>angelaespinozaperez@ymail.com</x:v>
      </x:c>
      <x:c r="E27" s="36" t="str">
        <x:v>Empresa</x:v>
      </x:c>
      <x:c r="F27" s="36" t="str">
        <x:v>Ecuador</x:v>
      </x:c>
      <x:c r="G27" s="38" t="n">
        <x:v>96</x:v>
      </x:c>
      <x:c r="H27" s="38" t="n">
        <x:v>3</x:v>
      </x:c>
      <x:c r="I27" s="38" t="n">
        <x:f>IF(G27&gt;50,2,IF(G27&gt;30,1,0))</x:f>
        <x:v>2</x:v>
      </x:c>
      <x:c r="J27" s="38" t="n">
        <x:v>0</x:v>
      </x:c>
      <x:c r="K27" s="38" t="n">
        <x:v>0</x:v>
      </x:c>
      <x:c r="L27" s="38" t="n">
        <x:v>0</x:v>
      </x:c>
      <x:c r="M27" s="38" t="n">
        <x:v>0</x:v>
      </x:c>
      <x:c r="N27" s="38" t="n">
        <x:f>SUM(J27:M27)</x:f>
        <x:v>0</x:v>
      </x:c>
      <x:c r="O27" s="38" t="n">
        <x:f>H27+I27+N27</x:f>
        <x:v>5</x:v>
      </x:c>
      <x:c r="P27" s="36" t="str"/>
    </x:row>
    <x:row r="28">
      <x:c r="A28" s="36" t="str">
        <x:v>WARM</x:v>
      </x:c>
      <x:c r="B28" s="36" t="str">
        <x:v>Viviana Olaya (No comprobado)</x:v>
      </x:c>
      <x:c r="C28" s="36" t="str">
        <x:v>logistica@unicafec.com</x:v>
      </x:c>
      <x:c r="D28" s="36" t="str">
        <x:v>logistica@unicafec.com</x:v>
      </x:c>
      <x:c r="E28" s="36" t="str">
        <x:v>Cooperativa Unicafec</x:v>
      </x:c>
      <x:c r="F28" s="36" t="str">
        <x:v>Perú</x:v>
      </x:c>
      <x:c r="G28" s="38" t="n">
        <x:v>95.28</x:v>
      </x:c>
      <x:c r="H28" s="38" t="n">
        <x:v>3</x:v>
      </x:c>
      <x:c r="I28" s="38" t="n">
        <x:f>IF(G28&gt;50,2,IF(G28&gt;30,1,0))</x:f>
        <x:v>2</x:v>
      </x:c>
      <x:c r="J28" s="38" t="n">
        <x:v>0</x:v>
      </x:c>
      <x:c r="K28" s="38" t="n">
        <x:v>0</x:v>
      </x:c>
      <x:c r="L28" s="38" t="n">
        <x:v>0</x:v>
      </x:c>
      <x:c r="M28" s="38" t="n">
        <x:v>0</x:v>
      </x:c>
      <x:c r="N28" s="38" t="n">
        <x:f>SUM(J28:M28)</x:f>
        <x:v>0</x:v>
      </x:c>
      <x:c r="O28" s="38" t="n">
        <x:f>H28+I28+N28</x:f>
        <x:v>5</x:v>
      </x:c>
      <x:c r="P28" s="36" t="str"/>
    </x:row>
    <x:row r="29">
      <x:c r="A29" s="36" t="str">
        <x:v>WARM</x:v>
      </x:c>
      <x:c r="B29" s="36" t="str">
        <x:v>Fernando Barroso (Externo)</x:v>
      </x:c>
      <x:c r="C29" s="36" t="str">
        <x:v>f.barroso@ecuadorcolat.com</x:v>
      </x:c>
      <x:c r="D29" s="36" t="str">
        <x:v>f.barroso@ecuadorcolat.com</x:v>
      </x:c>
      <x:c r="E29" s="36" t="str">
        <x:v>Ecuadorcolat</x:v>
      </x:c>
      <x:c r="F29" s="36" t="str">
        <x:v>Ecuador</x:v>
      </x:c>
      <x:c r="G29" s="38" t="n">
        <x:v>73.5</x:v>
      </x:c>
      <x:c r="H29" s="38" t="n">
        <x:v>3</x:v>
      </x:c>
      <x:c r="I29" s="38" t="n">
        <x:f>IF(G29&gt;50,2,IF(G29&gt;30,1,0))</x:f>
        <x:v>2</x:v>
      </x:c>
      <x:c r="J29" s="38" t="n">
        <x:v>0</x:v>
      </x:c>
      <x:c r="K29" s="38" t="n">
        <x:v>0</x:v>
      </x:c>
      <x:c r="L29" s="38" t="n">
        <x:v>0</x:v>
      </x:c>
      <x:c r="M29" s="38" t="n">
        <x:v>0</x:v>
      </x:c>
      <x:c r="N29" s="38" t="n">
        <x:f>SUM(J29:M29)</x:f>
        <x:v>0</x:v>
      </x:c>
      <x:c r="O29" s="38" t="n">
        <x:f>H29+I29+N29</x:f>
        <x:v>5</x:v>
      </x:c>
      <x:c r="P29" s="36" t="str"/>
    </x:row>
    <x:row r="30">
      <x:c r="A30" s="36" t="str">
        <x:v>WARM</x:v>
      </x:c>
      <x:c r="B30" s="36" t="str">
        <x:v>Cristhian Daniel Cespedes Krauspenhar (No comprobado)</x:v>
      </x:c>
      <x:c r="C30" s="36" t="str">
        <x:v>her.fornecimiento@lar.com.py</x:v>
      </x:c>
      <x:c r="D30" s="36" t="str">
        <x:v>her.fornecimiento@lar.com.py</x:v>
      </x:c>
      <x:c r="E30" s="36" t="str">
        <x:v>LAR PY</x:v>
      </x:c>
      <x:c r="F30" s="36" t="str">
        <x:v>Paraguay</x:v>
      </x:c>
      <x:c r="G30" s="38" t="n">
        <x:v>59.33</x:v>
      </x:c>
      <x:c r="H30" s="38" t="n">
        <x:v>3</x:v>
      </x:c>
      <x:c r="I30" s="38" t="n">
        <x:f>IF(G30&gt;50,2,IF(G30&gt;30,1,0))</x:f>
        <x:v>2</x:v>
      </x:c>
      <x:c r="J30" s="38" t="n">
        <x:v>0</x:v>
      </x:c>
      <x:c r="K30" s="38" t="n">
        <x:v>0</x:v>
      </x:c>
      <x:c r="L30" s="38" t="n">
        <x:v>0</x:v>
      </x:c>
      <x:c r="M30" s="38" t="n">
        <x:v>0</x:v>
      </x:c>
      <x:c r="N30" s="38" t="n">
        <x:f>SUM(J30:M30)</x:f>
        <x:v>0</x:v>
      </x:c>
      <x:c r="O30" s="38" t="n">
        <x:f>H30+I30+N30</x:f>
        <x:v>5</x:v>
      </x:c>
      <x:c r="P30" s="36" t="str"/>
    </x:row>
    <x:row r="31">
      <x:c r="A31" s="36" t="str">
        <x:v>WARM</x:v>
      </x:c>
      <x:c r="B31" s="36" t="str">
        <x:v>Fernando Mancheno Abad</x:v>
      </x:c>
      <x:c r="C31" s="36" t="str">
        <x:v>Fernando.Mancheno@interoc.biz</x:v>
      </x:c>
      <x:c r="D31" s="36" t="str">
        <x:v>fernando.mancheno@interoc.biz</x:v>
      </x:c>
      <x:c r="E31" s="36" t="str">
        <x:v>INTEROC S.A.</x:v>
      </x:c>
      <x:c r="F31" s="36" t="str">
        <x:v>Ecuador</x:v>
      </x:c>
      <x:c r="G31" s="38" t="n">
        <x:v>53.43</x:v>
      </x:c>
      <x:c r="H31" s="38" t="n">
        <x:v>3</x:v>
      </x:c>
      <x:c r="I31" s="38" t="n">
        <x:f>IF(G31&gt;50,2,IF(G31&gt;30,1,0))</x:f>
        <x:v>2</x:v>
      </x:c>
      <x:c r="J31" s="38" t="n">
        <x:v>0</x:v>
      </x:c>
      <x:c r="K31" s="38" t="n">
        <x:v>0</x:v>
      </x:c>
      <x:c r="L31" s="38" t="n">
        <x:v>0</x:v>
      </x:c>
      <x:c r="M31" s="38" t="n">
        <x:v>0</x:v>
      </x:c>
      <x:c r="N31" s="38" t="n">
        <x:f>SUM(J31:M31)</x:f>
        <x:v>0</x:v>
      </x:c>
      <x:c r="O31" s="38" t="n">
        <x:f>H31+I31+N31</x:f>
        <x:v>5</x:v>
      </x:c>
      <x:c r="P31" s="36" t="str"/>
    </x:row>
    <x:row r="32">
      <x:c r="A32" s="36" t="str">
        <x:v>WARM</x:v>
      </x:c>
      <x:c r="B32" s="36" t="str">
        <x:v>Maria Paula Salgado (No comprobado)</x:v>
      </x:c>
      <x:c r="C32" s="36" t="str">
        <x:v>maria.salgado@alianzateam.com</x:v>
      </x:c>
      <x:c r="D32" s="36" t="str">
        <x:v>maria.salgado@alianzateam.com</x:v>
      </x:c>
      <x:c r="E32" s="36" t="str">
        <x:v>TEAM FOODS</x:v>
      </x:c>
      <x:c r="F32" s="36" t="str">
        <x:v>Colombia</x:v>
      </x:c>
      <x:c r="G32" s="38" t="n">
        <x:v>51.87</x:v>
      </x:c>
      <x:c r="H32" s="38" t="n">
        <x:v>3</x:v>
      </x:c>
      <x:c r="I32" s="38" t="n">
        <x:f>IF(G32&gt;50,2,IF(G32&gt;30,1,0))</x:f>
        <x:v>2</x:v>
      </x:c>
      <x:c r="J32" s="38" t="n">
        <x:v>0</x:v>
      </x:c>
      <x:c r="K32" s="38" t="n">
        <x:v>0</x:v>
      </x:c>
      <x:c r="L32" s="38" t="n">
        <x:v>0</x:v>
      </x:c>
      <x:c r="M32" s="38" t="n">
        <x:v>0</x:v>
      </x:c>
      <x:c r="N32" s="38" t="n">
        <x:f>SUM(J32:M32)</x:f>
        <x:v>0</x:v>
      </x:c>
      <x:c r="O32" s="38" t="n">
        <x:f>H32+I32+N32</x:f>
        <x:v>5</x:v>
      </x:c>
      <x:c r="P32" s="36" t="str"/>
    </x:row>
    <x:row r="33">
      <x:c r="A33" s="36" t="str">
        <x:v>WARM</x:v>
      </x:c>
      <x:c r="B33" s="36" t="str">
        <x:v>Facundo (No comprobado)</x:v>
      </x:c>
      <x:c r="C33" s="36" t="str">
        <x:v>facuboladeras@gmail.com</x:v>
      </x:c>
      <x:c r="D33" s="36" t="str">
        <x:v>facuboladeras@gmail.com</x:v>
      </x:c>
      <x:c r="E33" s="36" t="str">
        <x:v>Facultad de Ciencia y Tecnología - UADER</x:v>
      </x:c>
      <x:c r="F33" s="36" t="str">
        <x:v>Argentina</x:v>
      </x:c>
      <x:c r="G33" s="38" t="n">
        <x:v>50.78</x:v>
      </x:c>
      <x:c r="H33" s="38" t="n">
        <x:v>3</x:v>
      </x:c>
      <x:c r="I33" s="38" t="n">
        <x:f>IF(G33&gt;50,2,IF(G33&gt;30,1,0))</x:f>
        <x:v>2</x:v>
      </x:c>
      <x:c r="J33" s="38" t="n">
        <x:v>0</x:v>
      </x:c>
      <x:c r="K33" s="38" t="n">
        <x:v>0</x:v>
      </x:c>
      <x:c r="L33" s="38" t="n">
        <x:v>0</x:v>
      </x:c>
      <x:c r="M33" s="38" t="n">
        <x:v>0</x:v>
      </x:c>
      <x:c r="N33" s="38" t="n">
        <x:f>SUM(J33:M33)</x:f>
        <x:v>0</x:v>
      </x:c>
      <x:c r="O33" s="38" t="n">
        <x:f>H33+I33+N33</x:f>
        <x:v>5</x:v>
      </x:c>
      <x:c r="P33" s="36" t="str"/>
    </x:row>
  </x:sheetData>
  <x:mergeCells>
    <x:mergeCell ref="A1:P1"/>
    <x:mergeCell ref="A2:P2"/>
    <x:mergeCell ref="A3:C3"/>
    <x:mergeCell ref="A4:C4"/>
    <x:mergeCell ref="E3:G3"/>
    <x:mergeCell ref="E4:G4"/>
    <x:mergeCell ref="I3:K3"/>
    <x:mergeCell ref="I4:K4"/>
    <x:mergeCell ref="M3:O3"/>
    <x:mergeCell ref="M4:O4"/>
  </x:mergeCells>
  <x:conditionalFormatting sqref="A7:P33">
    <x:cfRule type="expression" dxfId="0" priority="1">
      <x:formula>$A7="HOT"</x:formula>
    </x:cfRule>
    <x:cfRule type="expression" dxfId="1" priority="2">
      <x:formula>$A7="WARM"</x:formula>
    </x:cfRule>
  </x:conditionalFormatting>
  <x:conditionalFormatting sqref="O7:O33">
    <x:cfRule type="dataBar" priority="3">
      <x:dataBar>
        <x:cfvo type="min"/>
        <x:cfvo type="max"/>
        <x:color rgb="FFA02B93"/>
      </x:dataBar>
      <x:extLst>
        <x:ext xmlns:x14="http://schemas.microsoft.com/office/spreadsheetml/2009/9/main" uri="{B025F937-C7B1-47D3-B67F-A62EFF666E3E}">
          <x14:id>{E62D7FA1-4B18-8A75-CDC9-3823D4CD5C82}</x14:id>
        </x:ext>
      </x:extLst>
    </x:cfRule>
  </x:conditionalFormatting>
  <x:pageMargins left="0.7" right="0.7" top="0.75" bottom="0.75" header="0.3" footer="0.3"/>
  <x:tableParts count="1">
    <x:tablePart xmlns:r="http://schemas.openxmlformats.org/officeDocument/2006/relationships" r:id="Rd6213f4202804f01"/>
  </x:tableParts>
  <x:extLst>
    <x:ext xmlns:x14="http://schemas.microsoft.com/office/spreadsheetml/2009/9/main" xmlns:xm="http://schemas.microsoft.com/office/excel/2006/main" uri="{78C0D931-6437-407d-A8EE-F0AAD7539E65}">
      <x14:conditionalFormattings>
        <x14:conditionalFormatting>
          <x14:cfRule type="dataBar" priority="3" id="{E62D7FA1-4B18-8A75-CDC9-3823D4CD5C82}">
            <x14:dataBar gradient="1">
              <x14:cfvo type="min"/>
              <x14:cfvo type="max"/>
              <x14:fillColor rgb="FFA02B93"/>
            </x14:dataBar>
          </x14:cfRule>
          <xm:sqref>O7:O33</xm:sqref>
        </x14:conditionalFormatting>
      </x14:conditionalFormattings>
    </x:ext>
  </x:extLst>
</x:worksheet>
</file>

<file path=xl/worksheets/sheet2.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34" hidden="0" customWidth="1"/>
    <x:col min="5" max="5" width="20" hidden="0" customWidth="1"/>
    <x:col min="6" max="6" width="22" hidden="0" customWidth="1"/>
    <x:col min="7" max="7" width="18" hidden="0" customWidth="1"/>
    <x:col min="8" max="8" width="13" hidden="0" customWidth="1"/>
    <x:col min="9" max="9" width="13" hidden="0" customWidth="1"/>
    <x:col min="10" max="10" width="11" hidden="0" customWidth="1"/>
    <x:col min="11" max="11" width="13" hidden="0" customWidth="1"/>
    <x:col min="12" max="12" width="18" hidden="0" customWidth="1"/>
  </x:cols>
  <x:sheetData>
    <x:row r="1">
      <x:c r="A1" s="3" t="str">
        <x:v>Webinar EUDR | Registrados</x:v>
      </x:c>
      <x:c r="B1" s="3"/>
      <x:c r="C1" s="3"/>
      <x:c r="D1" s="3"/>
      <x:c r="E1" s="3"/>
      <x:c r="F1" s="3"/>
      <x:c r="G1" s="3"/>
      <x:c r="H1" s="3"/>
      <x:c r="I1" s="3"/>
      <x:c r="J1" s="3"/>
      <x:c r="K1" s="3"/>
      <x:c r="L1" s="3"/>
    </x:row>
    <x:row r="2">
      <x:c r="A2" s="10" t="str">
        <x:v>295 active registrations from the latest Teams registration report. 2 cancelled registrations excluded. External contacts first; Control Union / Peterson at the bottom.</x:v>
      </x:c>
      <x:c r="B2" s="10"/>
      <x:c r="C2" s="10"/>
      <x:c r="D2" s="10"/>
      <x:c r="E2" s="10"/>
      <x:c r="F2" s="10"/>
      <x:c r="G2" s="10"/>
      <x:c r="H2" s="10"/>
      <x:c r="I2" s="10"/>
      <x:c r="J2" s="10"/>
      <x:c r="K2" s="10"/>
      <x:c r="L2" s="10"/>
    </x:row>
    <x:row r="3">
      <x:c r="A3" s="16" t="str">
        <x:v>Active registered</x:v>
      </x:c>
      <x:c r="B3" s="16"/>
      <x:c r="C3" s="16"/>
      <x:c r="D3" s="16" t="str">
        <x:v>External</x:v>
      </x:c>
      <x:c r="E3" s="16"/>
      <x:c r="F3" s="16"/>
      <x:c r="G3" s="16" t="str">
        <x:v>CU / Peterson</x:v>
      </x:c>
      <x:c r="H3" s="16"/>
      <x:c r="I3" s="16"/>
      <x:c r="J3" s="16" t="str">
        <x:v>Matched attendees</x:v>
      </x:c>
      <x:c r="K3" s="16"/>
      <x:c r="L3" s="16"/>
    </x:row>
    <x:row r="4">
      <x:c r="A4" s="22" t="n">
        <x:v>295</x:v>
      </x:c>
      <x:c r="B4" s="22"/>
      <x:c r="C4" s="22"/>
      <x:c r="D4" s="22" t="n">
        <x:v>254</x:v>
      </x:c>
      <x:c r="E4" s="22"/>
      <x:c r="F4" s="22"/>
      <x:c r="G4" s="22" t="n">
        <x:v>41</x:v>
      </x:c>
      <x:c r="H4" s="22"/>
      <x:c r="I4" s="22"/>
      <x:c r="J4" s="22" t="n">
        <x:v>123</x:v>
      </x:c>
      <x:c r="K4" s="22"/>
      <x:c r="L4" s="22"/>
    </x:row>
    <x:row r="6">
      <x:c r="A6" s="28" t="str">
        <x:v>Priority</x:v>
      </x:c>
      <x:c r="B6" s="28" t="str">
        <x:v>Name</x:v>
      </x:c>
      <x:c r="C6" s="28" t="str">
        <x:v>Email</x:v>
      </x:c>
      <x:c r="D6" s="28" t="str">
        <x:v>Company / Organization</x:v>
      </x:c>
      <x:c r="E6" s="28" t="str">
        <x:v>Country / Region</x:v>
      </x:c>
      <x:c r="F6" s="28" t="str">
        <x:v>Registration Time</x:v>
      </x:c>
      <x:c r="G6" s="28" t="str">
        <x:v>Status</x:v>
      </x:c>
      <x:c r="H6" s="28" t="str">
        <x:v>Attended?</x:v>
      </x:c>
      <x:c r="I6" s="28" t="str">
        <x:v>Time (min)</x:v>
      </x:c>
      <x:c r="J6" s="28" t="str">
        <x:v>Score</x:v>
      </x:c>
      <x:c r="K6" s="28" t="str">
        <x:v>Lead Tier</x:v>
      </x:c>
      <x:c r="L6" s="28" t="str">
        <x:v>Commercial Priority</x:v>
      </x:c>
    </x:row>
    <x:row r="7">
      <x:c r="A7" s="34" t="str">
        <x:v>External</x:v>
      </x:c>
      <x:c r="B7" s="34" t="str">
        <x:v>Darlin Cristina Mejía Cerón</x:v>
      </x:c>
      <x:c r="C7" s="34" t="str">
        <x:v>dcmejia@pantaleon.com</x:v>
      </x:c>
      <x:c r="D7" s="34" t="str">
        <x:v>Pantaleon S.A.</x:v>
      </x:c>
      <x:c r="E7" s="34" t="str">
        <x:v>Guatemala</x:v>
      </x:c>
      <x:c r="F7" s="40" t="n">
        <x:v>46238.47673611111</x:v>
      </x:c>
      <x:c r="G7" s="34" t="str">
        <x:v>Registrado</x:v>
      </x:c>
      <x:c r="H7" s="34" t="str">
        <x:v>Yes</x:v>
      </x:c>
      <x:c r="I7" s="42" t="n">
        <x:v>37.6</x:v>
      </x:c>
      <x:c r="J7" s="42" t="n">
        <x:v>9</x:v>
      </x:c>
      <x:c r="K7" s="34" t="str">
        <x:v>HOT</x:v>
      </x:c>
      <x:c r="L7" s="34" t="str">
        <x:v>HOT</x:v>
      </x:c>
    </x:row>
    <x:row r="8">
      <x:c r="A8" s="34" t="str">
        <x:v>External</x:v>
      </x:c>
      <x:c r="B8" s="34" t="str">
        <x:v>Branlyn Teran</x:v>
      </x:c>
      <x:c r="C8" s="34" t="str">
        <x:v>branlyn_76@hotmail.com</x:v>
      </x:c>
      <x:c r="D8" s="34" t="str">
        <x:v>Ecom</x:v>
      </x:c>
      <x:c r="E8" s="34" t="str">
        <x:v>Ecuador</x:v>
      </x:c>
      <x:c r="F8" s="40" t="n">
        <x:v>46260.02846064815</x:v>
      </x:c>
      <x:c r="G8" s="34" t="str">
        <x:v>Registrado</x:v>
      </x:c>
      <x:c r="H8" s="34" t="str">
        <x:v>Yes</x:v>
      </x:c>
      <x:c r="I8" s="42" t="n">
        <x:v>56.35</x:v>
      </x:c>
      <x:c r="J8" s="42" t="n">
        <x:v>6</x:v>
      </x:c>
      <x:c r="K8" s="34" t="str">
        <x:v>WARM</x:v>
      </x:c>
      <x:c r="L8" s="34" t="str">
        <x:v>WARM</x:v>
      </x:c>
    </x:row>
    <x:row r="9">
      <x:c r="A9" s="34" t="str">
        <x:v>External</x:v>
      </x:c>
      <x:c r="B9" s="34" t="str">
        <x:v>Carlos Calo</x:v>
      </x:c>
      <x:c r="C9" s="34" t="str">
        <x:v>carloscalo83@hotmail.com</x:v>
      </x:c>
      <x:c r="D9" s="34" t="str">
        <x:v>Service corp trading</x:v>
      </x:c>
      <x:c r="E9" s="34" t="str">
        <x:v>Argentina</x:v>
      </x:c>
      <x:c r="F9" s="40" t="n">
        <x:v>46258.420752314814</x:v>
      </x:c>
      <x:c r="G9" s="34" t="str">
        <x:v>Registrado</x:v>
      </x:c>
      <x:c r="H9" s="34" t="str">
        <x:v>Yes</x:v>
      </x:c>
      <x:c r="I9" s="42" t="n">
        <x:v>43.2</x:v>
      </x:c>
      <x:c r="J9" s="42" t="n">
        <x:v>6</x:v>
      </x:c>
      <x:c r="K9" s="34" t="str">
        <x:v>WARM</x:v>
      </x:c>
      <x:c r="L9" s="34" t="str">
        <x:v>WARM</x:v>
      </x:c>
    </x:row>
    <x:row r="10">
      <x:c r="A10" s="34" t="str">
        <x:v>External</x:v>
      </x:c>
      <x:c r="B10" s="34" t="str">
        <x:v>Ian Alejandro Fuelantala Cuastumal</x:v>
      </x:c>
      <x:c r="C10" s="34" t="str">
        <x:v>ian.alejandro@gmail.com</x:v>
      </x:c>
      <x:c r="D10" s="34" t="str">
        <x:v>Produtor Aguacate Hass</x:v>
      </x:c>
      <x:c r="E10" s="34" t="str">
        <x:v>mexico</x:v>
      </x:c>
      <x:c r="F10" s="40" t="n">
        <x:v>46258.806284722225</x:v>
      </x:c>
      <x:c r="G10" s="34" t="str">
        <x:v>Registrado</x:v>
      </x:c>
      <x:c r="H10" s="34" t="str">
        <x:v>Yes</x:v>
      </x:c>
      <x:c r="I10" s="42" t="n">
        <x:v>50.22</x:v>
      </x:c>
      <x:c r="J10" s="42" t="n">
        <x:v>6</x:v>
      </x:c>
      <x:c r="K10" s="34" t="str">
        <x:v>WARM</x:v>
      </x:c>
      <x:c r="L10" s="34" t="str">
        <x:v>WARM</x:v>
      </x:c>
    </x:row>
    <x:row r="11">
      <x:c r="A11" s="34" t="str">
        <x:v>External</x:v>
      </x:c>
      <x:c r="B11" s="34" t="str">
        <x:v>Juan David Moreno Torres</x:v>
      </x:c>
      <x:c r="C11" s="34" t="str">
        <x:v>dircalidad@siesas.com.co</x:v>
      </x:c>
      <x:c r="D11" s="34" t="str">
        <x:v>Oleaginosas San Marcos S.A</x:v>
      </x:c>
      <x:c r="E11" s="34" t="str">
        <x:v>Colombia</x:v>
      </x:c>
      <x:c r="F11" s="40" t="n">
        <x:v>46238.36833333333</x:v>
      </x:c>
      <x:c r="G11" s="34" t="str">
        <x:v>Registrado</x:v>
      </x:c>
      <x:c r="H11" s="34" t="str">
        <x:v>Yes</x:v>
      </x:c>
      <x:c r="I11" s="42" t="n">
        <x:v>53.08</x:v>
      </x:c>
      <x:c r="J11" s="42" t="n">
        <x:v>6</x:v>
      </x:c>
      <x:c r="K11" s="34" t="str">
        <x:v>WARM</x:v>
      </x:c>
      <x:c r="L11" s="34" t="str">
        <x:v>WARM</x:v>
      </x:c>
    </x:row>
    <x:row r="12">
      <x:c r="A12" s="34" t="str">
        <x:v>External</x:v>
      </x:c>
      <x:c r="B12" s="34" t="str">
        <x:v>Marco Coscione</x:v>
      </x:c>
      <x:c r="C12" s="34" t="str">
        <x:v>marco.coscione@gmail.com</x:v>
      </x:c>
      <x:c r="D12" s="34" t="str">
        <x:v>Funglode</x:v>
      </x:c>
      <x:c r="E12" s="34" t="str">
        <x:v>República Dominicana</x:v>
      </x:c>
      <x:c r="F12" s="40" t="n">
        <x:v>46259.66722222222</x:v>
      </x:c>
      <x:c r="G12" s="34" t="str">
        <x:v>Registrado</x:v>
      </x:c>
      <x:c r="H12" s="34" t="str">
        <x:v>Yes</x:v>
      </x:c>
      <x:c r="I12" s="42" t="n">
        <x:v>50.42</x:v>
      </x:c>
      <x:c r="J12" s="42" t="n">
        <x:v>6</x:v>
      </x:c>
      <x:c r="K12" s="34" t="str">
        <x:v>WARM</x:v>
      </x:c>
      <x:c r="L12" s="34" t="str">
        <x:v>WARM</x:v>
      </x:c>
    </x:row>
    <x:row r="13">
      <x:c r="A13" s="34" t="str">
        <x:v>External</x:v>
      </x:c>
      <x:c r="B13" s="34" t="str">
        <x:v>Merci Judit Fernándendez Silva</x:v>
      </x:c>
      <x:c r="C13" s="34" t="str">
        <x:v>merci@origincoffeelab.com</x:v>
      </x:c>
      <x:c r="D13" s="34" t="str">
        <x:v>Asociación de Productores Agroecológicos Origin Coffee Lab</x:v>
      </x:c>
      <x:c r="E13" s="34" t="str">
        <x:v>Cajamarca</x:v>
      </x:c>
      <x:c r="F13" s="40" t="n">
        <x:v>46239.589421296296</x:v>
      </x:c>
      <x:c r="G13" s="34" t="str">
        <x:v>Registrado</x:v>
      </x:c>
      <x:c r="H13" s="34" t="str">
        <x:v>Yes</x:v>
      </x:c>
      <x:c r="I13" s="42" t="n">
        <x:v>103.12</x:v>
      </x:c>
      <x:c r="J13" s="42" t="n">
        <x:v>6</x:v>
      </x:c>
      <x:c r="K13" s="34" t="str">
        <x:v>WARM</x:v>
      </x:c>
      <x:c r="L13" s="34" t="str">
        <x:v>WARM</x:v>
      </x:c>
    </x:row>
    <x:row r="14">
      <x:c r="A14" s="34" t="str">
        <x:v>External</x:v>
      </x:c>
      <x:c r="B14" s="34" t="str">
        <x:v>Wilber Gutierrez Usedo</x:v>
      </x:c>
      <x:c r="C14" s="34" t="str">
        <x:v>wilber.g@ofi.com</x:v>
      </x:c>
      <x:c r="D14" s="34" t="str">
        <x:v>Olam Agro Peru SAC</x:v>
      </x:c>
      <x:c r="E14" s="34" t="str">
        <x:v>Peru</x:v>
      </x:c>
      <x:c r="F14" s="40" t="n">
        <x:v>46246.47153935185</x:v>
      </x:c>
      <x:c r="G14" s="34" t="str">
        <x:v>Registrado</x:v>
      </x:c>
      <x:c r="H14" s="34" t="str">
        <x:v>Yes</x:v>
      </x:c>
      <x:c r="I14" s="42" t="n">
        <x:v>40.23</x:v>
      </x:c>
      <x:c r="J14" s="42" t="n">
        <x:v>6</x:v>
      </x:c>
      <x:c r="K14" s="34" t="str">
        <x:v>WARM</x:v>
      </x:c>
      <x:c r="L14" s="34" t="str">
        <x:v>WARM</x:v>
      </x:c>
    </x:row>
    <x:row r="15">
      <x:c r="A15" s="34" t="str">
        <x:v>External</x:v>
      </x:c>
      <x:c r="B15" s="34" t="str">
        <x:v>alexandra veronica morocho morocho</x:v>
      </x:c>
      <x:c r="C15" s="34" t="str">
        <x:v>agricolaelrecuerdof@aol.com</x:v>
      </x:c>
      <x:c r="D15" s="34" t="str">
        <x:v>banano</x:v>
      </x:c>
      <x:c r="E15" s="34" t="str">
        <x:v>costa</x:v>
      </x:c>
      <x:c r="F15" s="40" t="n">
        <x:v>46254.37608796296</x:v>
      </x:c>
      <x:c r="G15" s="34" t="str">
        <x:v>Registrado</x:v>
      </x:c>
      <x:c r="H15" s="34" t="str">
        <x:v>Yes</x:v>
      </x:c>
      <x:c r="I15" s="42" t="n">
        <x:v>98.38</x:v>
      </x:c>
      <x:c r="J15" s="42" t="n">
        <x:v>5</x:v>
      </x:c>
      <x:c r="K15" s="34" t="str">
        <x:v>WARM</x:v>
      </x:c>
      <x:c r="L15" s="34" t="str">
        <x:v>WARM</x:v>
      </x:c>
    </x:row>
    <x:row r="16">
      <x:c r="A16" s="34" t="str">
        <x:v>External</x:v>
      </x:c>
      <x:c r="B16" s="34" t="str">
        <x:v>Angela Espinoza</x:v>
      </x:c>
      <x:c r="C16" s="34" t="str">
        <x:v>angelaespinozaperez@ymail.com</x:v>
      </x:c>
      <x:c r="D16" s="34" t="str">
        <x:v>Empresa</x:v>
      </x:c>
      <x:c r="E16" s="34" t="str">
        <x:v>Ecuador</x:v>
      </x:c>
      <x:c r="F16" s="40" t="n">
        <x:v>46258.93387731481</x:v>
      </x:c>
      <x:c r="G16" s="34" t="str">
        <x:v>Registrado</x:v>
      </x:c>
      <x:c r="H16" s="34" t="str">
        <x:v>Yes</x:v>
      </x:c>
      <x:c r="I16" s="42" t="n">
        <x:v>96</x:v>
      </x:c>
      <x:c r="J16" s="42" t="n">
        <x:v>5</x:v>
      </x:c>
      <x:c r="K16" s="34" t="str">
        <x:v>WARM</x:v>
      </x:c>
      <x:c r="L16" s="34" t="str">
        <x:v>WARM</x:v>
      </x:c>
    </x:row>
    <x:row r="17">
      <x:c r="A17" s="34" t="str">
        <x:v>External</x:v>
      </x:c>
      <x:c r="B17" s="34" t="str">
        <x:v>Brayan Escobar</x:v>
      </x:c>
      <x:c r="C17" s="34" t="str">
        <x:v>analistagranos@cacaohunters.com</x:v>
      </x:c>
      <x:c r="D17" s="34" t="str">
        <x:v>Cacao de Colombia S.A.S</x:v>
      </x:c>
      <x:c r="E17" s="34" t="str">
        <x:v>Colombia</x:v>
      </x:c>
      <x:c r="F17" s="40" t="n">
        <x:v>46247.46109953704</x:v>
      </x:c>
      <x:c r="G17" s="34" t="str">
        <x:v>Registrado</x:v>
      </x:c>
      <x:c r="H17" s="34" t="str">
        <x:v>Yes</x:v>
      </x:c>
      <x:c r="I17" s="42" t="n">
        <x:v>46.88</x:v>
      </x:c>
      <x:c r="J17" s="42" t="n">
        <x:v>5</x:v>
      </x:c>
      <x:c r="K17" s="34" t="str">
        <x:v>WARM</x:v>
      </x:c>
      <x:c r="L17" s="34" t="str">
        <x:v>WARM</x:v>
      </x:c>
    </x:row>
    <x:row r="18">
      <x:c r="A18" s="34" t="str">
        <x:v>External</x:v>
      </x:c>
      <x:c r="B18" s="34" t="str">
        <x:v>Cristhian Céspedes</x:v>
      </x:c>
      <x:c r="C18" s="34" t="str">
        <x:v>her.fornecimiento@lar.com.py</x:v>
      </x:c>
      <x:c r="D18" s="34" t="str">
        <x:v>LAR PY</x:v>
      </x:c>
      <x:c r="E18" s="34" t="str">
        <x:v>Paraguay</x:v>
      </x:c>
      <x:c r="F18" s="40" t="n">
        <x:v>46240.41274305555</x:v>
      </x:c>
      <x:c r="G18" s="34" t="str">
        <x:v>Registrado</x:v>
      </x:c>
      <x:c r="H18" s="34" t="str">
        <x:v>Yes</x:v>
      </x:c>
      <x:c r="I18" s="42" t="n">
        <x:v>59.33</x:v>
      </x:c>
      <x:c r="J18" s="42" t="n">
        <x:v>5</x:v>
      </x:c>
      <x:c r="K18" s="34" t="str">
        <x:v>WARM</x:v>
      </x:c>
      <x:c r="L18" s="34" t="str">
        <x:v>WARM</x:v>
      </x:c>
    </x:row>
    <x:row r="19">
      <x:c r="A19" s="34" t="str">
        <x:v>External</x:v>
      </x:c>
      <x:c r="B19" s="34" t="str">
        <x:v>Facundo Boladeras</x:v>
      </x:c>
      <x:c r="C19" s="34" t="str">
        <x:v>facuboladeras@gmail.com</x:v>
      </x:c>
      <x:c r="D19" s="34" t="str">
        <x:v>Facultad de Ciencia y Tecnología - UADER</x:v>
      </x:c>
      <x:c r="E19" s="34" t="str">
        <x:v>Argentina</x:v>
      </x:c>
      <x:c r="F19" s="40" t="n">
        <x:v>46254.52777777778</x:v>
      </x:c>
      <x:c r="G19" s="34" t="str">
        <x:v>Registrado</x:v>
      </x:c>
      <x:c r="H19" s="34" t="str">
        <x:v>Yes</x:v>
      </x:c>
      <x:c r="I19" s="42" t="n">
        <x:v>50.78</x:v>
      </x:c>
      <x:c r="J19" s="42" t="n">
        <x:v>5</x:v>
      </x:c>
      <x:c r="K19" s="34" t="str">
        <x:v>WARM</x:v>
      </x:c>
      <x:c r="L19" s="34" t="str">
        <x:v>WARM</x:v>
      </x:c>
    </x:row>
    <x:row r="20">
      <x:c r="A20" s="34" t="str">
        <x:v>External</x:v>
      </x:c>
      <x:c r="B20" s="34" t="str">
        <x:v>Fernando Barroso</x:v>
      </x:c>
      <x:c r="C20" s="34" t="str">
        <x:v>f.barroso@ecuadorcolat.com</x:v>
      </x:c>
      <x:c r="D20" s="34" t="str">
        <x:v>Ecuadorcolat</x:v>
      </x:c>
      <x:c r="E20" s="34" t="str">
        <x:v>Ecuador</x:v>
      </x:c>
      <x:c r="F20" s="40" t="n">
        <x:v>46259.567407407405</x:v>
      </x:c>
      <x:c r="G20" s="34" t="str">
        <x:v>Registrado</x:v>
      </x:c>
      <x:c r="H20" s="34" t="str">
        <x:v>Yes</x:v>
      </x:c>
      <x:c r="I20" s="42" t="n">
        <x:v>73.5</x:v>
      </x:c>
      <x:c r="J20" s="42" t="n">
        <x:v>5</x:v>
      </x:c>
      <x:c r="K20" s="34" t="str">
        <x:v>WARM</x:v>
      </x:c>
      <x:c r="L20" s="34" t="str">
        <x:v>WARM</x:v>
      </x:c>
    </x:row>
    <x:row r="21">
      <x:c r="A21" s="34" t="str">
        <x:v>External</x:v>
      </x:c>
      <x:c r="B21" s="34" t="str">
        <x:v>Fernando Mancheno</x:v>
      </x:c>
      <x:c r="C21" s="34" t="str">
        <x:v>fernando.mancheno@interoc.biz</x:v>
      </x:c>
      <x:c r="D21" s="34" t="str">
        <x:v>INTEROC S.A.</x:v>
      </x:c>
      <x:c r="E21" s="34" t="str">
        <x:v>Ecuador</x:v>
      </x:c>
      <x:c r="F21" s="40" t="n">
        <x:v>46240.56153935185</x:v>
      </x:c>
      <x:c r="G21" s="34" t="str">
        <x:v>Registrado</x:v>
      </x:c>
      <x:c r="H21" s="34" t="str">
        <x:v>Yes</x:v>
      </x:c>
      <x:c r="I21" s="42" t="n">
        <x:v>53.43</x:v>
      </x:c>
      <x:c r="J21" s="42" t="n">
        <x:v>5</x:v>
      </x:c>
      <x:c r="K21" s="34" t="str">
        <x:v>WARM</x:v>
      </x:c>
      <x:c r="L21" s="34" t="str">
        <x:v>WARM</x:v>
      </x:c>
    </x:row>
    <x:row r="22">
      <x:c r="A22" s="34" t="str">
        <x:v>External</x:v>
      </x:c>
      <x:c r="B22" s="34" t="str">
        <x:v>Ines Collazo</x:v>
      </x:c>
      <x:c r="C22" s="34" t="str">
        <x:v>icollazo@cousa.com</x:v>
      </x:c>
      <x:c r="D22" s="34" t="str">
        <x:v>COUSA</x:v>
      </x:c>
      <x:c r="E22" s="34" t="str">
        <x:v>Uruguay</x:v>
      </x:c>
      <x:c r="F22" s="40" t="n">
        <x:v>46258.43703703704</x:v>
      </x:c>
      <x:c r="G22" s="34" t="str">
        <x:v>Registrado</x:v>
      </x:c>
      <x:c r="H22" s="34" t="str">
        <x:v>Yes</x:v>
      </x:c>
      <x:c r="I22" s="42" t="n">
        <x:v>37.03</x:v>
      </x:c>
      <x:c r="J22" s="42" t="n">
        <x:v>5</x:v>
      </x:c>
      <x:c r="K22" s="34" t="str">
        <x:v>WARM</x:v>
      </x:c>
      <x:c r="L22" s="34" t="str">
        <x:v>WARM</x:v>
      </x:c>
    </x:row>
    <x:row r="23">
      <x:c r="A23" s="34" t="str">
        <x:v>External</x:v>
      </x:c>
      <x:c r="B23" s="34" t="str">
        <x:v>Juan Camilo Montes hoyos</x:v>
      </x:c>
      <x:c r="C23" s="34" t="str">
        <x:v>jmontes@daabon.com.co</x:v>
      </x:c>
      <x:c r="D23" s="34" t="str">
        <x:v>Daabon</x:v>
      </x:c>
      <x:c r="E23" s="34" t="str">
        <x:v>Colombia</x:v>
      </x:c>
      <x:c r="F23" s="40" t="n">
        <x:v>46260.089733796296</x:v>
      </x:c>
      <x:c r="G23" s="34" t="str">
        <x:v>Registrado</x:v>
      </x:c>
      <x:c r="H23" s="34" t="str">
        <x:v>Yes</x:v>
      </x:c>
      <x:c r="I23" s="42" t="n">
        <x:v>42.97</x:v>
      </x:c>
      <x:c r="J23" s="42" t="n">
        <x:v>5</x:v>
      </x:c>
      <x:c r="K23" s="34" t="str">
        <x:v>WARM</x:v>
      </x:c>
      <x:c r="L23" s="34" t="str">
        <x:v>WARM</x:v>
      </x:c>
    </x:row>
    <x:row r="24">
      <x:c r="A24" s="34" t="str">
        <x:v>External</x:v>
      </x:c>
      <x:c r="B24" s="34" t="str">
        <x:v>Leonardo Amarilla</x:v>
      </x:c>
      <x:c r="C24" s="34" t="str">
        <x:v>leonardo.amarilla@unc.edu.ar</x:v>
      </x:c>
      <x:c r="D24" s="34" t="str">
        <x:v>Universidad Nacional de Córdoba</x:v>
      </x:c>
      <x:c r="E24" s="34" t="str">
        <x:v>Argentina</x:v>
      </x:c>
      <x:c r="F24" s="40" t="n">
        <x:v>46249.6241087963</x:v>
      </x:c>
      <x:c r="G24" s="34" t="str">
        <x:v>Registrado</x:v>
      </x:c>
      <x:c r="H24" s="34" t="str">
        <x:v>Yes</x:v>
      </x:c>
      <x:c r="I24" s="42" t="n">
        <x:v>43.98</x:v>
      </x:c>
      <x:c r="J24" s="42" t="n">
        <x:v>5</x:v>
      </x:c>
      <x:c r="K24" s="34" t="str">
        <x:v>WARM</x:v>
      </x:c>
      <x:c r="L24" s="34" t="str">
        <x:v>WARM</x:v>
      </x:c>
    </x:row>
    <x:row r="25">
      <x:c r="A25" s="34" t="str">
        <x:v>External</x:v>
      </x:c>
      <x:c r="B25" s="34" t="str">
        <x:v>Liliana Neyra Roman</x:v>
      </x:c>
      <x:c r="C25" s="34" t="str">
        <x:v>liliana.neyraroman@ofi.com</x:v>
      </x:c>
      <x:c r="D25" s="34" t="str">
        <x:v>OLAM</x:v>
      </x:c>
      <x:c r="E25" s="34" t="str">
        <x:v>Perú</x:v>
      </x:c>
      <x:c r="F25" s="40" t="n">
        <x:v>46260.51096064815</x:v>
      </x:c>
      <x:c r="G25" s="34" t="str">
        <x:v>Registrado</x:v>
      </x:c>
      <x:c r="H25" s="34" t="str">
        <x:v>Yes</x:v>
      </x:c>
      <x:c r="I25" s="42" t="n">
        <x:v>30.83</x:v>
      </x:c>
      <x:c r="J25" s="42" t="n">
        <x:v>5</x:v>
      </x:c>
      <x:c r="K25" s="34" t="str">
        <x:v>WARM</x:v>
      </x:c>
      <x:c r="L25" s="34" t="str">
        <x:v>WARM</x:v>
      </x:c>
    </x:row>
    <x:row r="26">
      <x:c r="A26" s="34" t="str">
        <x:v>External</x:v>
      </x:c>
      <x:c r="B26" s="34" t="str">
        <x:v>Luis Oliva</x:v>
      </x:c>
      <x:c r="C26" s="34" t="str">
        <x:v>loliva@palmasdelixcan.com</x:v>
      </x:c>
      <x:c r="D26" s="34" t="str">
        <x:v>Agroindustria Palmera San Roman</x:v>
      </x:c>
      <x:c r="E26" s="34" t="str">
        <x:v>Guatemala</x:v>
      </x:c>
      <x:c r="F26" s="40" t="n">
        <x:v>46258.47734953704</x:v>
      </x:c>
      <x:c r="G26" s="34" t="str">
        <x:v>Registrado</x:v>
      </x:c>
      <x:c r="H26" s="34" t="str">
        <x:v>Yes</x:v>
      </x:c>
      <x:c r="I26" s="42" t="n">
        <x:v>48.75</x:v>
      </x:c>
      <x:c r="J26" s="42" t="n">
        <x:v>5</x:v>
      </x:c>
      <x:c r="K26" s="34" t="str">
        <x:v>WARM</x:v>
      </x:c>
      <x:c r="L26" s="34" t="str">
        <x:v>WARM</x:v>
      </x:c>
    </x:row>
    <x:row r="27">
      <x:c r="A27" s="34" t="str">
        <x:v>External</x:v>
      </x:c>
      <x:c r="B27" s="34" t="str">
        <x:v>María Salgado</x:v>
      </x:c>
      <x:c r="C27" s="34" t="str">
        <x:v>maria.salgado@alianzateam.com</x:v>
      </x:c>
      <x:c r="D27" s="34" t="str">
        <x:v>TEAM FOODS</x:v>
      </x:c>
      <x:c r="E27" s="34" t="str">
        <x:v>Colombia</x:v>
      </x:c>
      <x:c r="F27" s="40" t="n">
        <x:v>46253.804444444446</x:v>
      </x:c>
      <x:c r="G27" s="34" t="str">
        <x:v>Registrado</x:v>
      </x:c>
      <x:c r="H27" s="34" t="str">
        <x:v>Yes</x:v>
      </x:c>
      <x:c r="I27" s="42" t="n">
        <x:v>51.87</x:v>
      </x:c>
      <x:c r="J27" s="42" t="n">
        <x:v>5</x:v>
      </x:c>
      <x:c r="K27" s="34" t="str">
        <x:v>WARM</x:v>
      </x:c>
      <x:c r="L27" s="34" t="str">
        <x:v>WARM</x:v>
      </x:c>
    </x:row>
    <x:row r="28">
      <x:c r="A28" s="34" t="str">
        <x:v>External</x:v>
      </x:c>
      <x:c r="B28" s="34" t="str">
        <x:v>Netzza De la Cruz</x:v>
      </x:c>
      <x:c r="C28" s="34" t="str">
        <x:v>netzza.delacruz@ofi.com</x:v>
      </x:c>
      <x:c r="D28" s="34" t="str">
        <x:v>Olam Agro Peru SAC</x:v>
      </x:c>
      <x:c r="E28" s="34" t="str">
        <x:v>Perú</x:v>
      </x:c>
      <x:c r="F28" s="40" t="n">
        <x:v>46246.01793981482</x:v>
      </x:c>
      <x:c r="G28" s="34" t="str">
        <x:v>Registrado</x:v>
      </x:c>
      <x:c r="H28" s="34" t="str">
        <x:v>Yes</x:v>
      </x:c>
      <x:c r="I28" s="42" t="n">
        <x:v>49.88</x:v>
      </x:c>
      <x:c r="J28" s="42" t="n">
        <x:v>5</x:v>
      </x:c>
      <x:c r="K28" s="34" t="str">
        <x:v>WARM</x:v>
      </x:c>
      <x:c r="L28" s="34" t="str">
        <x:v>WARM</x:v>
      </x:c>
    </x:row>
    <x:row r="29">
      <x:c r="A29" s="34" t="str">
        <x:v>External</x:v>
      </x:c>
      <x:c r="B29" s="34" t="str">
        <x:v>Sarita Yesica Riva Inga</x:v>
      </x:c>
      <x:c r="C29" s="34" t="str">
        <x:v>saritarivainga@gmail.com</x:v>
      </x:c>
      <x:c r="D29" s="34" t="str">
        <x:v>Ochosur</x:v>
      </x:c>
      <x:c r="E29" s="34" t="str">
        <x:v>Perú</x:v>
      </x:c>
      <x:c r="F29" s="40" t="n">
        <x:v>46260.448287037034</x:v>
      </x:c>
      <x:c r="G29" s="34" t="str">
        <x:v>Registrado</x:v>
      </x:c>
      <x:c r="H29" s="34" t="str">
        <x:v>Yes</x:v>
      </x:c>
      <x:c r="I29" s="42" t="n">
        <x:v>47.47</x:v>
      </x:c>
      <x:c r="J29" s="42" t="n">
        <x:v>5</x:v>
      </x:c>
      <x:c r="K29" s="34" t="str">
        <x:v>WARM</x:v>
      </x:c>
      <x:c r="L29" s="34" t="str">
        <x:v>WARM</x:v>
      </x:c>
    </x:row>
    <x:row r="30">
      <x:c r="A30" s="34" t="str">
        <x:v>External</x:v>
      </x:c>
      <x:c r="B30" s="34" t="str">
        <x:v>Adriana Armijos</x:v>
      </x:c>
      <x:c r="C30" s="34" t="str">
        <x:v>adriana.armijos@unocace.com</x:v>
      </x:c>
      <x:c r="D30" s="34" t="str">
        <x:v>UNOCACE</x:v>
      </x:c>
      <x:c r="E30" s="34" t="str">
        <x:v>Ecuador</x:v>
      </x:c>
      <x:c r="F30" s="40" t="n">
        <x:v>46253.57297453703</x:v>
      </x:c>
      <x:c r="G30" s="34" t="str">
        <x:v>Registrado</x:v>
      </x:c>
      <x:c r="H30" s="34" t="str">
        <x:v>Yes</x:v>
      </x:c>
      <x:c r="I30" s="42" t="n">
        <x:v>46.78</x:v>
      </x:c>
      <x:c r="J30" s="42" t="n">
        <x:v>4</x:v>
      </x:c>
      <x:c r="K30" s="34" t="str">
        <x:v>COLD</x:v>
      </x:c>
      <x:c r="L30" s="34" t="str">
        <x:v>FOLLOW-UP</x:v>
      </x:c>
    </x:row>
    <x:row r="31">
      <x:c r="A31" s="34" t="str">
        <x:v>External</x:v>
      </x:c>
      <x:c r="B31" s="34" t="str">
        <x:v>Agustín Quiroga</x:v>
      </x:c>
      <x:c r="C31" s="34" t="str">
        <x:v>agustin.quiroga@interoc.biz</x:v>
      </x:c>
      <x:c r="D31" s="34" t="str">
        <x:v>Interoc</x:v>
      </x:c>
      <x:c r="E31" s="34" t="str">
        <x:v>Ecuador</x:v>
      </x:c>
      <x:c r="F31" s="40" t="n">
        <x:v>46240.48039351852</x:v>
      </x:c>
      <x:c r="G31" s="34" t="str">
        <x:v>Registrado</x:v>
      </x:c>
      <x:c r="H31" s="34" t="str">
        <x:v>Yes</x:v>
      </x:c>
      <x:c r="I31" s="42" t="n">
        <x:v>44.17</x:v>
      </x:c>
      <x:c r="J31" s="42" t="n">
        <x:v>4</x:v>
      </x:c>
      <x:c r="K31" s="34" t="str">
        <x:v>COLD</x:v>
      </x:c>
      <x:c r="L31" s="34" t="str">
        <x:v>FOLLOW-UP</x:v>
      </x:c>
    </x:row>
    <x:row r="32">
      <x:c r="A32" s="34" t="str">
        <x:v>External</x:v>
      </x:c>
      <x:c r="B32" s="34" t="str">
        <x:v>Alejandra Sánchez Vera</x:v>
      </x:c>
      <x:c r="C32" s="34" t="str">
        <x:v>sanchezveraalejandra@gmail.com</x:v>
      </x:c>
      <x:c r="D32" s="34" t="str">
        <x:v>Asociación Rural del Paraguay</x:v>
      </x:c>
      <x:c r="E32" s="34" t="str">
        <x:v>Paraguay</x:v>
      </x:c>
      <x:c r="F32" s="40" t="n">
        <x:v>46249.58255787037</x:v>
      </x:c>
      <x:c r="G32" s="34" t="str">
        <x:v>Registrado</x:v>
      </x:c>
      <x:c r="H32" s="34" t="str">
        <x:v>Yes</x:v>
      </x:c>
      <x:c r="I32" s="42" t="n">
        <x:v>34.32</x:v>
      </x:c>
      <x:c r="J32" s="42" t="n">
        <x:v>4</x:v>
      </x:c>
      <x:c r="K32" s="34" t="str">
        <x:v>COLD</x:v>
      </x:c>
      <x:c r="L32" s="34" t="str">
        <x:v>FOLLOW-UP</x:v>
      </x:c>
    </x:row>
    <x:row r="33">
      <x:c r="A33" s="34" t="str">
        <x:v>External</x:v>
      </x:c>
      <x:c r="B33" s="34" t="str">
        <x:v>Alma Zapata</x:v>
      </x:c>
      <x:c r="C33" s="34" t="str">
        <x:v>alma.zapata@oleofinos.com.mx</x:v>
      </x:c>
      <x:c r="D33" s="34" t="str">
        <x:v>Privada</x:v>
      </x:c>
      <x:c r="E33" s="34" t="str">
        <x:v>México</x:v>
      </x:c>
      <x:c r="F33" s="40" t="n">
        <x:v>46258.51038194444</x:v>
      </x:c>
      <x:c r="G33" s="34" t="str">
        <x:v>Registrado</x:v>
      </x:c>
      <x:c r="H33" s="34" t="str">
        <x:v>Yes</x:v>
      </x:c>
      <x:c r="I33" s="42" t="n">
        <x:v>48.18</x:v>
      </x:c>
      <x:c r="J33" s="42" t="n">
        <x:v>4</x:v>
      </x:c>
      <x:c r="K33" s="34" t="str">
        <x:v>COLD</x:v>
      </x:c>
      <x:c r="L33" s="34" t="str">
        <x:v>FOLLOW-UP</x:v>
      </x:c>
    </x:row>
    <x:row r="34">
      <x:c r="A34" s="34" t="str">
        <x:v>External</x:v>
      </x:c>
      <x:c r="B34" s="34" t="str">
        <x:v>Ana María Novoa</x:v>
      </x:c>
      <x:c r="C34" s="34" t="str">
        <x:v>ananovoa7@gmail.com</x:v>
      </x:c>
      <x:c r="D34" s="34" t="str">
        <x:v>Independiente</x:v>
      </x:c>
      <x:c r="E34" s="34" t="str">
        <x:v>Colombia</x:v>
      </x:c>
      <x:c r="F34" s="40" t="n">
        <x:v>46253.96864583333</x:v>
      </x:c>
      <x:c r="G34" s="34" t="str">
        <x:v>Registrado</x:v>
      </x:c>
      <x:c r="H34" s="34" t="str">
        <x:v>Yes</x:v>
      </x:c>
      <x:c r="I34" s="42" t="n">
        <x:v>40.83</x:v>
      </x:c>
      <x:c r="J34" s="42" t="n">
        <x:v>4</x:v>
      </x:c>
      <x:c r="K34" s="34" t="str">
        <x:v>COLD</x:v>
      </x:c>
      <x:c r="L34" s="34" t="str">
        <x:v>FOLLOW-UP</x:v>
      </x:c>
    </x:row>
    <x:row r="35">
      <x:c r="A35" s="34" t="str">
        <x:v>External</x:v>
      </x:c>
      <x:c r="B35" s="34" t="str">
        <x:v>Angelo Abad</x:v>
      </x:c>
      <x:c r="C35" s="34" t="str">
        <x:v>sig1@carvimsa.com</x:v>
      </x:c>
      <x:c r="D35" s="34" t="str">
        <x:v>Carvimsa</x:v>
      </x:c>
      <x:c r="E35" s="34" t="str">
        <x:v>Peru</x:v>
      </x:c>
      <x:c r="F35" s="40" t="n">
        <x:v>46260.47608796296</x:v>
      </x:c>
      <x:c r="G35" s="34" t="str">
        <x:v>Registrado</x:v>
      </x:c>
      <x:c r="H35" s="34" t="str">
        <x:v>Yes</x:v>
      </x:c>
      <x:c r="I35" s="42" t="n">
        <x:v>39.03</x:v>
      </x:c>
      <x:c r="J35" s="42" t="n">
        <x:v>4</x:v>
      </x:c>
      <x:c r="K35" s="34" t="str">
        <x:v>COLD</x:v>
      </x:c>
      <x:c r="L35" s="34" t="str">
        <x:v>FOLLOW-UP</x:v>
      </x:c>
    </x:row>
    <x:row r="36">
      <x:c r="A36" s="34" t="str">
        <x:v>External</x:v>
      </x:c>
      <x:c r="B36" s="34" t="str">
        <x:v>Arturo Zaldivar Valer</x:v>
      </x:c>
      <x:c r="C36" s="34" t="str">
        <x:v>arturo.zaldivar@dole.com</x:v>
      </x:c>
      <x:c r="D36" s="34" t="str">
        <x:v>DOLE PERU</x:v>
      </x:c>
      <x:c r="E36" s="34" t="str">
        <x:v>PERU</x:v>
      </x:c>
      <x:c r="F36" s="40" t="n">
        <x:v>46240.509409722225</x:v>
      </x:c>
      <x:c r="G36" s="34" t="str">
        <x:v>Registrado</x:v>
      </x:c>
      <x:c r="H36" s="34" t="str">
        <x:v>Yes</x:v>
      </x:c>
      <x:c r="I36" s="42" t="n">
        <x:v>46.38</x:v>
      </x:c>
      <x:c r="J36" s="42" t="n">
        <x:v>4</x:v>
      </x:c>
      <x:c r="K36" s="34" t="str">
        <x:v>COLD</x:v>
      </x:c>
      <x:c r="L36" s="34" t="str">
        <x:v>FOLLOW-UP</x:v>
      </x:c>
    </x:row>
    <x:row r="37">
      <x:c r="A37" s="34" t="str">
        <x:v>External</x:v>
      </x:c>
      <x:c r="B37" s="34" t="str">
        <x:v>Camila Giron</x:v>
      </x:c>
      <x:c r="C37" s="34" t="str">
        <x:v>camila.giron@proforest.net</x:v>
      </x:c>
      <x:c r="D37" s="34" t="str">
        <x:v>Proforest</x:v>
      </x:c>
      <x:c r="E37" s="34" t="str">
        <x:v>Colombia</x:v>
      </x:c>
      <x:c r="F37" s="40" t="n">
        <x:v>46253.517604166664</x:v>
      </x:c>
      <x:c r="G37" s="34" t="str">
        <x:v>Registrado</x:v>
      </x:c>
      <x:c r="H37" s="34" t="str">
        <x:v>Yes</x:v>
      </x:c>
      <x:c r="I37" s="42" t="n">
        <x:v>37.3</x:v>
      </x:c>
      <x:c r="J37" s="42" t="n">
        <x:v>4</x:v>
      </x:c>
      <x:c r="K37" s="34" t="str">
        <x:v>COLD</x:v>
      </x:c>
      <x:c r="L37" s="34" t="str">
        <x:v>FOLLOW-UP</x:v>
      </x:c>
    </x:row>
    <x:row r="38">
      <x:c r="A38" s="34" t="str">
        <x:v>External</x:v>
      </x:c>
      <x:c r="B38" s="34" t="str">
        <x:v>DANIEL OLIVEIRA</x:v>
      </x:c>
      <x:c r="C38" s="34" t="str">
        <x:v>daniel.mag.oliveira@gmail.com</x:v>
      </x:c>
      <x:c r="D38" s="34" t="str">
        <x:v>Biocertus</x:v>
      </x:c>
      <x:c r="E38" s="34" t="str">
        <x:v>Brasil</x:v>
      </x:c>
      <x:c r="F38" s="40" t="n">
        <x:v>46238.42550925926</x:v>
      </x:c>
      <x:c r="G38" s="34" t="str">
        <x:v>Registrado</x:v>
      </x:c>
      <x:c r="H38" s="34" t="str">
        <x:v>Yes</x:v>
      </x:c>
      <x:c r="I38" s="42" t="n">
        <x:v>45.88</x:v>
      </x:c>
      <x:c r="J38" s="42" t="n">
        <x:v>4</x:v>
      </x:c>
      <x:c r="K38" s="34" t="str">
        <x:v>COLD</x:v>
      </x:c>
      <x:c r="L38" s="34" t="str">
        <x:v>FOLLOW-UP</x:v>
      </x:c>
    </x:row>
    <x:row r="39">
      <x:c r="A39" s="34" t="str">
        <x:v>External</x:v>
      </x:c>
      <x:c r="B39" s="34" t="str">
        <x:v>Darline Coraima Paucar Mallque</x:v>
      </x:c>
      <x:c r="C39" s="34" t="str">
        <x:v>darline.pmallque@ofi.com</x:v>
      </x:c>
      <x:c r="D39" s="34" t="str">
        <x:v>OLAM AGRO PERÚ SAC</x:v>
      </x:c>
      <x:c r="E39" s="34" t="str">
        <x:v>PERÚ</x:v>
      </x:c>
      <x:c r="F39" s="40" t="n">
        <x:v>46246.46603009259</x:v>
      </x:c>
      <x:c r="G39" s="34" t="str">
        <x:v>Registrado</x:v>
      </x:c>
      <x:c r="H39" s="34" t="str">
        <x:v>Yes</x:v>
      </x:c>
      <x:c r="I39" s="42" t="n">
        <x:v>43.93</x:v>
      </x:c>
      <x:c r="J39" s="42" t="n">
        <x:v>4</x:v>
      </x:c>
      <x:c r="K39" s="34" t="str">
        <x:v>COLD</x:v>
      </x:c>
      <x:c r="L39" s="34" t="str">
        <x:v>FOLLOW-UP</x:v>
      </x:c>
    </x:row>
    <x:row r="40">
      <x:c r="A40" s="34" t="str">
        <x:v>External</x:v>
      </x:c>
      <x:c r="B40" s="34" t="str">
        <x:v>David Quintero</x:v>
      </x:c>
      <x:c r="C40" s="34" t="str">
        <x:v>david@localpartners.ch</x:v>
      </x:c>
      <x:c r="D40" s="34" t="str">
        <x:v>Fundación Local Partners</x:v>
      </x:c>
      <x:c r="E40" s="34" t="str">
        <x:v>Colombia</x:v>
      </x:c>
      <x:c r="F40" s="40" t="n">
        <x:v>46253.485081018516</x:v>
      </x:c>
      <x:c r="G40" s="34" t="str">
        <x:v>Registrado</x:v>
      </x:c>
      <x:c r="H40" s="34" t="str">
        <x:v>Yes</x:v>
      </x:c>
      <x:c r="I40" s="42" t="n">
        <x:v>38.08</x:v>
      </x:c>
      <x:c r="J40" s="42" t="n">
        <x:v>4</x:v>
      </x:c>
      <x:c r="K40" s="34" t="str">
        <x:v>COLD</x:v>
      </x:c>
      <x:c r="L40" s="34" t="str">
        <x:v>FOLLOW-UP</x:v>
      </x:c>
    </x:row>
    <x:row r="41">
      <x:c r="A41" s="34" t="str">
        <x:v>External</x:v>
      </x:c>
      <x:c r="B41" s="34" t="str">
        <x:v>Diana Liliana Quintin Escobar</x:v>
      </x:c>
      <x:c r="C41" s="34" t="str">
        <x:v>diana.quintin@proforest.net</x:v>
      </x:c>
      <x:c r="D41" s="34" t="str">
        <x:v>Proforest Latinoamérica S.A.S</x:v>
      </x:c>
      <x:c r="E41" s="34" t="str">
        <x:v>Colombia</x:v>
      </x:c>
      <x:c r="F41" s="40" t="n">
        <x:v>46253.75890046296</x:v>
      </x:c>
      <x:c r="G41" s="34" t="str">
        <x:v>Registrado</x:v>
      </x:c>
      <x:c r="H41" s="34" t="str">
        <x:v>Yes</x:v>
      </x:c>
      <x:c r="I41" s="42" t="n">
        <x:v>43.82</x:v>
      </x:c>
      <x:c r="J41" s="42" t="n">
        <x:v>4</x:v>
      </x:c>
      <x:c r="K41" s="34" t="str">
        <x:v>COLD</x:v>
      </x:c>
      <x:c r="L41" s="34" t="str">
        <x:v>FOLLOW-UP</x:v>
      </x:c>
    </x:row>
    <x:row r="42">
      <x:c r="A42" s="34" t="str">
        <x:v>External</x:v>
      </x:c>
      <x:c r="B42" s="34" t="str">
        <x:v>Emilio Benítez</x:v>
      </x:c>
      <x:c r="C42" s="34" t="str">
        <x:v>ebenitez@cousa.com</x:v>
      </x:c>
      <x:c r="D42" s="34" t="str">
        <x:v>COUSA</x:v>
      </x:c>
      <x:c r="E42" s="34" t="str">
        <x:v>Uruguay</x:v>
      </x:c>
      <x:c r="F42" s="40" t="n">
        <x:v>46258.437476851854</x:v>
      </x:c>
      <x:c r="G42" s="34" t="str">
        <x:v>Registrado</x:v>
      </x:c>
      <x:c r="H42" s="34" t="str">
        <x:v>Yes</x:v>
      </x:c>
      <x:c r="I42" s="42" t="n">
        <x:v>38.37</x:v>
      </x:c>
      <x:c r="J42" s="42" t="n">
        <x:v>4</x:v>
      </x:c>
      <x:c r="K42" s="34" t="str">
        <x:v>COLD</x:v>
      </x:c>
      <x:c r="L42" s="34" t="str">
        <x:v>FOLLOW-UP</x:v>
      </x:c>
    </x:row>
    <x:row r="43">
      <x:c r="A43" s="34" t="str">
        <x:v>External</x:v>
      </x:c>
      <x:c r="B43" s="34" t="str">
        <x:v>Enzo Sitzmann</x:v>
      </x:c>
      <x:c r="C43" s="34" t="str">
        <x:v>enzo.sitzmann@somaxagro.com</x:v>
      </x:c>
      <x:c r="D43" s="34" t="str">
        <x:v>Somax Agro S.A.</x:v>
      </x:c>
      <x:c r="E43" s="34" t="str">
        <x:v>Paraguay</x:v>
      </x:c>
      <x:c r="F43" s="40" t="n">
        <x:v>46241.2634375</x:v>
      </x:c>
      <x:c r="G43" s="34" t="str">
        <x:v>Registrado</x:v>
      </x:c>
      <x:c r="H43" s="34" t="str">
        <x:v>Yes</x:v>
      </x:c>
      <x:c r="I43" s="42" t="n">
        <x:v>49.68</x:v>
      </x:c>
      <x:c r="J43" s="42" t="n">
        <x:v>4</x:v>
      </x:c>
      <x:c r="K43" s="34" t="str">
        <x:v>COLD</x:v>
      </x:c>
      <x:c r="L43" s="34" t="str">
        <x:v>FOLLOW-UP</x:v>
      </x:c>
    </x:row>
    <x:row r="44">
      <x:c r="A44" s="34" t="str">
        <x:v>External</x:v>
      </x:c>
      <x:c r="B44" s="34" t="str">
        <x:v>Ezequiel Marcos Kiener</x:v>
      </x:c>
      <x:c r="C44" s="34" t="str">
        <x:v>ezequiel.kiener@amaggi.com.ar</x:v>
      </x:c>
      <x:c r="D44" s="34" t="str">
        <x:v>AMAGGI</x:v>
      </x:c>
      <x:c r="E44" s="34" t="str">
        <x:v>Argentina</x:v>
      </x:c>
      <x:c r="F44" s="40" t="n">
        <x:v>46260.50659722222</x:v>
      </x:c>
      <x:c r="G44" s="34" t="str">
        <x:v>Registrado</x:v>
      </x:c>
      <x:c r="H44" s="34" t="str">
        <x:v>Yes</x:v>
      </x:c>
      <x:c r="I44" s="42" t="n">
        <x:v>38.22</x:v>
      </x:c>
      <x:c r="J44" s="42" t="n">
        <x:v>4</x:v>
      </x:c>
      <x:c r="K44" s="34" t="str">
        <x:v>COLD</x:v>
      </x:c>
      <x:c r="L44" s="34" t="str">
        <x:v>FOLLOW-UP</x:v>
      </x:c>
    </x:row>
    <x:row r="45">
      <x:c r="A45" s="34" t="str">
        <x:v>External</x:v>
      </x:c>
      <x:c r="B45" s="34" t="str">
        <x:v>Flavia Meza</x:v>
      </x:c>
      <x:c r="C45" s="34" t="str">
        <x:v>flavia.meza@carvimsa.com</x:v>
      </x:c>
      <x:c r="D45" s="34" t="str">
        <x:v>CARVIMSA</x:v>
      </x:c>
      <x:c r="E45" s="34" t="str">
        <x:v>Perú</x:v>
      </x:c>
      <x:c r="F45" s="40" t="n">
        <x:v>46258.53942129629</x:v>
      </x:c>
      <x:c r="G45" s="34" t="str">
        <x:v>Registrado</x:v>
      </x:c>
      <x:c r="H45" s="34" t="str">
        <x:v>Yes</x:v>
      </x:c>
      <x:c r="I45" s="42" t="n">
        <x:v>40.18</x:v>
      </x:c>
      <x:c r="J45" s="42" t="n">
        <x:v>4</x:v>
      </x:c>
      <x:c r="K45" s="34" t="str">
        <x:v>COLD</x:v>
      </x:c>
      <x:c r="L45" s="34" t="str">
        <x:v>FOLLOW-UP</x:v>
      </x:c>
    </x:row>
    <x:row r="46">
      <x:c r="A46" s="34" t="str">
        <x:v>External</x:v>
      </x:c>
      <x:c r="B46" s="34" t="str">
        <x:v>Gonzalo Ghiringhelli</x:v>
      </x:c>
      <x:c r="C46" s="34" t="str">
        <x:v>gonzalo.ghiringhelli@evid-ai.com</x:v>
      </x:c>
      <x:c r="D46" s="34" t="str">
        <x:v>Evid-AI</x:v>
      </x:c>
      <x:c r="E46" s="34" t="str">
        <x:v>Argentina</x:v>
      </x:c>
      <x:c r="F46" s="40" t="n">
        <x:v>46245.72800925926</x:v>
      </x:c>
      <x:c r="G46" s="34" t="str">
        <x:v>Registrado</x:v>
      </x:c>
      <x:c r="H46" s="34" t="str">
        <x:v>Yes</x:v>
      </x:c>
      <x:c r="I46" s="42" t="n">
        <x:v>42.17</x:v>
      </x:c>
      <x:c r="J46" s="42" t="n">
        <x:v>4</x:v>
      </x:c>
      <x:c r="K46" s="34" t="str">
        <x:v>COLD</x:v>
      </x:c>
      <x:c r="L46" s="34" t="str">
        <x:v>FOLLOW-UP</x:v>
      </x:c>
    </x:row>
    <x:row r="47">
      <x:c r="A47" s="34" t="str">
        <x:v>External</x:v>
      </x:c>
      <x:c r="B47" s="34" t="str">
        <x:v>Jeremi Celio</x:v>
      </x:c>
      <x:c r="C47" s="34" t="str">
        <x:v>sostenibilidad@amazonastrading.com</x:v>
      </x:c>
      <x:c r="D47" s="34" t="str">
        <x:v>AMAZONAS TRADING PERU S.A.C</x:v>
      </x:c>
      <x:c r="E47" s="34" t="str">
        <x:v>Perú</x:v>
      </x:c>
      <x:c r="F47" s="40" t="n">
        <x:v>46258.696863425925</x:v>
      </x:c>
      <x:c r="G47" s="34" t="str">
        <x:v>Registrado</x:v>
      </x:c>
      <x:c r="H47" s="34" t="str">
        <x:v>Yes</x:v>
      </x:c>
      <x:c r="I47" s="42" t="n">
        <x:v>31.07</x:v>
      </x:c>
      <x:c r="J47" s="42" t="n">
        <x:v>4</x:v>
      </x:c>
      <x:c r="K47" s="34" t="str">
        <x:v>COLD</x:v>
      </x:c>
      <x:c r="L47" s="34" t="str">
        <x:v>FOLLOW-UP</x:v>
      </x:c>
    </x:row>
    <x:row r="48">
      <x:c r="A48" s="34" t="str">
        <x:v>External</x:v>
      </x:c>
      <x:c r="B48" s="34" t="str">
        <x:v>Jorge Luis Ochante Ortiz</x:v>
      </x:c>
      <x:c r="C48" s="34" t="str">
        <x:v>jorge.ochante@ecomgroup.com</x:v>
      </x:c>
      <x:c r="D48" s="34" t="str">
        <x:v>CAMSA</x:v>
      </x:c>
      <x:c r="E48" s="34" t="str">
        <x:v>Perú</x:v>
      </x:c>
      <x:c r="F48" s="40" t="n">
        <x:v>46259.453518518516</x:v>
      </x:c>
      <x:c r="G48" s="34" t="str">
        <x:v>Registrado</x:v>
      </x:c>
      <x:c r="H48" s="34" t="str">
        <x:v>Yes</x:v>
      </x:c>
      <x:c r="I48" s="42" t="n">
        <x:v>44.73</x:v>
      </x:c>
      <x:c r="J48" s="42" t="n">
        <x:v>4</x:v>
      </x:c>
      <x:c r="K48" s="34" t="str">
        <x:v>COLD</x:v>
      </x:c>
      <x:c r="L48" s="34" t="str">
        <x:v>FOLLOW-UP</x:v>
      </x:c>
    </x:row>
    <x:row r="49">
      <x:c r="A49" s="34" t="str">
        <x:v>External</x:v>
      </x:c>
      <x:c r="B49" s="34" t="str">
        <x:v>Juan Pablo Zorro</x:v>
      </x:c>
      <x:c r="C49" s="34" t="str">
        <x:v>juan.zorro@bioap.com.co</x:v>
      </x:c>
      <x:c r="D49" s="34" t="str">
        <x:v>BioAp</x:v>
      </x:c>
      <x:c r="E49" s="34" t="str">
        <x:v>Colombia</x:v>
      </x:c>
      <x:c r="F49" s="40" t="n">
        <x:v>46259.52633101852</x:v>
      </x:c>
      <x:c r="G49" s="34" t="str">
        <x:v>Registrado</x:v>
      </x:c>
      <x:c r="H49" s="34" t="str">
        <x:v>Yes</x:v>
      </x:c>
      <x:c r="I49" s="42" t="n">
        <x:v>46.5</x:v>
      </x:c>
      <x:c r="J49" s="42" t="n">
        <x:v>4</x:v>
      </x:c>
      <x:c r="K49" s="34" t="str">
        <x:v>COLD</x:v>
      </x:c>
      <x:c r="L49" s="34" t="str">
        <x:v>FOLLOW-UP</x:v>
      </x:c>
    </x:row>
    <x:row r="50">
      <x:c r="A50" s="34" t="str">
        <x:v>External</x:v>
      </x:c>
      <x:c r="B50" s="34" t="str">
        <x:v>Juan Quintero</x:v>
      </x:c>
      <x:c r="C50" s="34" t="str">
        <x:v>jupgiraldoqu@unal.edu.co</x:v>
      </x:c>
      <x:c r="D50" s="34" t="str">
        <x:v>Fundacion Solidaridad</x:v>
      </x:c>
      <x:c r="E50" s="34" t="str">
        <x:v>Colombia</x:v>
      </x:c>
      <x:c r="F50" s="40" t="n">
        <x:v>46259.47269675926</x:v>
      </x:c>
      <x:c r="G50" s="34" t="str">
        <x:v>Registrado</x:v>
      </x:c>
      <x:c r="H50" s="34" t="str">
        <x:v>Yes</x:v>
      </x:c>
      <x:c r="I50" s="42" t="n">
        <x:v>23.28</x:v>
      </x:c>
      <x:c r="J50" s="42" t="n">
        <x:v>4</x:v>
      </x:c>
      <x:c r="K50" s="34" t="str">
        <x:v>COLD</x:v>
      </x:c>
      <x:c r="L50" s="34" t="str">
        <x:v>FOLLOW-UP</x:v>
      </x:c>
    </x:row>
    <x:row r="51">
      <x:c r="A51" s="34" t="str">
        <x:v>External</x:v>
      </x:c>
      <x:c r="B51" s="34" t="str">
        <x:v>Leticia López</x:v>
      </x:c>
      <x:c r="C51" s="34" t="str">
        <x:v>leticia.lopez@somaxagro.com</x:v>
      </x:c>
      <x:c r="D51" s="34" t="str">
        <x:v>SOMAX AGRO S.A</x:v>
      </x:c>
      <x:c r="E51" s="34" t="str">
        <x:v>Paraguay</x:v>
      </x:c>
      <x:c r="F51" s="40" t="n">
        <x:v>46241.339837962965</x:v>
      </x:c>
      <x:c r="G51" s="34" t="str">
        <x:v>Registrado</x:v>
      </x:c>
      <x:c r="H51" s="34" t="str">
        <x:v>Yes</x:v>
      </x:c>
      <x:c r="I51" s="42" t="n">
        <x:v>46.7</x:v>
      </x:c>
      <x:c r="J51" s="42" t="n">
        <x:v>4</x:v>
      </x:c>
      <x:c r="K51" s="34" t="str">
        <x:v>COLD</x:v>
      </x:c>
      <x:c r="L51" s="34" t="str">
        <x:v>FOLLOW-UP</x:v>
      </x:c>
    </x:row>
    <x:row r="52">
      <x:c r="A52" s="34" t="str">
        <x:v>External</x:v>
      </x:c>
      <x:c r="B52" s="34" t="str">
        <x:v>luis heller</x:v>
      </x:c>
      <x:c r="C52" s="34" t="str">
        <x:v>luisheller@allpa.com.pe</x:v>
      </x:c>
      <x:c r="D52" s="34" t="str">
        <x:v>ALLPA SAC</x:v>
      </x:c>
      <x:c r="E52" s="34" t="str">
        <x:v>Perú</x:v>
      </x:c>
      <x:c r="F52" s="40" t="n">
        <x:v>46258.648564814815</x:v>
      </x:c>
      <x:c r="G52" s="34" t="str">
        <x:v>Registrado</x:v>
      </x:c>
      <x:c r="H52" s="34" t="str">
        <x:v>Yes</x:v>
      </x:c>
      <x:c r="I52" s="42" t="n">
        <x:v>2.63</x:v>
      </x:c>
      <x:c r="J52" s="42" t="n">
        <x:v>4</x:v>
      </x:c>
      <x:c r="K52" s="34" t="str">
        <x:v>COLD</x:v>
      </x:c>
      <x:c r="L52" s="34" t="str">
        <x:v>FOLLOW-UP</x:v>
      </x:c>
    </x:row>
    <x:row r="53">
      <x:c r="A53" s="34" t="str">
        <x:v>External</x:v>
      </x:c>
      <x:c r="B53" s="34" t="str">
        <x:v>Ma. Gabriela</x:v>
      </x:c>
      <x:c r="C53" s="34" t="str">
        <x:v>gabriela.cardenas@interoc.biz</x:v>
      </x:c>
      <x:c r="D53" s="34" t="str">
        <x:v>Interoc S.A.</x:v>
      </x:c>
      <x:c r="E53" s="34" t="str">
        <x:v>Ecuador</x:v>
      </x:c>
      <x:c r="F53" s="40" t="n">
        <x:v>46240.71728009259</x:v>
      </x:c>
      <x:c r="G53" s="34" t="str">
        <x:v>Registrado</x:v>
      </x:c>
      <x:c r="H53" s="34" t="str">
        <x:v>Yes</x:v>
      </x:c>
      <x:c r="I53" s="42" t="n">
        <x:v>44.6</x:v>
      </x:c>
      <x:c r="J53" s="42" t="n">
        <x:v>4</x:v>
      </x:c>
      <x:c r="K53" s="34" t="str">
        <x:v>COLD</x:v>
      </x:c>
      <x:c r="L53" s="34" t="str">
        <x:v>FOLLOW-UP</x:v>
      </x:c>
    </x:row>
    <x:row r="54">
      <x:c r="A54" s="34" t="str">
        <x:v>External</x:v>
      </x:c>
      <x:c r="B54" s="34" t="str">
        <x:v>Maria Fernanda Cardozo</x:v>
      </x:c>
      <x:c r="C54" s="34" t="str">
        <x:v>fercardozo23@gmail.com</x:v>
      </x:c>
      <x:c r="D54" s="34" t="str">
        <x:v>PUMA by Regrow</x:v>
      </x:c>
      <x:c r="E54" s="34" t="str">
        <x:v>Argentina</x:v>
      </x:c>
      <x:c r="F54" s="40" t="n">
        <x:v>46259.420023148145</x:v>
      </x:c>
      <x:c r="G54" s="34" t="str">
        <x:v>Registrado</x:v>
      </x:c>
      <x:c r="H54" s="34" t="str">
        <x:v>Yes</x:v>
      </x:c>
      <x:c r="I54" s="42" t="n">
        <x:v>39.83</x:v>
      </x:c>
      <x:c r="J54" s="42" t="n">
        <x:v>4</x:v>
      </x:c>
      <x:c r="K54" s="34" t="str">
        <x:v>COLD</x:v>
      </x:c>
      <x:c r="L54" s="34" t="str">
        <x:v>FOLLOW-UP</x:v>
      </x:c>
    </x:row>
    <x:row r="55">
      <x:c r="A55" s="34" t="str">
        <x:v>External</x:v>
      </x:c>
      <x:c r="B55" s="34" t="str">
        <x:v>Maria Gabriela Montenegro</x:v>
      </x:c>
      <x:c r="C55" s="34" t="str">
        <x:v>gmontenegro@cofcointernational.com</x:v>
      </x:c>
      <x:c r="D55" s="34" t="str">
        <x:v>COFCO INTERNATIONAL ARGENTINA S.A.</x:v>
      </x:c>
      <x:c r="E55" s="34" t="str">
        <x:v>Argentina</x:v>
      </x:c>
      <x:c r="F55" s="40" t="n">
        <x:v>46260.490960648145</x:v>
      </x:c>
      <x:c r="G55" s="34" t="str">
        <x:v>Registrado</x:v>
      </x:c>
      <x:c r="H55" s="34" t="str">
        <x:v>Yes</x:v>
      </x:c>
      <x:c r="I55" s="42" t="n">
        <x:v>46.83</x:v>
      </x:c>
      <x:c r="J55" s="42" t="n">
        <x:v>4</x:v>
      </x:c>
      <x:c r="K55" s="34" t="str">
        <x:v>COLD</x:v>
      </x:c>
      <x:c r="L55" s="34" t="str">
        <x:v>FOLLOW-UP</x:v>
      </x:c>
    </x:row>
    <x:row r="56">
      <x:c r="A56" s="34" t="str">
        <x:v>External</x:v>
      </x:c>
      <x:c r="B56" s="34" t="str">
        <x:v>Maria Teresa Senosiain</x:v>
      </x:c>
      <x:c r="C56" s="34" t="str">
        <x:v>maria.senosiain@ar.mcd.com</x:v>
      </x:c>
      <x:c r="D56" s="34" t="str">
        <x:v>Arcos dorados</x:v>
      </x:c>
      <x:c r="E56" s="34" t="str">
        <x:v>Argentina</x:v>
      </x:c>
      <x:c r="F56" s="40" t="n">
        <x:v>46253.421631944446</x:v>
      </x:c>
      <x:c r="G56" s="34" t="str">
        <x:v>Registrado</x:v>
      </x:c>
      <x:c r="H56" s="34" t="str">
        <x:v>Yes</x:v>
      </x:c>
      <x:c r="I56" s="42" t="n">
        <x:v>49.63</x:v>
      </x:c>
      <x:c r="J56" s="42" t="n">
        <x:v>4</x:v>
      </x:c>
      <x:c r="K56" s="34" t="str">
        <x:v>COLD</x:v>
      </x:c>
      <x:c r="L56" s="34" t="str">
        <x:v>FOLLOW-UP</x:v>
      </x:c>
    </x:row>
    <x:row r="57">
      <x:c r="A57" s="34" t="str">
        <x:v>External</x:v>
      </x:c>
      <x:c r="B57" s="34" t="str">
        <x:v>Mario Arauz</x:v>
      </x:c>
      <x:c r="C57" s="34" t="str">
        <x:v>marauz@coopeagri.co.cr</x:v>
      </x:c>
      <x:c r="D57" s="34" t="str">
        <x:v>COOPEAGRI R.L.</x:v>
      </x:c>
      <x:c r="E57" s="34" t="str">
        <x:v>COSTA RICA</x:v>
      </x:c>
      <x:c r="F57" s="40" t="n">
        <x:v>46253.530648148146</x:v>
      </x:c>
      <x:c r="G57" s="34" t="str">
        <x:v>Registrado</x:v>
      </x:c>
      <x:c r="H57" s="34" t="str">
        <x:v>Yes</x:v>
      </x:c>
      <x:c r="I57" s="42" t="n">
        <x:v>45.87</x:v>
      </x:c>
      <x:c r="J57" s="42" t="n">
        <x:v>4</x:v>
      </x:c>
      <x:c r="K57" s="34" t="str">
        <x:v>COLD</x:v>
      </x:c>
      <x:c r="L57" s="34" t="str">
        <x:v>FOLLOW-UP</x:v>
      </x:c>
    </x:row>
    <x:row r="58">
      <x:c r="A58" s="34" t="str">
        <x:v>External</x:v>
      </x:c>
      <x:c r="B58" s="34" t="str">
        <x:v>Mario Galeano</x:v>
      </x:c>
      <x:c r="C58" s="34" t="str">
        <x:v>mariorgaleano@gmail.com</x:v>
      </x:c>
      <x:c r="D58" s="34" t="str">
        <x:v>Independiente</x:v>
      </x:c>
      <x:c r="E58" s="34" t="str">
        <x:v>Argentina</x:v>
      </x:c>
      <x:c r="F58" s="40" t="n">
        <x:v>46253.70716435185</x:v>
      </x:c>
      <x:c r="G58" s="34" t="str">
        <x:v>Registrado</x:v>
      </x:c>
      <x:c r="H58" s="34" t="str">
        <x:v>Yes</x:v>
      </x:c>
      <x:c r="I58" s="42" t="n">
        <x:v>47.2</x:v>
      </x:c>
      <x:c r="J58" s="42" t="n">
        <x:v>4</x:v>
      </x:c>
      <x:c r="K58" s="34" t="str">
        <x:v>COLD</x:v>
      </x:c>
      <x:c r="L58" s="34" t="str">
        <x:v>FOLLOW-UP</x:v>
      </x:c>
    </x:row>
    <x:row r="59">
      <x:c r="A59" s="34" t="str">
        <x:v>External</x:v>
      </x:c>
      <x:c r="B59" s="34" t="str">
        <x:v>María Victoria Rodríguez</x:v>
      </x:c>
      <x:c r="C59" s="34" t="str">
        <x:v>mrodriguez@cousa.com</x:v>
      </x:c>
      <x:c r="D59" s="34" t="str">
        <x:v>C.O.U.S.A.</x:v>
      </x:c>
      <x:c r="E59" s="34" t="str">
        <x:v>Uruguay</x:v>
      </x:c>
      <x:c r="F59" s="40" t="n">
        <x:v>46258.437789351854</x:v>
      </x:c>
      <x:c r="G59" s="34" t="str">
        <x:v>Registrado</x:v>
      </x:c>
      <x:c r="H59" s="34" t="str">
        <x:v>Yes</x:v>
      </x:c>
      <x:c r="I59" s="42" t="n">
        <x:v>46.27</x:v>
      </x:c>
      <x:c r="J59" s="42" t="n">
        <x:v>4</x:v>
      </x:c>
      <x:c r="K59" s="34" t="str">
        <x:v>COLD</x:v>
      </x:c>
      <x:c r="L59" s="34" t="str">
        <x:v>FOLLOW-UP</x:v>
      </x:c>
    </x:row>
    <x:row r="60">
      <x:c r="A60" s="34" t="str">
        <x:v>External</x:v>
      </x:c>
      <x:c r="B60" s="34" t="str">
        <x:v>Miguel Yangua</x:v>
      </x:c>
      <x:c r="C60" s="34" t="str">
        <x:v>miguelyanguac@gmail.com</x:v>
      </x:c>
      <x:c r="D60" s="34" t="str">
        <x:v>Independiente</x:v>
      </x:c>
      <x:c r="E60" s="34" t="str">
        <x:v>Perú</x:v>
      </x:c>
      <x:c r="F60" s="40" t="n">
        <x:v>46238.5703587963</x:v>
      </x:c>
      <x:c r="G60" s="34" t="str">
        <x:v>Registrado</x:v>
      </x:c>
      <x:c r="H60" s="34" t="str">
        <x:v>Yes</x:v>
      </x:c>
      <x:c r="I60" s="42" t="n">
        <x:v>41.37</x:v>
      </x:c>
      <x:c r="J60" s="42" t="n">
        <x:v>4</x:v>
      </x:c>
      <x:c r="K60" s="34" t="str">
        <x:v>COLD</x:v>
      </x:c>
      <x:c r="L60" s="34" t="str">
        <x:v>FOLLOW-UP</x:v>
      </x:c>
    </x:row>
    <x:row r="61">
      <x:c r="A61" s="34" t="str">
        <x:v>External</x:v>
      </x:c>
      <x:c r="B61" s="34" t="str">
        <x:v>Mirta Senovia Madrid Tomé</x:v>
      </x:c>
      <x:c r="C61" s="34" t="str">
        <x:v>mirtatome@gmail.com</x:v>
      </x:c>
      <x:c r="D61" s="34" t="str">
        <x:v>PROSERIN</x:v>
      </x:c>
      <x:c r="E61" s="34" t="str">
        <x:v>Honduras</x:v>
      </x:c>
      <x:c r="F61" s="40" t="n">
        <x:v>46250.82813657408</x:v>
      </x:c>
      <x:c r="G61" s="34" t="str">
        <x:v>Registrado</x:v>
      </x:c>
      <x:c r="H61" s="34" t="str">
        <x:v>Yes</x:v>
      </x:c>
      <x:c r="I61" s="42" t="n">
        <x:v>0.45</x:v>
      </x:c>
      <x:c r="J61" s="42" t="n">
        <x:v>4</x:v>
      </x:c>
      <x:c r="K61" s="34" t="str">
        <x:v>COLD</x:v>
      </x:c>
      <x:c r="L61" s="34" t="str">
        <x:v>FOLLOW-UP</x:v>
      </x:c>
    </x:row>
    <x:row r="62">
      <x:c r="A62" s="34" t="str">
        <x:v>External</x:v>
      </x:c>
      <x:c r="B62" s="34" t="str">
        <x:v>Palmira Arnaz</x:v>
      </x:c>
      <x:c r="C62" s="34" t="str">
        <x:v>p.arnazduran@fsc.org</x:v>
      </x:c>
      <x:c r="D62" s="34" t="str">
        <x:v>FSC Mexico</x:v>
      </x:c>
      <x:c r="E62" s="34" t="str">
        <x:v>Mexico</x:v>
      </x:c>
      <x:c r="F62" s="40" t="n">
        <x:v>46258.638657407406</x:v>
      </x:c>
      <x:c r="G62" s="34" t="str">
        <x:v>Registrado</x:v>
      </x:c>
      <x:c r="H62" s="34" t="str">
        <x:v>Yes</x:v>
      </x:c>
      <x:c r="I62" s="42" t="n">
        <x:v>42.72</x:v>
      </x:c>
      <x:c r="J62" s="42" t="n">
        <x:v>4</x:v>
      </x:c>
      <x:c r="K62" s="34" t="str">
        <x:v>COLD</x:v>
      </x:c>
      <x:c r="L62" s="34" t="str">
        <x:v>FOLLOW-UP</x:v>
      </x:c>
    </x:row>
    <x:row r="63">
      <x:c r="A63" s="34" t="str">
        <x:v>External</x:v>
      </x:c>
      <x:c r="B63" s="34" t="str">
        <x:v>Pedro Lafluf</x:v>
      </x:c>
      <x:c r="C63" s="34" t="str">
        <x:v>pedro@sima.ag</x:v>
      </x:c>
      <x:c r="D63" s="34" t="str">
        <x:v>SIMA</x:v>
      </x:c>
      <x:c r="E63" s="34" t="str">
        <x:v>Argentina</x:v>
      </x:c>
      <x:c r="F63" s="40" t="n">
        <x:v>46258.437939814816</x:v>
      </x:c>
      <x:c r="G63" s="34" t="str">
        <x:v>Registrado</x:v>
      </x:c>
      <x:c r="H63" s="34" t="str">
        <x:v>Yes</x:v>
      </x:c>
      <x:c r="I63" s="42" t="n">
        <x:v>45.6</x:v>
      </x:c>
      <x:c r="J63" s="42" t="n">
        <x:v>4</x:v>
      </x:c>
      <x:c r="K63" s="34" t="str">
        <x:v>COLD</x:v>
      </x:c>
      <x:c r="L63" s="34" t="str">
        <x:v>FOLLOW-UP</x:v>
      </x:c>
    </x:row>
    <x:row r="64">
      <x:c r="A64" s="34" t="str">
        <x:v>External</x:v>
      </x:c>
      <x:c r="B64" s="34" t="str">
        <x:v>Silvia Roa</x:v>
      </x:c>
      <x:c r="C64" s="34" t="str">
        <x:v>silvia.roa@adm.com</x:v>
      </x:c>
      <x:c r="D64" s="34" t="str">
        <x:v>ADM Paraguay</x:v>
      </x:c>
      <x:c r="E64" s="34" t="str">
        <x:v>Paraguay</x:v>
      </x:c>
      <x:c r="F64" s="40" t="n">
        <x:v>46246.733819444446</x:v>
      </x:c>
      <x:c r="G64" s="34" t="str">
        <x:v>Registrado</x:v>
      </x:c>
      <x:c r="H64" s="34" t="str">
        <x:v>Yes</x:v>
      </x:c>
      <x:c r="I64" s="42" t="n">
        <x:v>24.98</x:v>
      </x:c>
      <x:c r="J64" s="42" t="n">
        <x:v>4</x:v>
      </x:c>
      <x:c r="K64" s="34" t="str">
        <x:v>COLD</x:v>
      </x:c>
      <x:c r="L64" s="34" t="str">
        <x:v>FOLLOW-UP</x:v>
      </x:c>
    </x:row>
    <x:row r="65">
      <x:c r="A65" s="34" t="str">
        <x:v>External</x:v>
      </x:c>
      <x:c r="B65" s="34" t="str">
        <x:v>SOFIA MARIA TINARI COTTER</x:v>
      </x:c>
      <x:c r="C65" s="34" t="str">
        <x:v>sofitinari@hotmail.com</x:v>
      </x:c>
      <x:c r="D65" s="34" t="str">
        <x:v>31438717</x:v>
      </x:c>
      <x:c r="E65" s="34" t="str">
        <x:v>Argentina</x:v>
      </x:c>
      <x:c r="F65" s="40" t="n">
        <x:v>46255.46011574074</x:v>
      </x:c>
      <x:c r="G65" s="34" t="str">
        <x:v>Registrado</x:v>
      </x:c>
      <x:c r="H65" s="34" t="str">
        <x:v>Yes</x:v>
      </x:c>
      <x:c r="I65" s="42" t="n">
        <x:v>47.45</x:v>
      </x:c>
      <x:c r="J65" s="42" t="n">
        <x:v>4</x:v>
      </x:c>
      <x:c r="K65" s="34" t="str">
        <x:v>COLD</x:v>
      </x:c>
      <x:c r="L65" s="34" t="str">
        <x:v>FOLLOW-UP</x:v>
      </x:c>
    </x:row>
    <x:row r="66">
      <x:c r="A66" s="34" t="str">
        <x:v>External</x:v>
      </x:c>
      <x:c r="B66" s="34" t="str">
        <x:v>SONIA GOMEZ</x:v>
      </x:c>
      <x:c r="C66" s="34" t="str">
        <x:v>agricolaelrecuerdo@aol.com</x:v>
      </x:c>
      <x:c r="D66" s="34" t="str">
        <x:v>EL RECUERDO</x:v>
      </x:c>
      <x:c r="E66" s="34" t="str">
        <x:v>ECUADOR</x:v>
      </x:c>
      <x:c r="F66" s="40" t="n">
        <x:v>46259.41471064815</x:v>
      </x:c>
      <x:c r="G66" s="34" t="str">
        <x:v>Registrado</x:v>
      </x:c>
      <x:c r="H66" s="34" t="str">
        <x:v>Yes</x:v>
      </x:c>
      <x:c r="I66" s="42" t="n">
        <x:v>47.75</x:v>
      </x:c>
      <x:c r="J66" s="42" t="n">
        <x:v>4</x:v>
      </x:c>
      <x:c r="K66" s="34" t="str">
        <x:v>COLD</x:v>
      </x:c>
      <x:c r="L66" s="34" t="str">
        <x:v>FOLLOW-UP</x:v>
      </x:c>
    </x:row>
    <x:row r="67">
      <x:c r="A67" s="34" t="str">
        <x:v>External</x:v>
      </x:c>
      <x:c r="B67" s="34" t="str">
        <x:v>Victor Fernández</x:v>
      </x:c>
      <x:c r="C67" s="34" t="str">
        <x:v>victorfernandezbra@gmail.com</x:v>
      </x:c>
      <x:c r="D67" s="34" t="str">
        <x:v>PL Abogados SA</x:v>
      </x:c>
      <x:c r="E67" s="34" t="str">
        <x:v>Ecuador</x:v>
      </x:c>
      <x:c r="F67" s="40" t="n">
        <x:v>46246.69672453704</x:v>
      </x:c>
      <x:c r="G67" s="34" t="str">
        <x:v>Registrado</x:v>
      </x:c>
      <x:c r="H67" s="34" t="str">
        <x:v>Yes</x:v>
      </x:c>
      <x:c r="I67" s="42" t="n">
        <x:v>48.32</x:v>
      </x:c>
      <x:c r="J67" s="42" t="n">
        <x:v>4</x:v>
      </x:c>
      <x:c r="K67" s="34" t="str">
        <x:v>COLD</x:v>
      </x:c>
      <x:c r="L67" s="34" t="str">
        <x:v>FOLLOW-UP</x:v>
      </x:c>
    </x:row>
    <x:row r="68">
      <x:c r="A68" s="34" t="str">
        <x:v>External</x:v>
      </x:c>
      <x:c r="B68" s="34" t="str">
        <x:v>Victor Hugo Romero Segovia</x:v>
      </x:c>
      <x:c r="C68" s="34" t="str">
        <x:v>vromero@biomar.com</x:v>
      </x:c>
      <x:c r="D68" s="34" t="str">
        <x:v>Biomar</x:v>
      </x:c>
      <x:c r="E68" s="34" t="str">
        <x:v>chile</x:v>
      </x:c>
      <x:c r="F68" s="40" t="n">
        <x:v>46246.53826388889</x:v>
      </x:c>
      <x:c r="G68" s="34" t="str">
        <x:v>Registrado</x:v>
      </x:c>
      <x:c r="H68" s="34" t="str">
        <x:v>Yes</x:v>
      </x:c>
      <x:c r="I68" s="42" t="n">
        <x:v>30.85</x:v>
      </x:c>
      <x:c r="J68" s="42" t="n">
        <x:v>4</x:v>
      </x:c>
      <x:c r="K68" s="34" t="str">
        <x:v>COLD</x:v>
      </x:c>
      <x:c r="L68" s="34" t="str">
        <x:v>FOLLOW-UP</x:v>
      </x:c>
    </x:row>
    <x:row r="69">
      <x:c r="A69" s="34" t="str">
        <x:v>External</x:v>
      </x:c>
      <x:c r="B69" s="34" t="str">
        <x:v>Walter Alayo Peralta</x:v>
      </x:c>
      <x:c r="C69" s="34" t="str">
        <x:v>walter.alayo@carvimsa.com</x:v>
      </x:c>
      <x:c r="D69" s="34" t="str">
        <x:v>CARVIMSA</x:v>
      </x:c>
      <x:c r="E69" s="34" t="str">
        <x:v>Perú</x:v>
      </x:c>
      <x:c r="F69" s="40" t="n">
        <x:v>46260.47063657407</x:v>
      </x:c>
      <x:c r="G69" s="34" t="str">
        <x:v>Registrado</x:v>
      </x:c>
      <x:c r="H69" s="34" t="str">
        <x:v>Yes</x:v>
      </x:c>
      <x:c r="I69" s="42" t="n">
        <x:v>47.15</x:v>
      </x:c>
      <x:c r="J69" s="42" t="n">
        <x:v>4</x:v>
      </x:c>
      <x:c r="K69" s="34" t="str">
        <x:v>COLD</x:v>
      </x:c>
      <x:c r="L69" s="34" t="str">
        <x:v>FOLLOW-UP</x:v>
      </x:c>
    </x:row>
    <x:row r="70">
      <x:c r="A70" s="34" t="str">
        <x:v>External</x:v>
      </x:c>
      <x:c r="B70" s="34" t="str">
        <x:v>Aldo Cuadros</x:v>
      </x:c>
      <x:c r="C70" s="34" t="str">
        <x:v>aldocuadrosr@gmail.com</x:v>
      </x:c>
      <x:c r="D70" s="34" t="str">
        <x:v>Independiente</x:v>
      </x:c>
      <x:c r="E70" s="34" t="str">
        <x:v>Perú</x:v>
      </x:c>
      <x:c r="F70" s="40" t="n">
        <x:v>46260.509675925925</x:v>
      </x:c>
      <x:c r="G70" s="34" t="str">
        <x:v>Registrado</x:v>
      </x:c>
      <x:c r="H70" s="34" t="str">
        <x:v>Yes</x:v>
      </x:c>
      <x:c r="I70" s="42" t="n">
        <x:v>5.63</x:v>
      </x:c>
      <x:c r="J70" s="42" t="n">
        <x:v>3</x:v>
      </x:c>
      <x:c r="K70" s="34" t="str">
        <x:v>COLD</x:v>
      </x:c>
      <x:c r="L70" s="34" t="str">
        <x:v>FOLLOW-UP</x:v>
      </x:c>
    </x:row>
    <x:row r="71">
      <x:c r="A71" s="34" t="str">
        <x:v>External</x:v>
      </x:c>
      <x:c r="B71" s="34" t="str">
        <x:v>Alfredo Fajardo</x:v>
      </x:c>
      <x:c r="C71" s="34" t="str">
        <x:v>sig.redocelote@bioap.com.co</x:v>
      </x:c>
      <x:c r="D71" s="34" t="str">
        <x:v>Biopa</x:v>
      </x:c>
      <x:c r="E71" s="34" t="str">
        <x:v>Colombia</x:v>
      </x:c>
      <x:c r="F71" s="40" t="n">
        <x:v>46238.47634259259</x:v>
      </x:c>
      <x:c r="G71" s="34" t="str">
        <x:v>Registrado</x:v>
      </x:c>
      <x:c r="H71" s="34" t="str">
        <x:v>Yes</x:v>
      </x:c>
      <x:c r="I71" s="42" t="n">
        <x:v>1</x:v>
      </x:c>
      <x:c r="J71" s="42" t="n">
        <x:v>3</x:v>
      </x:c>
      <x:c r="K71" s="34" t="str">
        <x:v>COLD</x:v>
      </x:c>
      <x:c r="L71" s="34" t="str">
        <x:v>FOLLOW-UP</x:v>
      </x:c>
    </x:row>
    <x:row r="72">
      <x:c r="A72" s="34" t="str">
        <x:v>External</x:v>
      </x:c>
      <x:c r="B72" s="34" t="str">
        <x:v>Alvaro Alejandro Alejandro</x:v>
      </x:c>
      <x:c r="C72" s="34" t="str">
        <x:v>agropecuario_aalejandro79@outlook.com</x:v>
      </x:c>
      <x:c r="D72" s="34" t="str">
        <x:v>Colegio de Ingenieros Agrónomos de Santa Elena</x:v>
      </x:c>
      <x:c r="E72" s="34" t="str">
        <x:v>Ecuador</x:v>
      </x:c>
      <x:c r="F72" s="40" t="n">
        <x:v>46259.876064814816</x:v>
      </x:c>
      <x:c r="G72" s="34" t="str">
        <x:v>Registrado</x:v>
      </x:c>
      <x:c r="H72" s="34" t="str">
        <x:v>Yes</x:v>
      </x:c>
      <x:c r="I72" s="42" t="n">
        <x:v>5.75</x:v>
      </x:c>
      <x:c r="J72" s="42" t="n">
        <x:v>3</x:v>
      </x:c>
      <x:c r="K72" s="34" t="str">
        <x:v>COLD</x:v>
      </x:c>
      <x:c r="L72" s="34" t="str">
        <x:v>FOLLOW-UP</x:v>
      </x:c>
    </x:row>
    <x:row r="73">
      <x:c r="A73" s="34" t="str">
        <x:v>External</x:v>
      </x:c>
      <x:c r="B73" s="34" t="str">
        <x:v>Ana Galvan</x:v>
      </x:c>
      <x:c r="C73" s="34" t="str">
        <x:v>anamagamo12@gmail.com</x:v>
      </x:c>
      <x:c r="D73" s="34" t="str">
        <x:v>Independiente</x:v>
      </x:c>
      <x:c r="E73" s="34" t="str">
        <x:v>Guatemala</x:v>
      </x:c>
      <x:c r="F73" s="40" t="n">
        <x:v>46243.083287037036</x:v>
      </x:c>
      <x:c r="G73" s="34" t="str">
        <x:v>Registrado</x:v>
      </x:c>
      <x:c r="H73" s="34" t="str">
        <x:v>Yes</x:v>
      </x:c>
      <x:c r="I73" s="42" t="n">
        <x:v>9.42</x:v>
      </x:c>
      <x:c r="J73" s="42" t="n">
        <x:v>3</x:v>
      </x:c>
      <x:c r="K73" s="34" t="str">
        <x:v>COLD</x:v>
      </x:c>
      <x:c r="L73" s="34" t="str">
        <x:v>FOLLOW-UP</x:v>
      </x:c>
    </x:row>
    <x:row r="74">
      <x:c r="A74" s="34" t="str">
        <x:v>External</x:v>
      </x:c>
      <x:c r="B74" s="34" t="str">
        <x:v>Andrea Costa</x:v>
      </x:c>
      <x:c r="C74" s="34" t="str">
        <x:v>andrucosta91@gmail.com</x:v>
      </x:c>
      <x:c r="D74" s="34" t="str">
        <x:v>Dos Beta SA</x:v>
      </x:c>
      <x:c r="E74" s="34" t="str">
        <x:v>Paraguay</x:v>
      </x:c>
      <x:c r="F74" s="40" t="n">
        <x:v>46255.61005787037</x:v>
      </x:c>
      <x:c r="G74" s="34" t="str">
        <x:v>Registrado</x:v>
      </x:c>
      <x:c r="H74" s="34" t="str">
        <x:v>Yes</x:v>
      </x:c>
      <x:c r="I74" s="42" t="n">
        <x:v>13.82</x:v>
      </x:c>
      <x:c r="J74" s="42" t="n">
        <x:v>3</x:v>
      </x:c>
      <x:c r="K74" s="34" t="str">
        <x:v>COLD</x:v>
      </x:c>
      <x:c r="L74" s="34" t="str">
        <x:v>FOLLOW-UP</x:v>
      </x:c>
    </x:row>
    <x:row r="75">
      <x:c r="A75" s="34" t="str">
        <x:v>External</x:v>
      </x:c>
      <x:c r="B75" s="34" t="str">
        <x:v>benjamin sandoval</x:v>
      </x:c>
      <x:c r="C75" s="34" t="str">
        <x:v>benjamin.sandoval@proterrafoundation.org</x:v>
      </x:c>
      <x:c r="D75" s="34" t="str">
        <x:v>proterra</x:v>
      </x:c>
      <x:c r="E75" s="34" t="str">
        <x:v>latam</x:v>
      </x:c>
      <x:c r="F75" s="40" t="n">
        <x:v>46238.58738425926</x:v>
      </x:c>
      <x:c r="G75" s="34" t="str">
        <x:v>Registrado</x:v>
      </x:c>
      <x:c r="H75" s="34" t="str">
        <x:v>Yes</x:v>
      </x:c>
      <x:c r="I75" s="42" t="n">
        <x:v>16.15</x:v>
      </x:c>
      <x:c r="J75" s="42" t="n">
        <x:v>3</x:v>
      </x:c>
      <x:c r="K75" s="34" t="str">
        <x:v>COLD</x:v>
      </x:c>
      <x:c r="L75" s="34" t="str">
        <x:v>FOLLOW-UP</x:v>
      </x:c>
    </x:row>
    <x:row r="76">
      <x:c r="A76" s="34" t="str">
        <x:v>External</x:v>
      </x:c>
      <x:c r="B76" s="34" t="str">
        <x:v>Brenda Villalobos</x:v>
      </x:c>
      <x:c r="C76" s="34" t="str">
        <x:v>brenda@terranostra.com</x:v>
      </x:c>
      <x:c r="D76" s="34" t="str">
        <x:v>Terra Nostra Organics</x:v>
      </x:c>
      <x:c r="E76" s="34" t="str">
        <x:v>United States</x:v>
      </x:c>
      <x:c r="F76" s="40" t="n">
        <x:v>46246.75517361111</x:v>
      </x:c>
      <x:c r="G76" s="34" t="str">
        <x:v>Registrado</x:v>
      </x:c>
      <x:c r="H76" s="34" t="str">
        <x:v>Yes</x:v>
      </x:c>
      <x:c r="I76" s="42" t="n">
        <x:v>10.62</x:v>
      </x:c>
      <x:c r="J76" s="42" t="n">
        <x:v>3</x:v>
      </x:c>
      <x:c r="K76" s="34" t="str">
        <x:v>COLD</x:v>
      </x:c>
      <x:c r="L76" s="34" t="str">
        <x:v>FOLLOW-UP</x:v>
      </x:c>
    </x:row>
    <x:row r="77">
      <x:c r="A77" s="34" t="str">
        <x:v>External</x:v>
      </x:c>
      <x:c r="B77" s="34" t="str">
        <x:v>Carolina Guadalupe Ibarra Favela</x:v>
      </x:c>
      <x:c r="C77" s="34" t="str">
        <x:v>cibarra@citrison.com</x:v>
      </x:c>
      <x:c r="D77" s="34" t="str">
        <x:v>CITRISON S.A. DE C.V.</x:v>
      </x:c>
      <x:c r="E77" s="34" t="str">
        <x:v>México</x:v>
      </x:c>
      <x:c r="F77" s="40" t="n">
        <x:v>46240.50918981482</x:v>
      </x:c>
      <x:c r="G77" s="34" t="str">
        <x:v>Registrado</x:v>
      </x:c>
      <x:c r="H77" s="34" t="str">
        <x:v>Yes</x:v>
      </x:c>
      <x:c r="I77" s="42" t="n">
        <x:v>8.73</x:v>
      </x:c>
      <x:c r="J77" s="42" t="n">
        <x:v>3</x:v>
      </x:c>
      <x:c r="K77" s="34" t="str">
        <x:v>COLD</x:v>
      </x:c>
      <x:c r="L77" s="34" t="str">
        <x:v>FOLLOW-UP</x:v>
      </x:c>
    </x:row>
    <x:row r="78">
      <x:c r="A78" s="34" t="str">
        <x:v>External</x:v>
      </x:c>
      <x:c r="B78" s="34" t="str">
        <x:v>Diego Carranza</x:v>
      </x:c>
      <x:c r="C78" s="34" t="str">
        <x:v>diego@cumbres.com.co</x:v>
      </x:c>
      <x:c r="D78" s="34" t="str">
        <x:v>Comercializadora Cumbres SAS</x:v>
      </x:c>
      <x:c r="E78" s="34" t="str">
        <x:v>Colombia</x:v>
      </x:c>
      <x:c r="F78" s="40" t="n">
        <x:v>46258.58950231481</x:v>
      </x:c>
      <x:c r="G78" s="34" t="str">
        <x:v>Registrado</x:v>
      </x:c>
      <x:c r="H78" s="34" t="str">
        <x:v>Yes</x:v>
      </x:c>
      <x:c r="I78" s="42" t="n">
        <x:v>0.45</x:v>
      </x:c>
      <x:c r="J78" s="42" t="n">
        <x:v>3</x:v>
      </x:c>
      <x:c r="K78" s="34" t="str">
        <x:v>COLD</x:v>
      </x:c>
      <x:c r="L78" s="34" t="str">
        <x:v>FOLLOW-UP</x:v>
      </x:c>
    </x:row>
    <x:row r="79">
      <x:c r="A79" s="34" t="str">
        <x:v>External</x:v>
      </x:c>
      <x:c r="B79" s="34" t="str">
        <x:v>Esmeralda Esmeralda Morales</x:v>
      </x:c>
      <x:c r="C79" s="34" t="str">
        <x:v>emorales@citrison.com</x:v>
      </x:c>
      <x:c r="D79" s="34" t="str">
        <x:v>CITRISON S. A. DE C. V.</x:v>
      </x:c>
      <x:c r="E79" s="34" t="str">
        <x:v>México</x:v>
      </x:c>
      <x:c r="F79" s="40" t="n">
        <x:v>46240.62012731482</x:v>
      </x:c>
      <x:c r="G79" s="34" t="str">
        <x:v>Registrado</x:v>
      </x:c>
      <x:c r="H79" s="34" t="str">
        <x:v>Yes</x:v>
      </x:c>
      <x:c r="I79" s="42" t="n">
        <x:v>11.93</x:v>
      </x:c>
      <x:c r="J79" s="42" t="n">
        <x:v>3</x:v>
      </x:c>
      <x:c r="K79" s="34" t="str">
        <x:v>COLD</x:v>
      </x:c>
      <x:c r="L79" s="34" t="str">
        <x:v>FOLLOW-UP</x:v>
      </x:c>
    </x:row>
    <x:row r="80">
      <x:c r="A80" s="34" t="str">
        <x:v>External</x:v>
      </x:c>
      <x:c r="B80" s="34" t="str">
        <x:v>Esmeralda Viviana Olaya Hernández</x:v>
      </x:c>
      <x:c r="C80" s="34" t="str">
        <x:v>logistica@unicafec.com</x:v>
      </x:c>
      <x:c r="D80" s="34" t="str">
        <x:v>Cooperativa Unicafec</x:v>
      </x:c>
      <x:c r="E80" s="34" t="str">
        <x:v>Perú</x:v>
      </x:c>
      <x:c r="F80" s="40" t="n">
        <x:v>46239.476168981484</x:v>
      </x:c>
      <x:c r="G80" s="34" t="str">
        <x:v>Registrado</x:v>
      </x:c>
      <x:c r="H80" s="34" t="str">
        <x:v>Yes</x:v>
      </x:c>
      <x:c r="I80" s="42" t="n">
        <x:v>0.12</x:v>
      </x:c>
      <x:c r="J80" s="42" t="n">
        <x:v>3</x:v>
      </x:c>
      <x:c r="K80" s="34" t="str">
        <x:v>COLD</x:v>
      </x:c>
      <x:c r="L80" s="34" t="str">
        <x:v>FOLLOW-UP</x:v>
      </x:c>
    </x:row>
    <x:row r="81">
      <x:c r="A81" s="34" t="str">
        <x:v>External</x:v>
      </x:c>
      <x:c r="B81" s="34" t="str">
        <x:v>Gabriela Baez</x:v>
      </x:c>
      <x:c r="C81" s="34" t="str">
        <x:v>gabriela.baez@adm.com</x:v>
      </x:c>
      <x:c r="D81" s="34" t="str">
        <x:v>ADM PARAGUAY SRL</x:v>
      </x:c>
      <x:c r="E81" s="34" t="str">
        <x:v>PARAGUAY</x:v>
      </x:c>
      <x:c r="F81" s="40" t="n">
        <x:v>46247.70988425926</x:v>
      </x:c>
      <x:c r="G81" s="34" t="str">
        <x:v>Registrado</x:v>
      </x:c>
      <x:c r="H81" s="34" t="str">
        <x:v>Yes</x:v>
      </x:c>
      <x:c r="I81" s="42" t="n">
        <x:v>24.32</x:v>
      </x:c>
      <x:c r="J81" s="42" t="n">
        <x:v>3</x:v>
      </x:c>
      <x:c r="K81" s="34" t="str">
        <x:v>COLD</x:v>
      </x:c>
      <x:c r="L81" s="34" t="str">
        <x:v>FOLLOW-UP</x:v>
      </x:c>
    </x:row>
    <x:row r="82">
      <x:c r="A82" s="34" t="str">
        <x:v>External</x:v>
      </x:c>
      <x:c r="B82" s="34" t="str">
        <x:v>Geraldine Sulkin</x:v>
      </x:c>
      <x:c r="C82" s="34" t="str">
        <x:v>geraldine.sulkin@solidaridadnetwork.org</x:v>
      </x:c>
      <x:c r="D82" s="34" t="str">
        <x:v>Solidaridad</x:v>
      </x:c>
      <x:c r="E82" s="34" t="str">
        <x:v>Argentina</x:v>
      </x:c>
      <x:c r="F82" s="40" t="n">
        <x:v>46253.442974537036</x:v>
      </x:c>
      <x:c r="G82" s="34" t="str">
        <x:v>Registrado</x:v>
      </x:c>
      <x:c r="H82" s="34" t="str">
        <x:v>Yes</x:v>
      </x:c>
      <x:c r="I82" s="42" t="n">
        <x:v>12.57</x:v>
      </x:c>
      <x:c r="J82" s="42" t="n">
        <x:v>3</x:v>
      </x:c>
      <x:c r="K82" s="34" t="str">
        <x:v>COLD</x:v>
      </x:c>
      <x:c r="L82" s="34" t="str">
        <x:v>FOLLOW-UP</x:v>
      </x:c>
    </x:row>
    <x:row r="83">
      <x:c r="A83" s="34" t="str">
        <x:v>External</x:v>
      </x:c>
      <x:c r="B83" s="34" t="str">
        <x:v>Gerardo Linares</x:v>
      </x:c>
      <x:c r="C83" s="34" t="str">
        <x:v>gerardo_linares@barry-callebaut.com</x:v>
      </x:c>
      <x:c r="D83" s="34" t="str">
        <x:v>Barry Callebaut</x:v>
      </x:c>
      <x:c r="E83" s="34" t="str">
        <x:v>México</x:v>
      </x:c>
      <x:c r="F83" s="40" t="n">
        <x:v>46258.771006944444</x:v>
      </x:c>
      <x:c r="G83" s="34" t="str">
        <x:v>Registrado</x:v>
      </x:c>
      <x:c r="H83" s="34" t="str">
        <x:v>Yes</x:v>
      </x:c>
      <x:c r="I83" s="42" t="n">
        <x:v>15.5</x:v>
      </x:c>
      <x:c r="J83" s="42" t="n">
        <x:v>3</x:v>
      </x:c>
      <x:c r="K83" s="34" t="str">
        <x:v>COLD</x:v>
      </x:c>
      <x:c r="L83" s="34" t="str">
        <x:v>FOLLOW-UP</x:v>
      </x:c>
    </x:row>
    <x:row r="84">
      <x:c r="A84" s="34" t="str">
        <x:v>External</x:v>
      </x:c>
      <x:c r="B84" s="34" t="str">
        <x:v>Henry Vasquez</x:v>
      </x:c>
      <x:c r="C84" s="34" t="str">
        <x:v>ucertificacion@actu.com.pe</x:v>
      </x:c>
      <x:c r="D84" s="34" t="str">
        <x:v>ASOCIACION DE CACAOTEROS TECNIFICADOS  DEL UCAYALI</x:v>
      </x:c>
      <x:c r="E84" s="34" t="str">
        <x:v>Perú</x:v>
      </x:c>
      <x:c r="F84" s="40" t="n">
        <x:v>46260.51678240741</x:v>
      </x:c>
      <x:c r="G84" s="34" t="str">
        <x:v>Registrado</x:v>
      </x:c>
      <x:c r="H84" s="34" t="str">
        <x:v>Yes</x:v>
      </x:c>
      <x:c r="I84" s="42" t="n">
        <x:v>28.18</x:v>
      </x:c>
      <x:c r="J84" s="42" t="n">
        <x:v>3</x:v>
      </x:c>
      <x:c r="K84" s="34" t="str">
        <x:v>COLD</x:v>
      </x:c>
      <x:c r="L84" s="34" t="str">
        <x:v>FOLLOW-UP</x:v>
      </x:c>
    </x:row>
    <x:row r="85">
      <x:c r="A85" s="34" t="str">
        <x:v>External</x:v>
      </x:c>
      <x:c r="B85" s="34" t="str">
        <x:v>Isamar Gonzalez</x:v>
      </x:c>
      <x:c r="C85" s="34" t="str">
        <x:v>isamar@terranostra.com</x:v>
      </x:c>
      <x:c r="D85" s="34" t="str">
        <x:v>Terra Nostra Organics, Inc</x:v>
      </x:c>
      <x:c r="E85" s="34" t="str">
        <x:v>Mexico</x:v>
      </x:c>
      <x:c r="F85" s="40" t="n">
        <x:v>46259.572280092594</x:v>
      </x:c>
      <x:c r="G85" s="34" t="str">
        <x:v>Registrado</x:v>
      </x:c>
      <x:c r="H85" s="34" t="str">
        <x:v>Yes</x:v>
      </x:c>
      <x:c r="I85" s="42" t="n">
        <x:v>2.32</x:v>
      </x:c>
      <x:c r="J85" s="42" t="n">
        <x:v>3</x:v>
      </x:c>
      <x:c r="K85" s="34" t="str">
        <x:v>COLD</x:v>
      </x:c>
      <x:c r="L85" s="34" t="str">
        <x:v>FOLLOW-UP</x:v>
      </x:c>
    </x:row>
    <x:row r="86">
      <x:c r="A86" s="34" t="str">
        <x:v>External</x:v>
      </x:c>
      <x:c r="B86" s="34" t="str">
        <x:v>JOSE SOSA</x:v>
      </x:c>
      <x:c r="C86" s="34" t="str">
        <x:v>jose.alvarenga0988@gmail.com</x:v>
      </x:c>
      <x:c r="D86" s="34" t="str">
        <x:v>MER seafood Trading</x:v>
      </x:c>
      <x:c r="E86" s="34" t="str">
        <x:v>Honduras</x:v>
      </x:c>
      <x:c r="F86" s="40" t="n">
        <x:v>46252.73809027778</x:v>
      </x:c>
      <x:c r="G86" s="34" t="str">
        <x:v>Registrado</x:v>
      </x:c>
      <x:c r="H86" s="34" t="str">
        <x:v>Yes</x:v>
      </x:c>
      <x:c r="I86" s="42" t="n">
        <x:v>2.93</x:v>
      </x:c>
      <x:c r="J86" s="42" t="n">
        <x:v>3</x:v>
      </x:c>
      <x:c r="K86" s="34" t="str">
        <x:v>COLD</x:v>
      </x:c>
      <x:c r="L86" s="34" t="str">
        <x:v>FOLLOW-UP</x:v>
      </x:c>
    </x:row>
    <x:row r="87">
      <x:c r="A87" s="34" t="str">
        <x:v>External</x:v>
      </x:c>
      <x:c r="B87" s="34" t="str">
        <x:v>Juan Manuel Gutierrez Aguilar</x:v>
      </x:c>
      <x:c r="C87" s="34" t="str">
        <x:v>juan.gutierrez@cafesca.com</x:v>
      </x:c>
      <x:c r="D87" s="34" t="str">
        <x:v>CAFES DE ESPECIALIDAD DE CHIAPAS</x:v>
      </x:c>
      <x:c r="E87" s="34" t="str">
        <x:v>México</x:v>
      </x:c>
      <x:c r="F87" s="40" t="n">
        <x:v>46246.668807870374</x:v>
      </x:c>
      <x:c r="G87" s="34" t="str">
        <x:v>Registrado</x:v>
      </x:c>
      <x:c r="H87" s="34" t="str">
        <x:v>Yes</x:v>
      </x:c>
      <x:c r="I87" s="42" t="n">
        <x:v>1.03</x:v>
      </x:c>
      <x:c r="J87" s="42" t="n">
        <x:v>3</x:v>
      </x:c>
      <x:c r="K87" s="34" t="str">
        <x:v>COLD</x:v>
      </x:c>
      <x:c r="L87" s="34" t="str">
        <x:v>FOLLOW-UP</x:v>
      </x:c>
    </x:row>
    <x:row r="88">
      <x:c r="A88" s="34" t="str">
        <x:v>External</x:v>
      </x:c>
      <x:c r="B88" s="34" t="str">
        <x:v>KATHERINE YOLANDA POMAZONGO CORTEZ</x:v>
      </x:c>
      <x:c r="C88" s="34" t="str">
        <x:v>certificaciones@agrocafekivinaki.com</x:v>
      </x:c>
      <x:c r="D88" s="34" t="str">
        <x:v>ASOCIACIÓN DE PRODUCTORES AGRARIOS ALTO KIVINAKI</x:v>
      </x:c>
      <x:c r="E88" s="34" t="str">
        <x:v>PERÚ - JUNÍN</x:v>
      </x:c>
      <x:c r="F88" s="40" t="n">
        <x:v>46258.559907407405</x:v>
      </x:c>
      <x:c r="G88" s="34" t="str">
        <x:v>Registrado</x:v>
      </x:c>
      <x:c r="H88" s="34" t="str">
        <x:v>Yes</x:v>
      </x:c>
      <x:c r="I88" s="42" t="n">
        <x:v>11.05</x:v>
      </x:c>
      <x:c r="J88" s="42" t="n">
        <x:v>3</x:v>
      </x:c>
      <x:c r="K88" s="34" t="str">
        <x:v>COLD</x:v>
      </x:c>
      <x:c r="L88" s="34" t="str">
        <x:v>FOLLOW-UP</x:v>
      </x:c>
    </x:row>
    <x:row r="89">
      <x:c r="A89" s="34" t="str">
        <x:v>External</x:v>
      </x:c>
      <x:c r="B89" s="34" t="str">
        <x:v>Maria Eugenia Champion</x:v>
      </x:c>
      <x:c r="C89" s="34" t="str">
        <x:v>mchampion@robecayazoo.com</x:v>
      </x:c>
      <x:c r="D89" s="34" t="str">
        <x:v>Yazoo Investment</x:v>
      </x:c>
      <x:c r="E89" s="34" t="str">
        <x:v>Republica Dominicana</x:v>
      </x:c>
      <x:c r="F89" s="40" t="n">
        <x:v>46240.41806712963</x:v>
      </x:c>
      <x:c r="G89" s="34" t="str">
        <x:v>Registrado</x:v>
      </x:c>
      <x:c r="H89" s="34" t="str">
        <x:v>Yes</x:v>
      </x:c>
      <x:c r="I89" s="42" t="n">
        <x:v>5.52</x:v>
      </x:c>
      <x:c r="J89" s="42" t="n">
        <x:v>3</x:v>
      </x:c>
      <x:c r="K89" s="34" t="str">
        <x:v>COLD</x:v>
      </x:c>
      <x:c r="L89" s="34" t="str">
        <x:v>FOLLOW-UP</x:v>
      </x:c>
    </x:row>
    <x:row r="90">
      <x:c r="A90" s="34" t="str">
        <x:v>External</x:v>
      </x:c>
      <x:c r="B90" s="34" t="str">
        <x:v>Maria Virginia Rodriguez</x:v>
      </x:c>
      <x:c r="C90" s="34" t="str">
        <x:v>rodriguez.virginia@inta.gob.ar</x:v>
      </x:c>
      <x:c r="D90" s="34" t="str">
        <x:v>INTA-FCA</x:v>
      </x:c>
      <x:c r="E90" s="34" t="str">
        <x:v>Argentina</x:v>
      </x:c>
      <x:c r="F90" s="40" t="n">
        <x:v>46259.61701388889</x:v>
      </x:c>
      <x:c r="G90" s="34" t="str">
        <x:v>Registrado</x:v>
      </x:c>
      <x:c r="H90" s="34" t="str">
        <x:v>Yes</x:v>
      </x:c>
      <x:c r="I90" s="42" t="n">
        <x:v>2.32</x:v>
      </x:c>
      <x:c r="J90" s="42" t="n">
        <x:v>3</x:v>
      </x:c>
      <x:c r="K90" s="34" t="str">
        <x:v>COLD</x:v>
      </x:c>
      <x:c r="L90" s="34" t="str">
        <x:v>FOLLOW-UP</x:v>
      </x:c>
    </x:row>
    <x:row r="91">
      <x:c r="A91" s="34" t="str">
        <x:v>External</x:v>
      </x:c>
      <x:c r="B91" s="34" t="str">
        <x:v>Mercedes Mateos</x:v>
      </x:c>
      <x:c r="C91" s="34" t="str">
        <x:v>mercemateos96@gmail.com</x:v>
      </x:c>
      <x:c r="D91" s="34" t="str">
        <x:v>'-</x:v>
      </x:c>
      <x:c r="E91" s="34" t="str">
        <x:v>Argentina</x:v>
      </x:c>
      <x:c r="F91" s="40" t="n">
        <x:v>46260.469247685185</x:v>
      </x:c>
      <x:c r="G91" s="34" t="str">
        <x:v>Registrado</x:v>
      </x:c>
      <x:c r="H91" s="34" t="str">
        <x:v>Yes</x:v>
      </x:c>
      <x:c r="I91" s="42" t="n">
        <x:v>13.45</x:v>
      </x:c>
      <x:c r="J91" s="42" t="n">
        <x:v>3</x:v>
      </x:c>
      <x:c r="K91" s="34" t="str">
        <x:v>COLD</x:v>
      </x:c>
      <x:c r="L91" s="34" t="str">
        <x:v>FOLLOW-UP</x:v>
      </x:c>
    </x:row>
    <x:row r="92">
      <x:c r="A92" s="34" t="str">
        <x:v>External</x:v>
      </x:c>
      <x:c r="B92" s="34" t="str">
        <x:v>Mercedes Rivas</x:v>
      </x:c>
      <x:c r="C92" s="34" t="str">
        <x:v>mlrivas.n@gmail.com</x:v>
      </x:c>
      <x:c r="D92" s="34" t="str">
        <x:v>Independiente</x:v>
      </x:c>
      <x:c r="E92" s="34" t="str">
        <x:v>Perú</x:v>
      </x:c>
      <x:c r="F92" s="40" t="n">
        <x:v>46259.99282407408</x:v>
      </x:c>
      <x:c r="G92" s="34" t="str">
        <x:v>Registrado</x:v>
      </x:c>
      <x:c r="H92" s="34" t="str">
        <x:v>Yes</x:v>
      </x:c>
      <x:c r="I92" s="42" t="n">
        <x:v>20.98</x:v>
      </x:c>
      <x:c r="J92" s="42" t="n">
        <x:v>3</x:v>
      </x:c>
      <x:c r="K92" s="34" t="str">
        <x:v>COLD</x:v>
      </x:c>
      <x:c r="L92" s="34" t="str">
        <x:v>FOLLOW-UP</x:v>
      </x:c>
    </x:row>
    <x:row r="93">
      <x:c r="A93" s="34" t="str">
        <x:v>External</x:v>
      </x:c>
      <x:c r="B93" s="34" t="str">
        <x:v>Micaela Canan</x:v>
      </x:c>
      <x:c r="C93" s="34" t="str">
        <x:v>micaela.canan@adm.com</x:v>
      </x:c>
      <x:c r="D93" s="34" t="str">
        <x:v>ADM</x:v>
      </x:c>
      <x:c r="E93" s="34" t="str">
        <x:v>PARAGUAY</x:v>
      </x:c>
      <x:c r="F93" s="40" t="n">
        <x:v>46260.49855324074</x:v>
      </x:c>
      <x:c r="G93" s="34" t="str">
        <x:v>Registrado</x:v>
      </x:c>
      <x:c r="H93" s="34" t="str">
        <x:v>Yes</x:v>
      </x:c>
      <x:c r="I93" s="42" t="n">
        <x:v>8.6</x:v>
      </x:c>
      <x:c r="J93" s="42" t="n">
        <x:v>3</x:v>
      </x:c>
      <x:c r="K93" s="34" t="str">
        <x:v>COLD</x:v>
      </x:c>
      <x:c r="L93" s="34" t="str">
        <x:v>FOLLOW-UP</x:v>
      </x:c>
    </x:row>
    <x:row r="94">
      <x:c r="A94" s="34" t="str">
        <x:v>External</x:v>
      </x:c>
      <x:c r="B94" s="34" t="str">
        <x:v>Monica Mancini</x:v>
      </x:c>
      <x:c r="C94" s="34" t="str">
        <x:v>monigmancini@gmail.com</x:v>
      </x:c>
      <x:c r="D94" s="34" t="str">
        <x:v>Letis S.A.</x:v>
      </x:c>
      <x:c r="E94" s="34" t="str">
        <x:v>Argentina</x:v>
      </x:c>
      <x:c r="F94" s="40" t="n">
        <x:v>46245.81765046297</x:v>
      </x:c>
      <x:c r="G94" s="34" t="str">
        <x:v>Registrado</x:v>
      </x:c>
      <x:c r="H94" s="34" t="str">
        <x:v>Yes</x:v>
      </x:c>
      <x:c r="I94" s="42" t="n">
        <x:v>1.42</x:v>
      </x:c>
      <x:c r="J94" s="42" t="n">
        <x:v>3</x:v>
      </x:c>
      <x:c r="K94" s="34" t="str">
        <x:v>COLD</x:v>
      </x:c>
      <x:c r="L94" s="34" t="str">
        <x:v>FOLLOW-UP</x:v>
      </x:c>
    </x:row>
    <x:row r="95">
      <x:c r="A95" s="34" t="str">
        <x:v>External</x:v>
      </x:c>
      <x:c r="B95" s="34" t="str">
        <x:v>Nayeli Martínez Ulloa</x:v>
      </x:c>
      <x:c r="C95" s="34" t="str">
        <x:v>nayeli.martinez@oleomex.com.mx</x:v>
      </x:c>
      <x:c r="D95" s="34" t="str">
        <x:v>Oleomex</x:v>
      </x:c>
      <x:c r="E95" s="34" t="str">
        <x:v>México</x:v>
      </x:c>
      <x:c r="F95" s="40" t="n">
        <x:v>46247.62767361111</x:v>
      </x:c>
      <x:c r="G95" s="34" t="str">
        <x:v>Registrado</x:v>
      </x:c>
      <x:c r="H95" s="34" t="str">
        <x:v>Yes</x:v>
      </x:c>
      <x:c r="I95" s="42" t="n">
        <x:v>6.5</x:v>
      </x:c>
      <x:c r="J95" s="42" t="n">
        <x:v>3</x:v>
      </x:c>
      <x:c r="K95" s="34" t="str">
        <x:v>COLD</x:v>
      </x:c>
      <x:c r="L95" s="34" t="str">
        <x:v>FOLLOW-UP</x:v>
      </x:c>
    </x:row>
    <x:row r="96">
      <x:c r="A96" s="34" t="str">
        <x:v>External</x:v>
      </x:c>
      <x:c r="B96" s="34" t="str">
        <x:v>PROSERIN S.A</x:v>
      </x:c>
      <x:c r="C96" s="34" t="str">
        <x:v>proserin@proserinhn.com</x:v>
      </x:c>
      <x:c r="D96" s="34" t="str">
        <x:v>PROSERIN S.A</x:v>
      </x:c>
      <x:c r="E96" s="34" t="str">
        <x:v>Honduras</x:v>
      </x:c>
      <x:c r="F96" s="40" t="n">
        <x:v>46260.51907407407</x:v>
      </x:c>
      <x:c r="G96" s="34" t="str">
        <x:v>Registrado</x:v>
      </x:c>
      <x:c r="H96" s="34" t="str">
        <x:v>Yes</x:v>
      </x:c>
      <x:c r="I96" s="42" t="n">
        <x:v>1.23</x:v>
      </x:c>
      <x:c r="J96" s="42" t="n">
        <x:v>3</x:v>
      </x:c>
      <x:c r="K96" s="34" t="str">
        <x:v>COLD</x:v>
      </x:c>
      <x:c r="L96" s="34" t="str">
        <x:v>FOLLOW-UP</x:v>
      </x:c>
    </x:row>
    <x:row r="97">
      <x:c r="A97" s="34" t="str">
        <x:v>External</x:v>
      </x:c>
      <x:c r="B97" s="34" t="str">
        <x:v>Romina Santellan</x:v>
      </x:c>
      <x:c r="C97" s="34" t="str">
        <x:v>romina_santellan@cargill.com</x:v>
      </x:c>
      <x:c r="D97" s="34" t="str">
        <x:v>Cargill SACI</x:v>
      </x:c>
      <x:c r="E97" s="34" t="str">
        <x:v>Argentina</x:v>
      </x:c>
      <x:c r="F97" s="40" t="n">
        <x:v>46260.50814814815</x:v>
      </x:c>
      <x:c r="G97" s="34" t="str">
        <x:v>Registrado</x:v>
      </x:c>
      <x:c r="H97" s="34" t="str">
        <x:v>Yes</x:v>
      </x:c>
      <x:c r="I97" s="42" t="n">
        <x:v>0</x:v>
      </x:c>
      <x:c r="J97" s="42" t="n">
        <x:v>3</x:v>
      </x:c>
      <x:c r="K97" s="34" t="str">
        <x:v>COLD</x:v>
      </x:c>
      <x:c r="L97" s="34" t="str">
        <x:v>FOLLOW-UP</x:v>
      </x:c>
    </x:row>
    <x:row r="98">
      <x:c r="A98" s="34" t="str">
        <x:v>External</x:v>
      </x:c>
      <x:c r="B98" s="34" t="str">
        <x:v>Sandra Romero</x:v>
      </x:c>
      <x:c r="C98" s="34" t="str">
        <x:v>certificaciones@perfilescoffee.com</x:v>
      </x:c>
      <x:c r="D98" s="34" t="str">
        <x:v>Perfiles Coffee</x:v>
      </x:c>
      <x:c r="E98" s="34" t="str">
        <x:v>Perú</x:v>
      </x:c>
      <x:c r="F98" s="40" t="n">
        <x:v>46239.47954861111</x:v>
      </x:c>
      <x:c r="G98" s="34" t="str">
        <x:v>Registrado</x:v>
      </x:c>
      <x:c r="H98" s="34" t="str">
        <x:v>Yes</x:v>
      </x:c>
      <x:c r="I98" s="42" t="n">
        <x:v>11.35</x:v>
      </x:c>
      <x:c r="J98" s="42" t="n">
        <x:v>3</x:v>
      </x:c>
      <x:c r="K98" s="34" t="str">
        <x:v>COLD</x:v>
      </x:c>
      <x:c r="L98" s="34" t="str">
        <x:v>FOLLOW-UP</x:v>
      </x:c>
    </x:row>
    <x:row r="99">
      <x:c r="A99" s="34" t="str">
        <x:v>External</x:v>
      </x:c>
      <x:c r="B99" s="34" t="str">
        <x:v>Santiago Capote</x:v>
      </x:c>
      <x:c r="C99" s="34" t="str">
        <x:v>juanpablo@qualabs.com</x:v>
      </x:c>
      <x:c r="D99" s="34" t="str">
        <x:v>Qualabs</x:v>
      </x:c>
      <x:c r="E99" s="34" t="str">
        <x:v>Uruguay</x:v>
      </x:c>
      <x:c r="F99" s="40" t="n">
        <x:v>46245.70988425926</x:v>
      </x:c>
      <x:c r="G99" s="34" t="str">
        <x:v>Registrado</x:v>
      </x:c>
      <x:c r="H99" s="34" t="str">
        <x:v>Yes</x:v>
      </x:c>
      <x:c r="I99" s="42" t="n">
        <x:v>20.05</x:v>
      </x:c>
      <x:c r="J99" s="42" t="n">
        <x:v>3</x:v>
      </x:c>
      <x:c r="K99" s="34" t="str">
        <x:v>COLD</x:v>
      </x:c>
      <x:c r="L99" s="34" t="str">
        <x:v>FOLLOW-UP</x:v>
      </x:c>
    </x:row>
    <x:row r="100">
      <x:c r="A100" s="34" t="str">
        <x:v>External</x:v>
      </x:c>
      <x:c r="B100" s="34" t="str">
        <x:v>Silmar Czezaniak</x:v>
      </x:c>
      <x:c r="C100" s="34" t="str">
        <x:v>silmar.farmsgroup@hotmail.com</x:v>
      </x:c>
      <x:c r="D100" s="34" t="str">
        <x:v>Farms Group S.A.</x:v>
      </x:c>
      <x:c r="E100" s="34" t="str">
        <x:v>paraguay</x:v>
      </x:c>
      <x:c r="F100" s="40" t="n">
        <x:v>46246.715578703705</x:v>
      </x:c>
      <x:c r="G100" s="34" t="str">
        <x:v>Registrado</x:v>
      </x:c>
      <x:c r="H100" s="34" t="str">
        <x:v>Yes</x:v>
      </x:c>
      <x:c r="I100" s="42" t="n">
        <x:v>21.73</x:v>
      </x:c>
      <x:c r="J100" s="42" t="n">
        <x:v>3</x:v>
      </x:c>
      <x:c r="K100" s="34" t="str">
        <x:v>COLD</x:v>
      </x:c>
      <x:c r="L100" s="34" t="str">
        <x:v>FOLLOW-UP</x:v>
      </x:c>
    </x:row>
    <x:row r="101">
      <x:c r="A101" s="34" t="str">
        <x:v>External</x:v>
      </x:c>
      <x:c r="B101" s="34" t="str">
        <x:v>Stephany Meza Maldonado</x:v>
      </x:c>
      <x:c r="C101" s="34" t="str">
        <x:v>stephany.meza@smurfitwestrock.mx</x:v>
      </x:c>
      <x:c r="D101" s="34" t="str">
        <x:v>Smurfit Westrock</x:v>
      </x:c>
      <x:c r="E101" s="34" t="str">
        <x:v>Mexico</x:v>
      </x:c>
      <x:c r="F101" s="40" t="n">
        <x:v>46240.48533564815</x:v>
      </x:c>
      <x:c r="G101" s="34" t="str">
        <x:v>Registrado</x:v>
      </x:c>
      <x:c r="H101" s="34" t="str">
        <x:v>Yes</x:v>
      </x:c>
      <x:c r="I101" s="42" t="n">
        <x:v>0.05</x:v>
      </x:c>
      <x:c r="J101" s="42" t="n">
        <x:v>3</x:v>
      </x:c>
      <x:c r="K101" s="34" t="str">
        <x:v>COLD</x:v>
      </x:c>
      <x:c r="L101" s="34" t="str">
        <x:v>FOLLOW-UP</x:v>
      </x:c>
    </x:row>
    <x:row r="102">
      <x:c r="A102" s="34" t="str">
        <x:v>External</x:v>
      </x:c>
      <x:c r="B102" s="34" t="str">
        <x:v>Valeria Leffler</x:v>
      </x:c>
      <x:c r="C102" s="34" t="str">
        <x:v>valeria.l@dos-hermanos.com</x:v>
      </x:c>
      <x:c r="D102" s="34" t="str">
        <x:v>Dos Hermanos S.A</x:v>
      </x:c>
      <x:c r="E102" s="34" t="str">
        <x:v>Argentina</x:v>
      </x:c>
      <x:c r="F102" s="40" t="n">
        <x:v>46258.4428125</x:v>
      </x:c>
      <x:c r="G102" s="34" t="str">
        <x:v>Registrado</x:v>
      </x:c>
      <x:c r="H102" s="34" t="str">
        <x:v>Yes</x:v>
      </x:c>
      <x:c r="I102" s="42" t="n">
        <x:v>10.8</x:v>
      </x:c>
      <x:c r="J102" s="42" t="n">
        <x:v>3</x:v>
      </x:c>
      <x:c r="K102" s="34" t="str">
        <x:v>COLD</x:v>
      </x:c>
      <x:c r="L102" s="34" t="str">
        <x:v>FOLLOW-UP</x:v>
      </x:c>
    </x:row>
    <x:row r="103">
      <x:c r="A103" s="34" t="str">
        <x:v>External</x:v>
      </x:c>
      <x:c r="B103" s="34" t="str">
        <x:v>Viviana Lopez</x:v>
      </x:c>
      <x:c r="C103" s="34" t="str">
        <x:v>viviana.lopez@agricolahimalaya.com</x:v>
      </x:c>
      <x:c r="D103" s="34" t="str">
        <x:v>AH</x:v>
      </x:c>
      <x:c r="E103" s="34" t="str">
        <x:v>Colombia</x:v>
      </x:c>
      <x:c r="F103" s="40" t="n">
        <x:v>46258.485081018516</x:v>
      </x:c>
      <x:c r="G103" s="34" t="str">
        <x:v>Registrado</x:v>
      </x:c>
      <x:c r="H103" s="34" t="str">
        <x:v>Yes</x:v>
      </x:c>
      <x:c r="I103" s="42" t="n">
        <x:v>16.18</x:v>
      </x:c>
      <x:c r="J103" s="42" t="n">
        <x:v>3</x:v>
      </x:c>
      <x:c r="K103" s="34" t="str">
        <x:v>COLD</x:v>
      </x:c>
      <x:c r="L103" s="34" t="str">
        <x:v>FOLLOW-UP</x:v>
      </x:c>
    </x:row>
    <x:row r="104">
      <x:c r="A104" s="34" t="str">
        <x:v>External</x:v>
      </x:c>
      <x:c r="B104" s="34" t="str">
        <x:v>Walter Sione Walter Sione</x:v>
      </x:c>
      <x:c r="C104" s="34" t="str">
        <x:v>wsione@gmail.com</x:v>
      </x:c>
      <x:c r="D104" s="34" t="str">
        <x:v>ceregeo uader</x:v>
      </x:c>
      <x:c r="E104" s="34" t="str">
        <x:v>Argentina</x:v>
      </x:c>
      <x:c r="F104" s="40" t="n">
        <x:v>46254.52311342592</x:v>
      </x:c>
      <x:c r="G104" s="34" t="str">
        <x:v>Registrado</x:v>
      </x:c>
      <x:c r="H104" s="34" t="str">
        <x:v>Yes</x:v>
      </x:c>
      <x:c r="I104" s="42" t="n">
        <x:v>11.58</x:v>
      </x:c>
      <x:c r="J104" s="42" t="n">
        <x:v>3</x:v>
      </x:c>
      <x:c r="K104" s="34" t="str">
        <x:v>COLD</x:v>
      </x:c>
      <x:c r="L104" s="34" t="str">
        <x:v>FOLLOW-UP</x:v>
      </x:c>
    </x:row>
    <x:row r="105">
      <x:c r="A105" s="34" t="str">
        <x:v>External</x:v>
      </x:c>
      <x:c r="B105" s="34" t="str">
        <x:v>Abigail Paredes</x:v>
      </x:c>
      <x:c r="C105" s="34" t="str">
        <x:v>aparedes@cotagro.com.ar</x:v>
      </x:c>
      <x:c r="D105" s="34" t="str">
        <x:v>Cotagro CAL</x:v>
      </x:c>
      <x:c r="E105" s="34" t="str">
        <x:v>Argentina</x:v>
      </x:c>
      <x:c r="F105" s="40" t="n">
        <x:v>46238.95313657408</x:v>
      </x:c>
      <x:c r="G105" s="34" t="str">
        <x:v>Registrado</x:v>
      </x:c>
      <x:c r="H105" s="34" t="str">
        <x:v>No</x:v>
      </x:c>
      <x:c r="I105" s="42"/>
      <x:c r="J105" s="42"/>
      <x:c r="K105" s="34" t="str"/>
      <x:c r="L105" s="34" t="str">
        <x:v>NO-SHOW</x:v>
      </x:c>
    </x:row>
    <x:row r="106">
      <x:c r="A106" s="34" t="str">
        <x:v>External</x:v>
      </x:c>
      <x:c r="B106" s="34" t="str">
        <x:v>ABIGAIL PAREDES</x:v>
      </x:c>
      <x:c r="C106" s="34" t="str">
        <x:v>abiparedes11@gmail.com</x:v>
      </x:c>
      <x:c r="D106" s="34" t="str">
        <x:v>Cotagro Cal</x:v>
      </x:c>
      <x:c r="E106" s="34" t="str">
        <x:v>Argentina</x:v>
      </x:c>
      <x:c r="F106" s="40" t="n">
        <x:v>46254.394212962965</x:v>
      </x:c>
      <x:c r="G106" s="34" t="str">
        <x:v>Registrado</x:v>
      </x:c>
      <x:c r="H106" s="34" t="str">
        <x:v>No</x:v>
      </x:c>
      <x:c r="I106" s="42"/>
      <x:c r="J106" s="42"/>
      <x:c r="K106" s="34" t="str"/>
      <x:c r="L106" s="34" t="str">
        <x:v>NO-SHOW</x:v>
      </x:c>
    </x:row>
    <x:row r="107">
      <x:c r="A107" s="34" t="str">
        <x:v>External</x:v>
      </x:c>
      <x:c r="B107" s="34" t="str">
        <x:v>Adrian Tenecota</x:v>
      </x:c>
      <x:c r="C107" s="34" t="str">
        <x:v>adrian_201019@hotmail.com</x:v>
      </x:c>
      <x:c r="D107" s="34" t="str">
        <x:v>Independiente</x:v>
      </x:c>
      <x:c r="E107" s="34" t="str">
        <x:v>Ecuador</x:v>
      </x:c>
      <x:c r="F107" s="40" t="n">
        <x:v>46246.06224537037</x:v>
      </x:c>
      <x:c r="G107" s="34" t="str">
        <x:v>Registrado</x:v>
      </x:c>
      <x:c r="H107" s="34" t="str">
        <x:v>No</x:v>
      </x:c>
      <x:c r="I107" s="42"/>
      <x:c r="J107" s="42"/>
      <x:c r="K107" s="34" t="str"/>
      <x:c r="L107" s="34" t="str">
        <x:v>NO-SHOW</x:v>
      </x:c>
    </x:row>
    <x:row r="108">
      <x:c r="A108" s="34" t="str">
        <x:v>External</x:v>
      </x:c>
      <x:c r="B108" s="34" t="str">
        <x:v>Adriana Velarde Vargas</x:v>
      </x:c>
      <x:c r="C108" s="34" t="str">
        <x:v>adriana_velardevargas@cargill.com</x:v>
      </x:c>
      <x:c r="D108" s="34" t="str">
        <x:v>Cargill</x:v>
      </x:c>
      <x:c r="E108" s="34" t="str">
        <x:v>Ecuador</x:v>
      </x:c>
      <x:c r="F108" s="40" t="n">
        <x:v>46240.59920138889</x:v>
      </x:c>
      <x:c r="G108" s="34" t="str">
        <x:v>Registrado</x:v>
      </x:c>
      <x:c r="H108" s="34" t="str">
        <x:v>No</x:v>
      </x:c>
      <x:c r="I108" s="42"/>
      <x:c r="J108" s="42"/>
      <x:c r="K108" s="34" t="str"/>
      <x:c r="L108" s="34" t="str">
        <x:v>NO-SHOW</x:v>
      </x:c>
    </x:row>
    <x:row r="109">
      <x:c r="A109" s="34" t="str">
        <x:v>External</x:v>
      </x:c>
      <x:c r="B109" s="34" t="str">
        <x:v>Alcione Garcias Teixeira</x:v>
      </x:c>
      <x:c r="C109" s="34" t="str">
        <x:v>alcione.garcias@agrofertil.com.py</x:v>
      </x:c>
      <x:c r="D109" s="34" t="str">
        <x:v>AGROFERTIL S.A</x:v>
      </x:c>
      <x:c r="E109" s="34" t="str">
        <x:v>Paraguay</x:v>
      </x:c>
      <x:c r="F109" s="40" t="n">
        <x:v>46240.39865740741</x:v>
      </x:c>
      <x:c r="G109" s="34" t="str">
        <x:v>Registrado</x:v>
      </x:c>
      <x:c r="H109" s="34" t="str">
        <x:v>No</x:v>
      </x:c>
      <x:c r="I109" s="42"/>
      <x:c r="J109" s="42"/>
      <x:c r="K109" s="34" t="str"/>
      <x:c r="L109" s="34" t="str">
        <x:v>NO-SHOW</x:v>
      </x:c>
    </x:row>
    <x:row r="110">
      <x:c r="A110" s="34" t="str">
        <x:v>External</x:v>
      </x:c>
      <x:c r="B110" s="34" t="str">
        <x:v>Alejandra Manrique</x:v>
      </x:c>
      <x:c r="C110" s="34" t="str">
        <x:v>alejandra@fronterra.eco</x:v>
      </x:c>
      <x:c r="D110" s="34" t="str">
        <x:v>FRONTERRA S.A.C.</x:v>
      </x:c>
      <x:c r="E110" s="34" t="str">
        <x:v>Perú</x:v>
      </x:c>
      <x:c r="F110" s="40" t="n">
        <x:v>46240.40274305556</x:v>
      </x:c>
      <x:c r="G110" s="34" t="str">
        <x:v>Registrado</x:v>
      </x:c>
      <x:c r="H110" s="34" t="str">
        <x:v>No</x:v>
      </x:c>
      <x:c r="I110" s="42"/>
      <x:c r="J110" s="42"/>
      <x:c r="K110" s="34" t="str"/>
      <x:c r="L110" s="34" t="str">
        <x:v>NO-SHOW</x:v>
      </x:c>
    </x:row>
    <x:row r="111">
      <x:c r="A111" s="34" t="str">
        <x:v>External</x:v>
      </x:c>
      <x:c r="B111" s="34" t="str">
        <x:v>Alejandro Rodriguez</x:v>
      </x:c>
      <x:c r="C111" s="34" t="str">
        <x:v>alejandro.rodriguez@vnv.earth</x:v>
      </x:c>
      <x:c r="D111" s="34" t="str">
        <x:v>VNV</x:v>
      </x:c>
      <x:c r="E111" s="34" t="str">
        <x:v>COLOMBIA</x:v>
      </x:c>
      <x:c r="F111" s="40" t="n">
        <x:v>46246.72798611111</x:v>
      </x:c>
      <x:c r="G111" s="34" t="str">
        <x:v>Registrado</x:v>
      </x:c>
      <x:c r="H111" s="34" t="str">
        <x:v>No</x:v>
      </x:c>
      <x:c r="I111" s="42"/>
      <x:c r="J111" s="42"/>
      <x:c r="K111" s="34" t="str"/>
      <x:c r="L111" s="34" t="str">
        <x:v>NO-SHOW</x:v>
      </x:c>
    </x:row>
    <x:row r="112">
      <x:c r="A112" s="34" t="str">
        <x:v>External</x:v>
      </x:c>
      <x:c r="B112" s="34" t="str">
        <x:v>Ana Cobo</x:v>
      </x:c>
      <x:c r="C112" s="34" t="str">
        <x:v>anicobo12@gmail.com</x:v>
      </x:c>
      <x:c r="D112" s="34" t="str">
        <x:v>CG CONSULTORES</x:v>
      </x:c>
      <x:c r="E112" s="34" t="str">
        <x:v>Ecuador</x:v>
      </x:c>
      <x:c r="F112" s="40" t="n">
        <x:v>46238.46146990741</x:v>
      </x:c>
      <x:c r="G112" s="34" t="str">
        <x:v>Registrado</x:v>
      </x:c>
      <x:c r="H112" s="34" t="str">
        <x:v>No</x:v>
      </x:c>
      <x:c r="I112" s="42"/>
      <x:c r="J112" s="42"/>
      <x:c r="K112" s="34" t="str"/>
      <x:c r="L112" s="34" t="str">
        <x:v>NO-SHOW</x:v>
      </x:c>
    </x:row>
    <x:row r="113">
      <x:c r="A113" s="34" t="str">
        <x:v>External</x:v>
      </x:c>
      <x:c r="B113" s="34" t="str">
        <x:v>ANA GIRALDO PATIÑO</x:v>
      </x:c>
      <x:c r="C113" s="34" t="str">
        <x:v>ana.p@localpartners.ch</x:v>
      </x:c>
      <x:c r="D113" s="34" t="str">
        <x:v>FUNDACION LOCAL PARNERS</x:v>
      </x:c>
      <x:c r="E113" s="34" t="str">
        <x:v>Colombia</x:v>
      </x:c>
      <x:c r="F113" s="40" t="n">
        <x:v>46247.694247685184</x:v>
      </x:c>
      <x:c r="G113" s="34" t="str">
        <x:v>Registrado</x:v>
      </x:c>
      <x:c r="H113" s="34" t="str">
        <x:v>No</x:v>
      </x:c>
      <x:c r="I113" s="42"/>
      <x:c r="J113" s="42"/>
      <x:c r="K113" s="34" t="str"/>
      <x:c r="L113" s="34" t="str">
        <x:v>NO-SHOW</x:v>
      </x:c>
    </x:row>
    <x:row r="114">
      <x:c r="A114" s="34" t="str">
        <x:v>External</x:v>
      </x:c>
      <x:c r="B114" s="34" t="str">
        <x:v>Ana Hernández</x:v>
      </x:c>
      <x:c r="C114" s="34" t="str">
        <x:v>alhe17@hotmail.com</x:v>
      </x:c>
      <x:c r="D114" s="34" t="str">
        <x:v>DECIDE A.C.</x:v>
      </x:c>
      <x:c r="E114" s="34" t="str">
        <x:v>México</x:v>
      </x:c>
      <x:c r="F114" s="40" t="n">
        <x:v>46238.675462962965</x:v>
      </x:c>
      <x:c r="G114" s="34" t="str">
        <x:v>Registrado</x:v>
      </x:c>
      <x:c r="H114" s="34" t="str">
        <x:v>No</x:v>
      </x:c>
      <x:c r="I114" s="42"/>
      <x:c r="J114" s="42"/>
      <x:c r="K114" s="34" t="str"/>
      <x:c r="L114" s="34" t="str">
        <x:v>NO-SHOW</x:v>
      </x:c>
    </x:row>
    <x:row r="115">
      <x:c r="A115" s="34" t="str">
        <x:v>External</x:v>
      </x:c>
      <x:c r="B115" s="34" t="str">
        <x:v>Anamaría Mendieta</x:v>
      </x:c>
      <x:c r="C115" s="34" t="str">
        <x:v>anamaria.mendieta@proforest.net</x:v>
      </x:c>
      <x:c r="D115" s="34" t="str">
        <x:v>Proforest</x:v>
      </x:c>
      <x:c r="E115" s="34" t="str">
        <x:v>Latin America</x:v>
      </x:c>
      <x:c r="F115" s="40" t="n">
        <x:v>46253.52274305555</x:v>
      </x:c>
      <x:c r="G115" s="34" t="str">
        <x:v>Registrado</x:v>
      </x:c>
      <x:c r="H115" s="34" t="str">
        <x:v>No</x:v>
      </x:c>
      <x:c r="I115" s="42"/>
      <x:c r="J115" s="42"/>
      <x:c r="K115" s="34" t="str"/>
      <x:c r="L115" s="34" t="str">
        <x:v>NO-SHOW</x:v>
      </x:c>
    </x:row>
    <x:row r="116">
      <x:c r="A116" s="34" t="str">
        <x:v>External</x:v>
      </x:c>
      <x:c r="B116" s="34" t="str">
        <x:v>Andrea Carolina Durán Tigsi</x:v>
      </x:c>
      <x:c r="C116" s="34" t="str">
        <x:v>carolinadu85@gmail.com</x:v>
      </x:c>
      <x:c r="D116" s="34" t="str">
        <x:v>Pino&amp;Muñoz</x:v>
      </x:c>
      <x:c r="E116" s="34" t="str">
        <x:v>Ecuador</x:v>
      </x:c>
      <x:c r="F116" s="40" t="n">
        <x:v>46259.71861111111</x:v>
      </x:c>
      <x:c r="G116" s="34" t="str">
        <x:v>Registrado</x:v>
      </x:c>
      <x:c r="H116" s="34" t="str">
        <x:v>No</x:v>
      </x:c>
      <x:c r="I116" s="42"/>
      <x:c r="J116" s="42"/>
      <x:c r="K116" s="34" t="str"/>
      <x:c r="L116" s="34" t="str">
        <x:v>NO-SHOW</x:v>
      </x:c>
    </x:row>
    <x:row r="117">
      <x:c r="A117" s="34" t="str">
        <x:v>External</x:v>
      </x:c>
      <x:c r="B117" s="34" t="str">
        <x:v>ANDREA LOPEZ JARAMILLO</x:v>
      </x:c>
      <x:c r="C117" s="34" t="str">
        <x:v>andreaelopezj@gmail.com</x:v>
      </x:c>
      <x:c r="D117" s="34" t="str">
        <x:v>PL ABOGADOS S.A.</x:v>
      </x:c>
      <x:c r="E117" s="34" t="str">
        <x:v>Ecuador</x:v>
      </x:c>
      <x:c r="F117" s="40" t="n">
        <x:v>46247.49081018518</x:v>
      </x:c>
      <x:c r="G117" s="34" t="str">
        <x:v>Registrado</x:v>
      </x:c>
      <x:c r="H117" s="34" t="str">
        <x:v>No</x:v>
      </x:c>
      <x:c r="I117" s="42"/>
      <x:c r="J117" s="42"/>
      <x:c r="K117" s="34" t="str"/>
      <x:c r="L117" s="34" t="str">
        <x:v>NO-SHOW</x:v>
      </x:c>
    </x:row>
    <x:row r="118">
      <x:c r="A118" s="34" t="str">
        <x:v>External</x:v>
      </x:c>
      <x:c r="B118" s="34" t="str">
        <x:v>Andrea Lourdes Huamani</x:v>
      </x:c>
      <x:c r="C118" s="34" t="str">
        <x:v>ahuayta@purafruit.com</x:v>
      </x:c>
      <x:c r="D118" s="34" t="str">
        <x:v>PURA FRUIT COMPANY SA</x:v>
      </x:c>
      <x:c r="E118" s="34" t="str">
        <x:v>Perú</x:v>
      </x:c>
      <x:c r="F118" s="40" t="n">
        <x:v>46258.5128125</x:v>
      </x:c>
      <x:c r="G118" s="34" t="str">
        <x:v>Registrado</x:v>
      </x:c>
      <x:c r="H118" s="34" t="str">
        <x:v>No</x:v>
      </x:c>
      <x:c r="I118" s="42"/>
      <x:c r="J118" s="42"/>
      <x:c r="K118" s="34" t="str"/>
      <x:c r="L118" s="34" t="str">
        <x:v>NO-SHOW</x:v>
      </x:c>
    </x:row>
    <x:row r="119">
      <x:c r="A119" s="34" t="str">
        <x:v>External</x:v>
      </x:c>
      <x:c r="B119" s="34" t="str">
        <x:v>Andrea Narvaez</x:v>
      </x:c>
      <x:c r="C119" s="34" t="str">
        <x:v>andrea.narvaez.flores@gmail.com</x:v>
      </x:c>
      <x:c r="D119" s="34" t="str">
        <x:v>NA</x:v>
      </x:c>
      <x:c r="E119" s="34" t="str">
        <x:v>ECUADOR</x:v>
      </x:c>
      <x:c r="F119" s="40" t="n">
        <x:v>46260.538310185184</x:v>
      </x:c>
      <x:c r="G119" s="34" t="str">
        <x:v>Registrado</x:v>
      </x:c>
      <x:c r="H119" s="34" t="str">
        <x:v>No</x:v>
      </x:c>
      <x:c r="I119" s="42"/>
      <x:c r="J119" s="42"/>
      <x:c r="K119" s="34" t="str"/>
      <x:c r="L119" s="34" t="str">
        <x:v>NO-SHOW</x:v>
      </x:c>
    </x:row>
    <x:row r="120">
      <x:c r="A120" s="34" t="str">
        <x:v>External</x:v>
      </x:c>
      <x:c r="B120" s="34" t="str">
        <x:v>ANDRES BARRIOS</x:v>
      </x:c>
      <x:c r="C120" s="34" t="str">
        <x:v>operaciones@frigoservice-ionc.om</x:v>
      </x:c>
      <x:c r="D120" s="34" t="str">
        <x:v>FRIGOSERVICE INC</x:v>
      </x:c>
      <x:c r="E120" s="34" t="str">
        <x:v>PANAMÁ</x:v>
      </x:c>
      <x:c r="F120" s="40" t="n">
        <x:v>46253.57376157407</x:v>
      </x:c>
      <x:c r="G120" s="34" t="str">
        <x:v>Registrado</x:v>
      </x:c>
      <x:c r="H120" s="34" t="str">
        <x:v>No</x:v>
      </x:c>
      <x:c r="I120" s="42"/>
      <x:c r="J120" s="42"/>
      <x:c r="K120" s="34" t="str"/>
      <x:c r="L120" s="34" t="str">
        <x:v>NO-SHOW</x:v>
      </x:c>
    </x:row>
    <x:row r="121">
      <x:c r="A121" s="34" t="str">
        <x:v>External</x:v>
      </x:c>
      <x:c r="B121" s="34" t="str">
        <x:v>Andres Rassiga</x:v>
      </x:c>
      <x:c r="C121" s="34" t="str">
        <x:v>arassiga@trgsolutions.com</x:v>
      </x:c>
      <x:c r="D121" s="34" t="str">
        <x:v>TRG</x:v>
      </x:c>
      <x:c r="E121" s="34" t="str">
        <x:v>Argentina</x:v>
      </x:c>
      <x:c r="F121" s="40" t="n">
        <x:v>46253.52987268518</x:v>
      </x:c>
      <x:c r="G121" s="34" t="str">
        <x:v>Registrado</x:v>
      </x:c>
      <x:c r="H121" s="34" t="str">
        <x:v>No</x:v>
      </x:c>
      <x:c r="I121" s="42"/>
      <x:c r="J121" s="42"/>
      <x:c r="K121" s="34" t="str"/>
      <x:c r="L121" s="34" t="str">
        <x:v>NO-SHOW</x:v>
      </x:c>
    </x:row>
    <x:row r="122">
      <x:c r="A122" s="34" t="str">
        <x:v>External</x:v>
      </x:c>
      <x:c r="B122" s="34" t="str">
        <x:v>Angeles Pontiggia</x:v>
      </x:c>
      <x:c r="C122" s="34" t="str">
        <x:v>angelespontiggia@gmail.com</x:v>
      </x:c>
      <x:c r="D122" s="34" t="str">
        <x:v>Consultora en ingenieria ambiental</x:v>
      </x:c>
      <x:c r="E122" s="34" t="str">
        <x:v>Argentina</x:v>
      </x:c>
      <x:c r="F122" s="40" t="n">
        <x:v>46258.595983796295</x:v>
      </x:c>
      <x:c r="G122" s="34" t="str">
        <x:v>Registrado</x:v>
      </x:c>
      <x:c r="H122" s="34" t="str">
        <x:v>No</x:v>
      </x:c>
      <x:c r="I122" s="42"/>
      <x:c r="J122" s="42"/>
      <x:c r="K122" s="34" t="str"/>
      <x:c r="L122" s="34" t="str">
        <x:v>NO-SHOW</x:v>
      </x:c>
    </x:row>
    <x:row r="123">
      <x:c r="A123" s="34" t="str">
        <x:v>External</x:v>
      </x:c>
      <x:c r="B123" s="34" t="str">
        <x:v>Any Araceli Estrada Santos</x:v>
      </x:c>
      <x:c r="C123" s="34" t="str">
        <x:v>anyaracelie@gmail.com</x:v>
      </x:c>
      <x:c r="D123" s="34" t="str">
        <x:v>AJINOMOTO DEL PERU S.A</x:v>
      </x:c>
      <x:c r="E123" s="34" t="str">
        <x:v>Perú</x:v>
      </x:c>
      <x:c r="F123" s="40" t="n">
        <x:v>46245.82445601852</x:v>
      </x:c>
      <x:c r="G123" s="34" t="str">
        <x:v>Registrado</x:v>
      </x:c>
      <x:c r="H123" s="34" t="str">
        <x:v>No</x:v>
      </x:c>
      <x:c r="I123" s="42"/>
      <x:c r="J123" s="42"/>
      <x:c r="K123" s="34" t="str"/>
      <x:c r="L123" s="34" t="str">
        <x:v>NO-SHOW</x:v>
      </x:c>
    </x:row>
    <x:row r="124">
      <x:c r="A124" s="34" t="str">
        <x:v>External</x:v>
      </x:c>
      <x:c r="B124" s="34" t="str">
        <x:v>Caleb Salvatierra</x:v>
      </x:c>
      <x:c r="C124" s="34" t="str">
        <x:v>csalvatierra@macesa.com.ni</x:v>
      </x:c>
      <x:c r="D124" s="34" t="str">
        <x:v>MACESA</x:v>
      </x:c>
      <x:c r="E124" s="34" t="str">
        <x:v>Nicaragua</x:v>
      </x:c>
      <x:c r="F124" s="40" t="n">
        <x:v>46253.47875</x:v>
      </x:c>
      <x:c r="G124" s="34" t="str">
        <x:v>Registrado</x:v>
      </x:c>
      <x:c r="H124" s="34" t="str">
        <x:v>No</x:v>
      </x:c>
      <x:c r="I124" s="42"/>
      <x:c r="J124" s="42"/>
      <x:c r="K124" s="34" t="str"/>
      <x:c r="L124" s="34" t="str">
        <x:v>NO-SHOW</x:v>
      </x:c>
    </x:row>
    <x:row r="125">
      <x:c r="A125" s="34" t="str">
        <x:v>External</x:v>
      </x:c>
      <x:c r="B125" s="34" t="str">
        <x:v>Camila Torres</x:v>
      </x:c>
      <x:c r="C125" s="34" t="str">
        <x:v>camila.torres@solidaridadnetwork.org</x:v>
      </x:c>
      <x:c r="D125" s="34" t="str">
        <x:v>Solidaridad</x:v>
      </x:c>
      <x:c r="E125" s="34" t="str">
        <x:v>Argentina</x:v>
      </x:c>
      <x:c r="F125" s="40" t="n">
        <x:v>46253.618796296294</x:v>
      </x:c>
      <x:c r="G125" s="34" t="str">
        <x:v>Registrado</x:v>
      </x:c>
      <x:c r="H125" s="34" t="str">
        <x:v>No</x:v>
      </x:c>
      <x:c r="I125" s="42"/>
      <x:c r="J125" s="42"/>
      <x:c r="K125" s="34" t="str"/>
      <x:c r="L125" s="34" t="str">
        <x:v>NO-SHOW</x:v>
      </x:c>
    </x:row>
    <x:row r="126">
      <x:c r="A126" s="34" t="str">
        <x:v>External</x:v>
      </x:c>
      <x:c r="B126" s="34" t="str">
        <x:v>Carlos Angulo González</x:v>
      </x:c>
      <x:c r="C126" s="34" t="str">
        <x:v>carlosangulo251180@gmail.com</x:v>
      </x:c>
      <x:c r="D126" s="34" t="str">
        <x:v>Allima</x:v>
      </x:c>
      <x:c r="E126" s="34" t="str">
        <x:v>Perú</x:v>
      </x:c>
      <x:c r="F126" s="40" t="n">
        <x:v>46239.48087962963</x:v>
      </x:c>
      <x:c r="G126" s="34" t="str">
        <x:v>Registrado</x:v>
      </x:c>
      <x:c r="H126" s="34" t="str">
        <x:v>No</x:v>
      </x:c>
      <x:c r="I126" s="42"/>
      <x:c r="J126" s="42"/>
      <x:c r="K126" s="34" t="str"/>
      <x:c r="L126" s="34" t="str">
        <x:v>NO-SHOW</x:v>
      </x:c>
    </x:row>
    <x:row r="127">
      <x:c r="A127" s="34" t="str">
        <x:v>External</x:v>
      </x:c>
      <x:c r="B127" s="34" t="str">
        <x:v>Carlos Jobino Francis Murrieta Laulate</x:v>
      </x:c>
      <x:c r="C127" s="34" t="str">
        <x:v>cj_fran13@hotmail.com</x:v>
      </x:c>
      <x:c r="D127" s="34" t="str">
        <x:v>INNOVA SOLUTIONS SERVICES E.I.R.L.</x:v>
      </x:c>
      <x:c r="E127" s="34" t="str">
        <x:v>Perú</x:v>
      </x:c>
      <x:c r="F127" s="40" t="n">
        <x:v>46259.6859837963</x:v>
      </x:c>
      <x:c r="G127" s="34" t="str">
        <x:v>Registrado</x:v>
      </x:c>
      <x:c r="H127" s="34" t="str">
        <x:v>No</x:v>
      </x:c>
      <x:c r="I127" s="42"/>
      <x:c r="J127" s="42"/>
      <x:c r="K127" s="34" t="str"/>
      <x:c r="L127" s="34" t="str">
        <x:v>NO-SHOW</x:v>
      </x:c>
    </x:row>
    <x:row r="128">
      <x:c r="A128" s="34" t="str">
        <x:v>External</x:v>
      </x:c>
      <x:c r="B128" s="34" t="str">
        <x:v>Carolina Restrepo Perez</x:v>
      </x:c>
      <x:c r="C128" s="34" t="str">
        <x:v>crestrepo@expocafe.com</x:v>
      </x:c>
      <x:c r="D128" s="34" t="str">
        <x:v>Expocafe SA</x:v>
      </x:c>
      <x:c r="E128" s="34" t="str">
        <x:v>Colombia</x:v>
      </x:c>
      <x:c r="F128" s="40" t="n">
        <x:v>46240.47420138889</x:v>
      </x:c>
      <x:c r="G128" s="34" t="str">
        <x:v>Registrado</x:v>
      </x:c>
      <x:c r="H128" s="34" t="str">
        <x:v>No</x:v>
      </x:c>
      <x:c r="I128" s="42"/>
      <x:c r="J128" s="42"/>
      <x:c r="K128" s="34" t="str"/>
      <x:c r="L128" s="34" t="str">
        <x:v>NO-SHOW</x:v>
      </x:c>
    </x:row>
    <x:row r="129">
      <x:c r="A129" s="34" t="str">
        <x:v>External</x:v>
      </x:c>
      <x:c r="B129" s="34" t="str">
        <x:v>Cesar Moreno</x:v>
      </x:c>
      <x:c r="C129" s="34" t="str">
        <x:v>cesar.moreno@skretting.com</x:v>
      </x:c>
      <x:c r="D129" s="34" t="str">
        <x:v>Gisis S.A.</x:v>
      </x:c>
      <x:c r="E129" s="34" t="str">
        <x:v>Ecuador</x:v>
      </x:c>
      <x:c r="F129" s="40" t="n">
        <x:v>46253.59322916667</x:v>
      </x:c>
      <x:c r="G129" s="34" t="str">
        <x:v>Registrado</x:v>
      </x:c>
      <x:c r="H129" s="34" t="str">
        <x:v>No</x:v>
      </x:c>
      <x:c r="I129" s="42"/>
      <x:c r="J129" s="42"/>
      <x:c r="K129" s="34" t="str"/>
      <x:c r="L129" s="34" t="str">
        <x:v>NO-SHOW</x:v>
      </x:c>
    </x:row>
    <x:row r="130">
      <x:c r="A130" s="34" t="str">
        <x:v>External</x:v>
      </x:c>
      <x:c r="B130" s="34" t="str">
        <x:v>Cristofer Diestra</x:v>
      </x:c>
      <x:c r="C130" s="34" t="str">
        <x:v>cristofer.diestra21@gmail.con</x:v>
      </x:c>
      <x:c r="D130" s="34" t="str">
        <x:v>Abaorpro</x:v>
      </x:c>
      <x:c r="E130" s="34" t="str">
        <x:v>Peru</x:v>
      </x:c>
      <x:c r="F130" s="40" t="n">
        <x:v>46239.455509259256</x:v>
      </x:c>
      <x:c r="G130" s="34" t="str">
        <x:v>Registrado</x:v>
      </x:c>
      <x:c r="H130" s="34" t="str">
        <x:v>No</x:v>
      </x:c>
      <x:c r="I130" s="42"/>
      <x:c r="J130" s="42"/>
      <x:c r="K130" s="34" t="str"/>
      <x:c r="L130" s="34" t="str">
        <x:v>NO-SHOW</x:v>
      </x:c>
    </x:row>
    <x:row r="131">
      <x:c r="A131" s="34" t="str">
        <x:v>External</x:v>
      </x:c>
      <x:c r="B131" s="34" t="str">
        <x:v>David Ampudia</x:v>
      </x:c>
      <x:c r="C131" s="34" t="str">
        <x:v>dav954ampudia@hotmail.com</x:v>
      </x:c>
      <x:c r="D131" s="34" t="str">
        <x:v>Aldanempres Cía. Ltda.</x:v>
      </x:c>
      <x:c r="E131" s="34" t="str">
        <x:v>Ecuador</x:v>
      </x:c>
      <x:c r="F131" s="40" t="n">
        <x:v>46253.73511574074</x:v>
      </x:c>
      <x:c r="G131" s="34" t="str">
        <x:v>Registrado</x:v>
      </x:c>
      <x:c r="H131" s="34" t="str">
        <x:v>No</x:v>
      </x:c>
      <x:c r="I131" s="42"/>
      <x:c r="J131" s="42"/>
      <x:c r="K131" s="34" t="str"/>
      <x:c r="L131" s="34" t="str">
        <x:v>NO-SHOW</x:v>
      </x:c>
    </x:row>
    <x:row r="132">
      <x:c r="A132" s="34" t="str">
        <x:v>External</x:v>
      </x:c>
      <x:c r="B132" s="34" t="str">
        <x:v>Diana Aquino</x:v>
      </x:c>
      <x:c r="C132" s="34" t="str">
        <x:v>diana.aquino@adm.com</x:v>
      </x:c>
      <x:c r="D132" s="34" t="str">
        <x:v>ADM</x:v>
      </x:c>
      <x:c r="E132" s="34" t="str">
        <x:v>Paraguay</x:v>
      </x:c>
      <x:c r="F132" s="40" t="n">
        <x:v>46246.70076388889</x:v>
      </x:c>
      <x:c r="G132" s="34" t="str">
        <x:v>Registrado</x:v>
      </x:c>
      <x:c r="H132" s="34" t="str">
        <x:v>No</x:v>
      </x:c>
      <x:c r="I132" s="42"/>
      <x:c r="J132" s="42"/>
      <x:c r="K132" s="34" t="str"/>
      <x:c r="L132" s="34" t="str">
        <x:v>NO-SHOW</x:v>
      </x:c>
    </x:row>
    <x:row r="133">
      <x:c r="A133" s="34" t="str">
        <x:v>External</x:v>
      </x:c>
      <x:c r="B133" s="34" t="str">
        <x:v>Diana Cabrera</x:v>
      </x:c>
      <x:c r="C133" s="34" t="str">
        <x:v>dcabrera@palmar.com.ec</x:v>
      </x:c>
      <x:c r="D133" s="34" t="str">
        <x:v>AGRICOLA DANILUP S A</x:v>
      </x:c>
      <x:c r="E133" s="34" t="str">
        <x:v>Ecuador</x:v>
      </x:c>
      <x:c r="F133" s="40" t="n">
        <x:v>46253.63317129629</x:v>
      </x:c>
      <x:c r="G133" s="34" t="str">
        <x:v>Registrado</x:v>
      </x:c>
      <x:c r="H133" s="34" t="str">
        <x:v>No</x:v>
      </x:c>
      <x:c r="I133" s="42"/>
      <x:c r="J133" s="42"/>
      <x:c r="K133" s="34" t="str"/>
      <x:c r="L133" s="34" t="str">
        <x:v>NO-SHOW</x:v>
      </x:c>
    </x:row>
    <x:row r="134">
      <x:c r="A134" s="34" t="str">
        <x:v>External</x:v>
      </x:c>
      <x:c r="B134" s="34" t="str">
        <x:v>Diana Hernandez</x:v>
      </x:c>
      <x:c r="C134" s="34" t="str">
        <x:v>diana.hernandez@us.wilmar-intl.com</x:v>
      </x:c>
      <x:c r="D134" s="34" t="str">
        <x:v>Wilmar Sugar Americas Trading PTE. LTD.</x:v>
      </x:c>
      <x:c r="E134" s="34" t="str">
        <x:v>México</x:v>
      </x:c>
      <x:c r="F134" s="40" t="n">
        <x:v>46253.81627314815</x:v>
      </x:c>
      <x:c r="G134" s="34" t="str">
        <x:v>Registrado</x:v>
      </x:c>
      <x:c r="H134" s="34" t="str">
        <x:v>No</x:v>
      </x:c>
      <x:c r="I134" s="42"/>
      <x:c r="J134" s="42"/>
      <x:c r="K134" s="34" t="str"/>
      <x:c r="L134" s="34" t="str">
        <x:v>NO-SHOW</x:v>
      </x:c>
    </x:row>
    <x:row r="135">
      <x:c r="A135" s="34" t="str">
        <x:v>External</x:v>
      </x:c>
      <x:c r="B135" s="34" t="str">
        <x:v>Diana Jara</x:v>
      </x:c>
      <x:c r="C135" s="34" t="str">
        <x:v>ing.dianajara23@gmail.com</x:v>
      </x:c>
      <x:c r="D135" s="34" t="str">
        <x:v>Kaliptra life sac</x:v>
      </x:c>
      <x:c r="E135" s="34" t="str">
        <x:v>peru</x:v>
      </x:c>
      <x:c r="F135" s="40" t="n">
        <x:v>46253.90684027778</x:v>
      </x:c>
      <x:c r="G135" s="34" t="str">
        <x:v>Registrado</x:v>
      </x:c>
      <x:c r="H135" s="34" t="str">
        <x:v>No</x:v>
      </x:c>
      <x:c r="I135" s="42"/>
      <x:c r="J135" s="42"/>
      <x:c r="K135" s="34" t="str"/>
      <x:c r="L135" s="34" t="str">
        <x:v>NO-SHOW</x:v>
      </x:c>
    </x:row>
    <x:row r="136">
      <x:c r="A136" s="34" t="str">
        <x:v>External</x:v>
      </x:c>
      <x:c r="B136" s="34" t="str">
        <x:v>EDUARDO CABEZAS</x:v>
      </x:c>
      <x:c r="C136" s="34" t="str">
        <x:v>eduedu22@hotmail.com</x:v>
      </x:c>
      <x:c r="D136" s="34" t="str">
        <x:v>CAIP LTDA</x:v>
      </x:c>
      <x:c r="E136" s="34" t="str">
        <x:v>PERU</x:v>
      </x:c>
      <x:c r="F136" s="40" t="n">
        <x:v>46258.62519675926</x:v>
      </x:c>
      <x:c r="G136" s="34" t="str">
        <x:v>Registrado</x:v>
      </x:c>
      <x:c r="H136" s="34" t="str">
        <x:v>No</x:v>
      </x:c>
      <x:c r="I136" s="42"/>
      <x:c r="J136" s="42"/>
      <x:c r="K136" s="34" t="str"/>
      <x:c r="L136" s="34" t="str">
        <x:v>NO-SHOW</x:v>
      </x:c>
    </x:row>
    <x:row r="137">
      <x:c r="A137" s="34" t="str">
        <x:v>External</x:v>
      </x:c>
      <x:c r="B137" s="34" t="str">
        <x:v>Edwin Ccoyllo</x:v>
      </x:c>
      <x:c r="C137" s="34" t="str">
        <x:v>edccoyllo@gmail.com</x:v>
      </x:c>
      <x:c r="D137" s="34" t="str">
        <x:v>A.G. CHAVIN DE HUANTAR S.A.</x:v>
      </x:c>
      <x:c r="E137" s="34" t="str">
        <x:v>Perú</x:v>
      </x:c>
      <x:c r="F137" s="40" t="n">
        <x:v>46241.67922453704</x:v>
      </x:c>
      <x:c r="G137" s="34" t="str">
        <x:v>Registrado</x:v>
      </x:c>
      <x:c r="H137" s="34" t="str">
        <x:v>No</x:v>
      </x:c>
      <x:c r="I137" s="42"/>
      <x:c r="J137" s="42"/>
      <x:c r="K137" s="34" t="str"/>
      <x:c r="L137" s="34" t="str">
        <x:v>NO-SHOW</x:v>
      </x:c>
    </x:row>
    <x:row r="138">
      <x:c r="A138" s="34" t="str">
        <x:v>External</x:v>
      </x:c>
      <x:c r="B138" s="34" t="str">
        <x:v>Elizabeth Burgos</x:v>
      </x:c>
      <x:c r="C138" s="34" t="str">
        <x:v>eburgos@conacado.com</x:v>
      </x:c>
      <x:c r="D138" s="34" t="str">
        <x:v>CONACADO</x:v>
      </x:c>
      <x:c r="E138" s="34" t="str">
        <x:v>República Dominicana</x:v>
      </x:c>
      <x:c r="F138" s="40" t="n">
        <x:v>46246.730671296296</x:v>
      </x:c>
      <x:c r="G138" s="34" t="str">
        <x:v>Registrado</x:v>
      </x:c>
      <x:c r="H138" s="34" t="str">
        <x:v>No</x:v>
      </x:c>
      <x:c r="I138" s="42"/>
      <x:c r="J138" s="42"/>
      <x:c r="K138" s="34" t="str"/>
      <x:c r="L138" s="34" t="str">
        <x:v>NO-SHOW</x:v>
      </x:c>
    </x:row>
    <x:row r="139">
      <x:c r="A139" s="34" t="str">
        <x:v>External</x:v>
      </x:c>
      <x:c r="B139" s="34" t="str">
        <x:v>Elizabeth Elgegren</x:v>
      </x:c>
      <x:c r="C139" s="34" t="str">
        <x:v>elizabeth.elgegren@mpf.com.pe</x:v>
      </x:c>
      <x:c r="D139" s="34" t="str">
        <x:v>Machu Picchu Foods</x:v>
      </x:c>
      <x:c r="E139" s="34" t="str">
        <x:v>Perú</x:v>
      </x:c>
      <x:c r="F139" s="40" t="n">
        <x:v>46246.69584490741</x:v>
      </x:c>
      <x:c r="G139" s="34" t="str">
        <x:v>Registrado</x:v>
      </x:c>
      <x:c r="H139" s="34" t="str">
        <x:v>No</x:v>
      </x:c>
      <x:c r="I139" s="42"/>
      <x:c r="J139" s="42"/>
      <x:c r="K139" s="34" t="str"/>
      <x:c r="L139" s="34" t="str">
        <x:v>NO-SHOW</x:v>
      </x:c>
    </x:row>
    <x:row r="140">
      <x:c r="A140" s="34" t="str">
        <x:v>External</x:v>
      </x:c>
      <x:c r="B140" s="34" t="str">
        <x:v>Elói Borges</x:v>
      </x:c>
      <x:c r="C140" s="34" t="str">
        <x:v>eloi.b@copronar.com.py</x:v>
      </x:c>
      <x:c r="D140" s="34" t="str">
        <x:v>Cooperativa COPRONAR</x:v>
      </x:c>
      <x:c r="E140" s="34" t="str">
        <x:v>Paraguay</x:v>
      </x:c>
      <x:c r="F140" s="40" t="n">
        <x:v>46241.29945601852</x:v>
      </x:c>
      <x:c r="G140" s="34" t="str">
        <x:v>Registrado</x:v>
      </x:c>
      <x:c r="H140" s="34" t="str">
        <x:v>No</x:v>
      </x:c>
      <x:c r="I140" s="42"/>
      <x:c r="J140" s="42"/>
      <x:c r="K140" s="34" t="str"/>
      <x:c r="L140" s="34" t="str">
        <x:v>NO-SHOW</x:v>
      </x:c>
    </x:row>
    <x:row r="141">
      <x:c r="A141" s="34" t="str">
        <x:v>External</x:v>
      </x:c>
      <x:c r="B141" s="34" t="str">
        <x:v>Ernesto Alonso Salinas van Treek</x:v>
      </x:c>
      <x:c r="C141" s="34" t="str">
        <x:v>ernesto.salinas@novaustral.cl</x:v>
      </x:c>
      <x:c r="D141" s="34" t="str">
        <x:v>Nova Austral S.A.</x:v>
      </x:c>
      <x:c r="E141" s="34" t="str">
        <x:v>Chile</x:v>
      </x:c>
      <x:c r="F141" s="40" t="n">
        <x:v>46240.4149537037</x:v>
      </x:c>
      <x:c r="G141" s="34" t="str">
        <x:v>Registrado</x:v>
      </x:c>
      <x:c r="H141" s="34" t="str">
        <x:v>No</x:v>
      </x:c>
      <x:c r="I141" s="42"/>
      <x:c r="J141" s="42"/>
      <x:c r="K141" s="34" t="str"/>
      <x:c r="L141" s="34" t="str">
        <x:v>NO-SHOW</x:v>
      </x:c>
    </x:row>
    <x:row r="142">
      <x:c r="A142" s="34" t="str">
        <x:v>External</x:v>
      </x:c>
      <x:c r="B142" s="34" t="str">
        <x:v>Eva María del Carmen Fernández</x:v>
      </x:c>
      <x:c r="C142" s="34" t="str">
        <x:v>e.fernandez@fsc.org</x:v>
      </x:c>
      <x:c r="D142" s="34" t="str">
        <x:v>Forest Stewardship Council A.C.</x:v>
      </x:c>
      <x:c r="E142" s="34" t="str">
        <x:v>LATAM</x:v>
      </x:c>
      <x:c r="F142" s="40" t="n">
        <x:v>46258.641435185185</x:v>
      </x:c>
      <x:c r="G142" s="34" t="str">
        <x:v>Registrado</x:v>
      </x:c>
      <x:c r="H142" s="34" t="str">
        <x:v>No</x:v>
      </x:c>
      <x:c r="I142" s="42"/>
      <x:c r="J142" s="42"/>
      <x:c r="K142" s="34" t="str"/>
      <x:c r="L142" s="34" t="str">
        <x:v>NO-SHOW</x:v>
      </x:c>
    </x:row>
    <x:row r="143">
      <x:c r="A143" s="34" t="str">
        <x:v>External</x:v>
      </x:c>
      <x:c r="B143" s="34" t="str">
        <x:v>EVELYN CISTERNA ARELLANO</x:v>
      </x:c>
      <x:c r="C143" s="34" t="str">
        <x:v>ecisternaa1@correo.uss.cl</x:v>
      </x:c>
      <x:c r="D143" s="34" t="str">
        <x:v>MASISA S.A</x:v>
      </x:c>
      <x:c r="E143" s="34" t="str">
        <x:v>Chile</x:v>
      </x:c>
      <x:c r="F143" s="40" t="n">
        <x:v>46253.66707175926</x:v>
      </x:c>
      <x:c r="G143" s="34" t="str">
        <x:v>Registrado</x:v>
      </x:c>
      <x:c r="H143" s="34" t="str">
        <x:v>No</x:v>
      </x:c>
      <x:c r="I143" s="42"/>
      <x:c r="J143" s="42"/>
      <x:c r="K143" s="34" t="str"/>
      <x:c r="L143" s="34" t="str">
        <x:v>NO-SHOW</x:v>
      </x:c>
    </x:row>
    <x:row r="144">
      <x:c r="A144" s="34" t="str">
        <x:v>External</x:v>
      </x:c>
      <x:c r="B144" s="34" t="str">
        <x:v>Fabiola Huamán Condori</x:v>
      </x:c>
      <x:c r="C144" s="34" t="str">
        <x:v>luzfabiolahc@gmail.com</x:v>
      </x:c>
      <x:c r="D144" s="34" t="str">
        <x:v>Agronegocios Wiraccocha del Perú</x:v>
      </x:c>
      <x:c r="E144" s="34" t="str">
        <x:v>Perú</x:v>
      </x:c>
      <x:c r="F144" s="40" t="n">
        <x:v>46257.35644675926</x:v>
      </x:c>
      <x:c r="G144" s="34" t="str">
        <x:v>Registrado</x:v>
      </x:c>
      <x:c r="H144" s="34" t="str">
        <x:v>No</x:v>
      </x:c>
      <x:c r="I144" s="42"/>
      <x:c r="J144" s="42"/>
      <x:c r="K144" s="34" t="str"/>
      <x:c r="L144" s="34" t="str">
        <x:v>NO-SHOW</x:v>
      </x:c>
    </x:row>
    <x:row r="145">
      <x:c r="A145" s="34" t="str">
        <x:v>External</x:v>
      </x:c>
      <x:c r="B145" s="34" t="str">
        <x:v>Fabrizio Marengo</x:v>
      </x:c>
      <x:c r="C145" s="34" t="str">
        <x:v>fabrizio.marengo@adm.com</x:v>
      </x:c>
      <x:c r="D145" s="34" t="str">
        <x:v>ADM</x:v>
      </x:c>
      <x:c r="E145" s="34" t="str">
        <x:v>PARAGUAY/Asuncion</x:v>
      </x:c>
      <x:c r="F145" s="40" t="n">
        <x:v>46246.70415509259</x:v>
      </x:c>
      <x:c r="G145" s="34" t="str">
        <x:v>Registrado</x:v>
      </x:c>
      <x:c r="H145" s="34" t="str">
        <x:v>No</x:v>
      </x:c>
      <x:c r="I145" s="42"/>
      <x:c r="J145" s="42"/>
      <x:c r="K145" s="34" t="str"/>
      <x:c r="L145" s="34" t="str">
        <x:v>NO-SHOW</x:v>
      </x:c>
    </x:row>
    <x:row r="146">
      <x:c r="A146" s="34" t="str">
        <x:v>External</x:v>
      </x:c>
      <x:c r="B146" s="34" t="str">
        <x:v>Fernanda Trujillo</x:v>
      </x:c>
      <x:c r="C146" s="34" t="str">
        <x:v>fernanda@terranostra.com</x:v>
      </x:c>
      <x:c r="D146" s="34" t="str">
        <x:v>Terra Nostra</x:v>
      </x:c>
      <x:c r="E146" s="34" t="str">
        <x:v>Mexico</x:v>
      </x:c>
      <x:c r="F146" s="40" t="n">
        <x:v>46246.81995370371</x:v>
      </x:c>
      <x:c r="G146" s="34" t="str">
        <x:v>Registrado</x:v>
      </x:c>
      <x:c r="H146" s="34" t="str">
        <x:v>No</x:v>
      </x:c>
      <x:c r="I146" s="42"/>
      <x:c r="J146" s="42"/>
      <x:c r="K146" s="34" t="str"/>
      <x:c r="L146" s="34" t="str">
        <x:v>NO-SHOW</x:v>
      </x:c>
    </x:row>
    <x:row r="147">
      <x:c r="A147" s="34" t="str">
        <x:v>External</x:v>
      </x:c>
      <x:c r="B147" s="34" t="str">
        <x:v>FERNANDO BRITEZ</x:v>
      </x:c>
      <x:c r="C147" s="34" t="str">
        <x:v>fernando.britez@adm.com</x:v>
      </x:c>
      <x:c r="D147" s="34" t="str">
        <x:v>ADM</x:v>
      </x:c>
      <x:c r="E147" s="34" t="str">
        <x:v>Paraguay</x:v>
      </x:c>
      <x:c r="F147" s="40" t="n">
        <x:v>46246.70439814815</x:v>
      </x:c>
      <x:c r="G147" s="34" t="str">
        <x:v>Registrado</x:v>
      </x:c>
      <x:c r="H147" s="34" t="str">
        <x:v>No</x:v>
      </x:c>
      <x:c r="I147" s="42"/>
      <x:c r="J147" s="42"/>
      <x:c r="K147" s="34" t="str"/>
      <x:c r="L147" s="34" t="str">
        <x:v>NO-SHOW</x:v>
      </x:c>
    </x:row>
    <x:row r="148">
      <x:c r="A148" s="34" t="str">
        <x:v>External</x:v>
      </x:c>
      <x:c r="B148" s="34" t="str">
        <x:v>Fernando Perez Eseiza</x:v>
      </x:c>
      <x:c r="C148" s="34" t="str">
        <x:v>perezeseiza@gmail.com</x:v>
      </x:c>
      <x:c r="D148" s="34" t="str">
        <x:v>Safety AGRO</x:v>
      </x:c>
      <x:c r="E148" s="34" t="str">
        <x:v>Argentina</x:v>
      </x:c>
      <x:c r="F148" s="40" t="n">
        <x:v>46246.88752314815</x:v>
      </x:c>
      <x:c r="G148" s="34" t="str">
        <x:v>Registrado</x:v>
      </x:c>
      <x:c r="H148" s="34" t="str">
        <x:v>No</x:v>
      </x:c>
      <x:c r="I148" s="42"/>
      <x:c r="J148" s="42"/>
      <x:c r="K148" s="34" t="str"/>
      <x:c r="L148" s="34" t="str">
        <x:v>NO-SHOW</x:v>
      </x:c>
    </x:row>
    <x:row r="149">
      <x:c r="A149" s="34" t="str">
        <x:v>External</x:v>
      </x:c>
      <x:c r="B149" s="34" t="str">
        <x:v>Freddy Marín</x:v>
      </x:c>
      <x:c r="C149" s="34" t="str">
        <x:v>fmaring20@outlook.com</x:v>
      </x:c>
      <x:c r="D149" s="34" t="str">
        <x:v>Particular</x:v>
      </x:c>
      <x:c r="E149" s="34" t="str">
        <x:v>Ecuador</x:v>
      </x:c>
      <x:c r="F149" s="40" t="n">
        <x:v>46239.04361111111</x:v>
      </x:c>
      <x:c r="G149" s="34" t="str">
        <x:v>Registrado</x:v>
      </x:c>
      <x:c r="H149" s="34" t="str">
        <x:v>No</x:v>
      </x:c>
      <x:c r="I149" s="42"/>
      <x:c r="J149" s="42"/>
      <x:c r="K149" s="34" t="str"/>
      <x:c r="L149" s="34" t="str">
        <x:v>NO-SHOW</x:v>
      </x:c>
    </x:row>
    <x:row r="150">
      <x:c r="A150" s="34" t="str">
        <x:v>External</x:v>
      </x:c>
      <x:c r="B150" s="34" t="str">
        <x:v>Gabriela Pacheco</x:v>
      </x:c>
      <x:c r="C150" s="34" t="str">
        <x:v>gabriela.pacheco@westfaliafruit.com</x:v>
      </x:c>
      <x:c r="D150" s="34" t="str">
        <x:v>WESTFALIA FRUIT PERÚ SAC</x:v>
      </x:c>
      <x:c r="E150" s="34" t="str">
        <x:v>PERÚ</x:v>
      </x:c>
      <x:c r="F150" s="40" t="n">
        <x:v>46258.692928240744</x:v>
      </x:c>
      <x:c r="G150" s="34" t="str">
        <x:v>Registrado</x:v>
      </x:c>
      <x:c r="H150" s="34" t="str">
        <x:v>No</x:v>
      </x:c>
      <x:c r="I150" s="42"/>
      <x:c r="J150" s="42"/>
      <x:c r="K150" s="34" t="str"/>
      <x:c r="L150" s="34" t="str">
        <x:v>NO-SHOW</x:v>
      </x:c>
    </x:row>
    <x:row r="151">
      <x:c r="A151" s="34" t="str">
        <x:v>External</x:v>
      </x:c>
      <x:c r="B151" s="34" t="str">
        <x:v>Gilka Chore Ruiz</x:v>
      </x:c>
      <x:c r="C151" s="34" t="str">
        <x:v>pgilkita2805@gmail.com</x:v>
      </x:c>
      <x:c r="D151" s="34" t="str">
        <x:v>NORMEC GROEN</x:v>
      </x:c>
      <x:c r="E151" s="34" t="str">
        <x:v>Bolivia</x:v>
      </x:c>
      <x:c r="F151" s="40" t="n">
        <x:v>46246.92085648148</x:v>
      </x:c>
      <x:c r="G151" s="34" t="str">
        <x:v>Registrado</x:v>
      </x:c>
      <x:c r="H151" s="34" t="str">
        <x:v>No</x:v>
      </x:c>
      <x:c r="I151" s="42"/>
      <x:c r="J151" s="42"/>
      <x:c r="K151" s="34" t="str"/>
      <x:c r="L151" s="34" t="str">
        <x:v>NO-SHOW</x:v>
      </x:c>
    </x:row>
    <x:row r="152">
      <x:c r="A152" s="34" t="str">
        <x:v>External</x:v>
      </x:c>
      <x:c r="B152" s="34" t="str">
        <x:v>Gisela Benites</x:v>
      </x:c>
      <x:c r="C152" s="34" t="str">
        <x:v>restaurantelpelicano@gmail.com</x:v>
      </x:c>
      <x:c r="D152" s="34" t="str">
        <x:v>EL PEDREGAL</x:v>
      </x:c>
      <x:c r="E152" s="34" t="str">
        <x:v>Perú</x:v>
      </x:c>
      <x:c r="F152" s="40" t="n">
        <x:v>46254.51520833333</x:v>
      </x:c>
      <x:c r="G152" s="34" t="str">
        <x:v>Registrado</x:v>
      </x:c>
      <x:c r="H152" s="34" t="str">
        <x:v>No</x:v>
      </x:c>
      <x:c r="I152" s="42"/>
      <x:c r="J152" s="42"/>
      <x:c r="K152" s="34" t="str"/>
      <x:c r="L152" s="34" t="str">
        <x:v>NO-SHOW</x:v>
      </x:c>
    </x:row>
    <x:row r="153">
      <x:c r="A153" s="34" t="str">
        <x:v>External</x:v>
      </x:c>
      <x:c r="B153" s="34" t="str">
        <x:v>Gladys M Montañez Chaparro</x:v>
      </x:c>
      <x:c r="C153" s="34" t="str">
        <x:v>sofia21m@gmail.com</x:v>
      </x:c>
      <x:c r="D153" s="34" t="str">
        <x:v>Dream farms S.A.S.</x:v>
      </x:c>
      <x:c r="E153" s="34" t="str">
        <x:v>Colombia</x:v>
      </x:c>
      <x:c r="F153" s="40" t="n">
        <x:v>46246.39586805556</x:v>
      </x:c>
      <x:c r="G153" s="34" t="str">
        <x:v>Registrado</x:v>
      </x:c>
      <x:c r="H153" s="34" t="str">
        <x:v>No</x:v>
      </x:c>
      <x:c r="I153" s="42"/>
      <x:c r="J153" s="42"/>
      <x:c r="K153" s="34" t="str"/>
      <x:c r="L153" s="34" t="str">
        <x:v>NO-SHOW</x:v>
      </x:c>
    </x:row>
    <x:row r="154">
      <x:c r="A154" s="34" t="str">
        <x:v>External</x:v>
      </x:c>
      <x:c r="B154" s="34" t="str">
        <x:v>GLORIA STHEFANNY RODRIGUEZ PEÑA</x:v>
      </x:c>
      <x:c r="C154" s="34" t="str">
        <x:v>areatecnica.tazasdoradascoffee@gmail.com</x:v>
      </x:c>
      <x:c r="D154" s="34" t="str">
        <x:v>COOPERATIVA AGRARIA TAZAS DORADAS COFFEE</x:v>
      </x:c>
      <x:c r="E154" s="34" t="str">
        <x:v>Perú</x:v>
      </x:c>
      <x:c r="F154" s="40" t="n">
        <x:v>46239.478472222225</x:v>
      </x:c>
      <x:c r="G154" s="34" t="str">
        <x:v>Registrado</x:v>
      </x:c>
      <x:c r="H154" s="34" t="str">
        <x:v>No</x:v>
      </x:c>
      <x:c r="I154" s="42"/>
      <x:c r="J154" s="42"/>
      <x:c r="K154" s="34" t="str"/>
      <x:c r="L154" s="34" t="str">
        <x:v>NO-SHOW</x:v>
      </x:c>
    </x:row>
    <x:row r="155">
      <x:c r="A155" s="34" t="str">
        <x:v>External</x:v>
      </x:c>
      <x:c r="B155" s="34" t="str">
        <x:v>Grace Palacios</x:v>
      </x:c>
      <x:c r="C155" s="34" t="str">
        <x:v>grace.palacios@symrise.com</x:v>
      </x:c>
      <x:c r="D155" s="34" t="str">
        <x:v>DIANA FOOD ECUADOR S.A</x:v>
      </x:c>
      <x:c r="E155" s="34" t="str">
        <x:v>Ecuador</x:v>
      </x:c>
      <x:c r="F155" s="40" t="n">
        <x:v>46253.573530092595</x:v>
      </x:c>
      <x:c r="G155" s="34" t="str">
        <x:v>Registrado</x:v>
      </x:c>
      <x:c r="H155" s="34" t="str">
        <x:v>No</x:v>
      </x:c>
      <x:c r="I155" s="42"/>
      <x:c r="J155" s="42"/>
      <x:c r="K155" s="34" t="str"/>
      <x:c r="L155" s="34" t="str">
        <x:v>NO-SHOW</x:v>
      </x:c>
    </x:row>
    <x:row r="156">
      <x:c r="A156" s="34" t="str">
        <x:v>External</x:v>
      </x:c>
      <x:c r="B156" s="34" t="str">
        <x:v>Guadalupe Vite Parrales</x:v>
      </x:c>
      <x:c r="C156" s="34" t="str">
        <x:v>lupevite593@gmail.com</x:v>
      </x:c>
      <x:c r="D156" s="34" t="str">
        <x:v>Grupacif SA</x:v>
      </x:c>
      <x:c r="E156" s="34" t="str">
        <x:v>Ecuador</x:v>
      </x:c>
      <x:c r="F156" s="40" t="n">
        <x:v>46251.63297453704</x:v>
      </x:c>
      <x:c r="G156" s="34" t="str">
        <x:v>Registrado</x:v>
      </x:c>
      <x:c r="H156" s="34" t="str">
        <x:v>No</x:v>
      </x:c>
      <x:c r="I156" s="42"/>
      <x:c r="J156" s="42"/>
      <x:c r="K156" s="34" t="str"/>
      <x:c r="L156" s="34" t="str">
        <x:v>NO-SHOW</x:v>
      </x:c>
    </x:row>
    <x:row r="157">
      <x:c r="A157" s="34" t="str">
        <x:v>External</x:v>
      </x:c>
      <x:c r="B157" s="34" t="str">
        <x:v>Gustavo Rafael Lamas Garcia</x:v>
      </x:c>
      <x:c r="C157" s="34" t="str">
        <x:v>gustavo.lamas@ldc.com</x:v>
      </x:c>
      <x:c r="D157" s="34" t="str">
        <x:v>LDC Paraguay S.A.</x:v>
      </x:c>
      <x:c r="E157" s="34" t="str">
        <x:v>Paraguay</x:v>
      </x:c>
      <x:c r="F157" s="40" t="n">
        <x:v>46240.4040625</x:v>
      </x:c>
      <x:c r="G157" s="34" t="str">
        <x:v>Registrado</x:v>
      </x:c>
      <x:c r="H157" s="34" t="str">
        <x:v>No</x:v>
      </x:c>
      <x:c r="I157" s="42"/>
      <x:c r="J157" s="42"/>
      <x:c r="K157" s="34" t="str"/>
      <x:c r="L157" s="34" t="str">
        <x:v>NO-SHOW</x:v>
      </x:c>
    </x:row>
    <x:row r="158">
      <x:c r="A158" s="34" t="str">
        <x:v>External</x:v>
      </x:c>
      <x:c r="B158" s="34" t="str">
        <x:v>Hector Garcia Sion</x:v>
      </x:c>
      <x:c r="C158" s="34" t="str">
        <x:v>hector_garciasion@cargill.com</x:v>
      </x:c>
      <x:c r="D158" s="34" t="str">
        <x:v>Cargill</x:v>
      </x:c>
      <x:c r="E158" s="34" t="str">
        <x:v>Ecuador</x:v>
      </x:c>
      <x:c r="F158" s="40" t="n">
        <x:v>46246.77916666667</x:v>
      </x:c>
      <x:c r="G158" s="34" t="str">
        <x:v>Registrado</x:v>
      </x:c>
      <x:c r="H158" s="34" t="str">
        <x:v>No</x:v>
      </x:c>
      <x:c r="I158" s="42"/>
      <x:c r="J158" s="42"/>
      <x:c r="K158" s="34" t="str"/>
      <x:c r="L158" s="34" t="str">
        <x:v>NO-SHOW</x:v>
      </x:c>
    </x:row>
    <x:row r="159">
      <x:c r="A159" s="34" t="str">
        <x:v>External</x:v>
      </x:c>
      <x:c r="B159" s="34" t="str">
        <x:v>Hernan Freddy Solano Navarro</x:v>
      </x:c>
      <x:c r="C159" s="34" t="str">
        <x:v>certificaciones@laflorida.org.pe</x:v>
      </x:c>
      <x:c r="D159" s="34" t="str">
        <x:v>CAC La Florida</x:v>
      </x:c>
      <x:c r="E159" s="34" t="str">
        <x:v>Perú</x:v>
      </x:c>
      <x:c r="F159" s="40" t="n">
        <x:v>46258.545277777775</x:v>
      </x:c>
      <x:c r="G159" s="34" t="str">
        <x:v>Registrado</x:v>
      </x:c>
      <x:c r="H159" s="34" t="str">
        <x:v>No</x:v>
      </x:c>
      <x:c r="I159" s="42"/>
      <x:c r="J159" s="42"/>
      <x:c r="K159" s="34" t="str"/>
      <x:c r="L159" s="34" t="str">
        <x:v>NO-SHOW</x:v>
      </x:c>
    </x:row>
    <x:row r="160">
      <x:c r="A160" s="34" t="str">
        <x:v>External</x:v>
      </x:c>
      <x:c r="B160" s="34" t="str">
        <x:v>Hernan Zunino</x:v>
      </x:c>
      <x:c r="C160" s="34" t="str">
        <x:v>hernan.zunino@twinings.com</x:v>
      </x:c>
      <x:c r="D160" s="34" t="str">
        <x:v>Twinings - Ovaltine</x:v>
      </x:c>
      <x:c r="E160" s="34" t="str">
        <x:v>United Kingdom</x:v>
      </x:c>
      <x:c r="F160" s="40" t="n">
        <x:v>46240.55266203704</x:v>
      </x:c>
      <x:c r="G160" s="34" t="str">
        <x:v>Registrado</x:v>
      </x:c>
      <x:c r="H160" s="34" t="str">
        <x:v>No</x:v>
      </x:c>
      <x:c r="I160" s="42"/>
      <x:c r="J160" s="42"/>
      <x:c r="K160" s="34" t="str"/>
      <x:c r="L160" s="34" t="str">
        <x:v>NO-SHOW</x:v>
      </x:c>
    </x:row>
    <x:row r="161">
      <x:c r="A161" s="34" t="str">
        <x:v>External</x:v>
      </x:c>
      <x:c r="B161" s="34" t="str">
        <x:v>Ignacio Faraldo Portus</x:v>
      </x:c>
      <x:c r="C161" s="34" t="str">
        <x:v>ignacio.faraldo@novaustral.cl</x:v>
      </x:c>
      <x:c r="D161" s="34" t="str">
        <x:v>Nova Austral</x:v>
      </x:c>
      <x:c r="E161" s="34" t="str">
        <x:v>Chile</x:v>
      </x:c>
      <x:c r="F161" s="40" t="n">
        <x:v>46240.41155092593</x:v>
      </x:c>
      <x:c r="G161" s="34" t="str">
        <x:v>Registrado</x:v>
      </x:c>
      <x:c r="H161" s="34" t="str">
        <x:v>No</x:v>
      </x:c>
      <x:c r="I161" s="42"/>
      <x:c r="J161" s="42"/>
      <x:c r="K161" s="34" t="str"/>
      <x:c r="L161" s="34" t="str">
        <x:v>NO-SHOW</x:v>
      </x:c>
    </x:row>
    <x:row r="162">
      <x:c r="A162" s="34" t="str">
        <x:v>External</x:v>
      </x:c>
      <x:c r="B162" s="34" t="str">
        <x:v>Isabella Molina Barrenechea</x:v>
      </x:c>
      <x:c r="C162" s="34" t="str">
        <x:v>esg_cusco@fronterra.eco</x:v>
      </x:c>
      <x:c r="D162" s="34" t="str">
        <x:v>FRONTERRA</x:v>
      </x:c>
      <x:c r="E162" s="34" t="str">
        <x:v>Perú</x:v>
      </x:c>
      <x:c r="F162" s="40" t="n">
        <x:v>46240.532002314816</x:v>
      </x:c>
      <x:c r="G162" s="34" t="str">
        <x:v>Registrado</x:v>
      </x:c>
      <x:c r="H162" s="34" t="str">
        <x:v>No</x:v>
      </x:c>
      <x:c r="I162" s="42"/>
      <x:c r="J162" s="42"/>
      <x:c r="K162" s="34" t="str"/>
      <x:c r="L162" s="34" t="str">
        <x:v>NO-SHOW</x:v>
      </x:c>
    </x:row>
    <x:row r="163">
      <x:c r="A163" s="34" t="str">
        <x:v>External</x:v>
      </x:c>
      <x:c r="B163" s="34" t="str">
        <x:v>Israel Cruz Canales</x:v>
      </x:c>
      <x:c r="C163" s="34" t="str">
        <x:v>israel.cruz@symrise.com</x:v>
      </x:c>
      <x:c r="D163" s="34" t="str">
        <x:v>Diana Food Ecuador</x:v>
      </x:c>
      <x:c r="E163" s="34" t="str">
        <x:v>Ecuador</x:v>
      </x:c>
      <x:c r="F163" s="40" t="n">
        <x:v>46259.35549768519</x:v>
      </x:c>
      <x:c r="G163" s="34" t="str">
        <x:v>Registrado</x:v>
      </x:c>
      <x:c r="H163" s="34" t="str">
        <x:v>No</x:v>
      </x:c>
      <x:c r="I163" s="42"/>
      <x:c r="J163" s="42"/>
      <x:c r="K163" s="34" t="str"/>
      <x:c r="L163" s="34" t="str">
        <x:v>NO-SHOW</x:v>
      </x:c>
    </x:row>
    <x:row r="164">
      <x:c r="A164" s="34" t="str">
        <x:v>External</x:v>
      </x:c>
      <x:c r="B164" s="34" t="str">
        <x:v>ITAMAR BARBOZA HUAMANTA</x:v>
      </x:c>
      <x:c r="C164" s="34" t="str">
        <x:v>ibarbozah94@gmail.com</x:v>
      </x:c>
      <x:c r="D164" s="34" t="str">
        <x:v>Agro servicios y asesoría EL INGE</x:v>
      </x:c>
      <x:c r="E164" s="34" t="str">
        <x:v>Perú</x:v>
      </x:c>
      <x:c r="F164" s="40" t="n">
        <x:v>46254.81805555556</x:v>
      </x:c>
      <x:c r="G164" s="34" t="str">
        <x:v>Registrado</x:v>
      </x:c>
      <x:c r="H164" s="34" t="str">
        <x:v>No</x:v>
      </x:c>
      <x:c r="I164" s="42"/>
      <x:c r="J164" s="42"/>
      <x:c r="K164" s="34" t="str"/>
      <x:c r="L164" s="34" t="str">
        <x:v>NO-SHOW</x:v>
      </x:c>
    </x:row>
    <x:row r="165">
      <x:c r="A165" s="34" t="str">
        <x:v>External</x:v>
      </x:c>
      <x:c r="B165" s="34" t="str">
        <x:v>Ivan Perez Guevara</x:v>
      </x:c>
      <x:c r="C165" s="34" t="str">
        <x:v>iperezguevara7@gmail.com</x:v>
      </x:c>
      <x:c r="D165" s="34" t="str">
        <x:v>CA FRUTOS DEL NORTE</x:v>
      </x:c>
      <x:c r="E165" s="34" t="str">
        <x:v>Perú</x:v>
      </x:c>
      <x:c r="F165" s="40" t="n">
        <x:v>46240.408530092594</x:v>
      </x:c>
      <x:c r="G165" s="34" t="str">
        <x:v>Registrado</x:v>
      </x:c>
      <x:c r="H165" s="34" t="str">
        <x:v>No</x:v>
      </x:c>
      <x:c r="I165" s="42"/>
      <x:c r="J165" s="42"/>
      <x:c r="K165" s="34" t="str"/>
      <x:c r="L165" s="34" t="str">
        <x:v>NO-SHOW</x:v>
      </x:c>
    </x:row>
    <x:row r="166">
      <x:c r="A166" s="34" t="str">
        <x:v>External</x:v>
      </x:c>
      <x:c r="B166" s="34" t="str">
        <x:v>Jack Hijar</x:v>
      </x:c>
      <x:c r="C166" s="34" t="str">
        <x:v>jackhijar@gmail.com</x:v>
      </x:c>
      <x:c r="D166" s="34" t="str">
        <x:v>Independiente</x:v>
      </x:c>
      <x:c r="E166" s="34" t="str">
        <x:v>Perú</x:v>
      </x:c>
      <x:c r="F166" s="40" t="n">
        <x:v>46243.010405092595</x:v>
      </x:c>
      <x:c r="G166" s="34" t="str">
        <x:v>Registrado</x:v>
      </x:c>
      <x:c r="H166" s="34" t="str">
        <x:v>No</x:v>
      </x:c>
      <x:c r="I166" s="42"/>
      <x:c r="J166" s="42"/>
      <x:c r="K166" s="34" t="str"/>
      <x:c r="L166" s="34" t="str">
        <x:v>NO-SHOW</x:v>
      </x:c>
    </x:row>
    <x:row r="167">
      <x:c r="A167" s="34" t="str">
        <x:v>External</x:v>
      </x:c>
      <x:c r="B167" s="34" t="str">
        <x:v>jader antonio fernandez bermudez</x:v>
      </x:c>
      <x:c r="C167" s="34" t="str">
        <x:v>jfbermudez09@gmail.com</x:v>
      </x:c>
      <x:c r="D167" s="34" t="str">
        <x:v>Palnorte SAS</x:v>
      </x:c>
      <x:c r="E167" s="34" t="str">
        <x:v>Colombia</x:v>
      </x:c>
      <x:c r="F167" s="40" t="n">
        <x:v>46258.55390046296</x:v>
      </x:c>
      <x:c r="G167" s="34" t="str">
        <x:v>Registrado</x:v>
      </x:c>
      <x:c r="H167" s="34" t="str">
        <x:v>No</x:v>
      </x:c>
      <x:c r="I167" s="42"/>
      <x:c r="J167" s="42"/>
      <x:c r="K167" s="34" t="str"/>
      <x:c r="L167" s="34" t="str">
        <x:v>NO-SHOW</x:v>
      </x:c>
    </x:row>
    <x:row r="168">
      <x:c r="A168" s="34" t="str">
        <x:v>External</x:v>
      </x:c>
      <x:c r="B168" s="34" t="str">
        <x:v>JADER SAIR RANGEL CANTERO</x:v>
      </x:c>
      <x:c r="C168" s="34" t="str">
        <x:v>jrangel@oleoflores.com</x:v>
      </x:c>
      <x:c r="D168" s="34" t="str">
        <x:v>OLEOFLORES</x:v>
      </x:c>
      <x:c r="E168" s="34" t="str">
        <x:v>COLOMBIA</x:v>
      </x:c>
      <x:c r="F168" s="40" t="n">
        <x:v>46246.69181712963</x:v>
      </x:c>
      <x:c r="G168" s="34" t="str">
        <x:v>Registrado</x:v>
      </x:c>
      <x:c r="H168" s="34" t="str">
        <x:v>No</x:v>
      </x:c>
      <x:c r="I168" s="42"/>
      <x:c r="J168" s="42"/>
      <x:c r="K168" s="34" t="str"/>
      <x:c r="L168" s="34" t="str">
        <x:v>NO-SHOW</x:v>
      </x:c>
    </x:row>
    <x:row r="169">
      <x:c r="A169" s="34" t="str">
        <x:v>External</x:v>
      </x:c>
      <x:c r="B169" s="34" t="str">
        <x:v>James Ivan Fernández Menor</x:v>
      </x:c>
      <x:c r="C169" s="34" t="str">
        <x:v>fernandezmenorjames@gmail.com</x:v>
      </x:c>
      <x:c r="D169" s="34" t="str">
        <x:v>Cooperativa Agraria COOPBAM</x:v>
      </x:c>
      <x:c r="E169" s="34" t="str">
        <x:v>Perú</x:v>
      </x:c>
      <x:c r="F169" s="40" t="n">
        <x:v>46259.41297453704</x:v>
      </x:c>
      <x:c r="G169" s="34" t="str">
        <x:v>Registrado</x:v>
      </x:c>
      <x:c r="H169" s="34" t="str">
        <x:v>No</x:v>
      </x:c>
      <x:c r="I169" s="42"/>
      <x:c r="J169" s="42"/>
      <x:c r="K169" s="34" t="str"/>
      <x:c r="L169" s="34" t="str">
        <x:v>NO-SHOW</x:v>
      </x:c>
    </x:row>
    <x:row r="170">
      <x:c r="A170" s="34" t="str">
        <x:v>External</x:v>
      </x:c>
      <x:c r="B170" s="34" t="str">
        <x:v>Jennifer Rojas</x:v>
      </x:c>
      <x:c r="C170" s="34" t="str">
        <x:v>jennifer.rojas@ecomgroup.com</x:v>
      </x:c>
      <x:c r="D170" s="34" t="str">
        <x:v>CAFETALERA AMAZONICA SA</x:v>
      </x:c>
      <x:c r="E170" s="34" t="str">
        <x:v>Perú</x:v>
      </x:c>
      <x:c r="F170" s="40" t="n">
        <x:v>46258.68238425926</x:v>
      </x:c>
      <x:c r="G170" s="34" t="str">
        <x:v>Registrado</x:v>
      </x:c>
      <x:c r="H170" s="34" t="str">
        <x:v>No</x:v>
      </x:c>
      <x:c r="I170" s="42"/>
      <x:c r="J170" s="42"/>
      <x:c r="K170" s="34" t="str"/>
      <x:c r="L170" s="34" t="str">
        <x:v>NO-SHOW</x:v>
      </x:c>
    </x:row>
    <x:row r="171">
      <x:c r="A171" s="34" t="str">
        <x:v>External</x:v>
      </x:c>
      <x:c r="B171" s="34" t="str">
        <x:v>JIMENA CAROLINA MOLINA RODRÍGUEZ</x:v>
      </x:c>
      <x:c r="C171" s="34" t="str">
        <x:v>jcmolina@unimagdalena.edu.co</x:v>
      </x:c>
      <x:c r="D171" s="34" t="str">
        <x:v>C.I BANASAN</x:v>
      </x:c>
      <x:c r="E171" s="34" t="str">
        <x:v>Colombia</x:v>
      </x:c>
      <x:c r="F171" s="40" t="n">
        <x:v>46258.42134259259</x:v>
      </x:c>
      <x:c r="G171" s="34" t="str">
        <x:v>Registrado</x:v>
      </x:c>
      <x:c r="H171" s="34" t="str">
        <x:v>No</x:v>
      </x:c>
      <x:c r="I171" s="42"/>
      <x:c r="J171" s="42"/>
      <x:c r="K171" s="34" t="str"/>
      <x:c r="L171" s="34" t="str">
        <x:v>NO-SHOW</x:v>
      </x:c>
    </x:row>
    <x:row r="172">
      <x:c r="A172" s="34" t="str">
        <x:v>External</x:v>
      </x:c>
      <x:c r="B172" s="34" t="str">
        <x:v>John Carlos Mendoza Prado</x:v>
      </x:c>
      <x:c r="C172" s="34" t="str">
        <x:v>johnmendoza3395@gmail.com</x:v>
      </x:c>
      <x:c r="D172" s="34" t="str">
        <x:v>Yanapacha</x:v>
      </x:c>
      <x:c r="E172" s="34" t="str">
        <x:v>Ecuador</x:v>
      </x:c>
      <x:c r="F172" s="40" t="n">
        <x:v>46250.40487268518</x:v>
      </x:c>
      <x:c r="G172" s="34" t="str">
        <x:v>Registrado</x:v>
      </x:c>
      <x:c r="H172" s="34" t="str">
        <x:v>No</x:v>
      </x:c>
      <x:c r="I172" s="42"/>
      <x:c r="J172" s="42"/>
      <x:c r="K172" s="34" t="str"/>
      <x:c r="L172" s="34" t="str">
        <x:v>NO-SHOW</x:v>
      </x:c>
    </x:row>
    <x:row r="173">
      <x:c r="A173" s="34" t="str">
        <x:v>External</x:v>
      </x:c>
      <x:c r="B173" s="34" t="str">
        <x:v>Johnny Gabriel Navas Aquim</x:v>
      </x:c>
      <x:c r="C173" s="34" t="str">
        <x:v>johnnygabrielavas@gmail.com</x:v>
      </x:c>
      <x:c r="D173" s="34" t="str">
        <x:v>Cooperativa de producción agroecologica el guabo</x:v>
      </x:c>
      <x:c r="E173" s="34" t="str">
        <x:v>Ecuador</x:v>
      </x:c>
      <x:c r="F173" s="40" t="n">
        <x:v>46253.90484953704</x:v>
      </x:c>
      <x:c r="G173" s="34" t="str">
        <x:v>Registrado</x:v>
      </x:c>
      <x:c r="H173" s="34" t="str">
        <x:v>No</x:v>
      </x:c>
      <x:c r="I173" s="42"/>
      <x:c r="J173" s="42"/>
      <x:c r="K173" s="34" t="str"/>
      <x:c r="L173" s="34" t="str">
        <x:v>NO-SHOW</x:v>
      </x:c>
    </x:row>
    <x:row r="174">
      <x:c r="A174" s="34" t="str">
        <x:v>External</x:v>
      </x:c>
      <x:c r="B174" s="34" t="str">
        <x:v>Johnny Gabriel Navas Aquim</x:v>
      </x:c>
      <x:c r="C174" s="34" t="str">
        <x:v>jnavasaquim@gmail.com</x:v>
      </x:c>
      <x:c r="D174" s="34" t="str">
        <x:v>Cooperativa de producción agroecologica el guabo</x:v>
      </x:c>
      <x:c r="E174" s="34" t="str">
        <x:v>Ecuador</x:v>
      </x:c>
      <x:c r="F174" s="40" t="n">
        <x:v>46254.04542824074</x:v>
      </x:c>
      <x:c r="G174" s="34" t="str">
        <x:v>Registrado</x:v>
      </x:c>
      <x:c r="H174" s="34" t="str">
        <x:v>No</x:v>
      </x:c>
      <x:c r="I174" s="42"/>
      <x:c r="J174" s="42"/>
      <x:c r="K174" s="34" t="str"/>
      <x:c r="L174" s="34" t="str">
        <x:v>NO-SHOW</x:v>
      </x:c>
    </x:row>
    <x:row r="175">
      <x:c r="A175" s="34" t="str">
        <x:v>External</x:v>
      </x:c>
      <x:c r="B175" s="34" t="str">
        <x:v>José Eduardo García Tacuri</x:v>
      </x:c>
      <x:c r="C175" s="34" t="str">
        <x:v>agrario78@gmail.com</x:v>
      </x:c>
      <x:c r="D175" s="34" t="str">
        <x:v>Biotiver</x:v>
      </x:c>
      <x:c r="E175" s="34" t="str">
        <x:v>Ecuador</x:v>
      </x:c>
      <x:c r="F175" s="40" t="n">
        <x:v>46259.847453703704</x:v>
      </x:c>
      <x:c r="G175" s="34" t="str">
        <x:v>Registrado</x:v>
      </x:c>
      <x:c r="H175" s="34" t="str">
        <x:v>No</x:v>
      </x:c>
      <x:c r="I175" s="42"/>
      <x:c r="J175" s="42"/>
      <x:c r="K175" s="34" t="str"/>
      <x:c r="L175" s="34" t="str">
        <x:v>NO-SHOW</x:v>
      </x:c>
    </x:row>
    <x:row r="176">
      <x:c r="A176" s="34" t="str">
        <x:v>External</x:v>
      </x:c>
      <x:c r="B176" s="34" t="str">
        <x:v>José Trejos</x:v>
      </x:c>
      <x:c r="C176" s="34" t="str">
        <x:v>jtrejosh@vitapro.cl</x:v>
      </x:c>
      <x:c r="D176" s="34" t="str">
        <x:v>Vitapro</x:v>
      </x:c>
      <x:c r="E176" s="34" t="str">
        <x:v>Chile</x:v>
      </x:c>
      <x:c r="F176" s="40" t="n">
        <x:v>46247.97694444445</x:v>
      </x:c>
      <x:c r="G176" s="34" t="str">
        <x:v>Registrado</x:v>
      </x:c>
      <x:c r="H176" s="34" t="str">
        <x:v>No</x:v>
      </x:c>
      <x:c r="I176" s="42"/>
      <x:c r="J176" s="42"/>
      <x:c r="K176" s="34" t="str"/>
      <x:c r="L176" s="34" t="str">
        <x:v>NO-SHOW</x:v>
      </x:c>
    </x:row>
    <x:row r="177">
      <x:c r="A177" s="34" t="str">
        <x:v>External</x:v>
      </x:c>
      <x:c r="B177" s="34" t="str">
        <x:v>Juan Carlos Benitez</x:v>
      </x:c>
      <x:c r="C177" s="34" t="str">
        <x:v>jcbenitez@latbio.com.ec</x:v>
      </x:c>
      <x:c r="D177" s="34" t="str">
        <x:v>LatBio SA</x:v>
      </x:c>
      <x:c r="E177" s="34" t="str">
        <x:v>Ecuador</x:v>
      </x:c>
      <x:c r="F177" s="40" t="n">
        <x:v>46245.92587962963</x:v>
      </x:c>
      <x:c r="G177" s="34" t="str">
        <x:v>Registrado</x:v>
      </x:c>
      <x:c r="H177" s="34" t="str">
        <x:v>No</x:v>
      </x:c>
      <x:c r="I177" s="42"/>
      <x:c r="J177" s="42"/>
      <x:c r="K177" s="34" t="str"/>
      <x:c r="L177" s="34" t="str">
        <x:v>NO-SHOW</x:v>
      </x:c>
    </x:row>
    <x:row r="178">
      <x:c r="A178" s="34" t="str">
        <x:v>External</x:v>
      </x:c>
      <x:c r="B178" s="34" t="str">
        <x:v>Juan David Restrepo</x:v>
      </x:c>
      <x:c r="C178" s="34" t="str">
        <x:v>jrestrepo@localpartners.ch</x:v>
      </x:c>
      <x:c r="D178" s="34" t="str">
        <x:v>Fundación Local Partners</x:v>
      </x:c>
      <x:c r="E178" s="34" t="str">
        <x:v>Colombia</x:v>
      </x:c>
      <x:c r="F178" s="40" t="n">
        <x:v>46247.52232638889</x:v>
      </x:c>
      <x:c r="G178" s="34" t="str">
        <x:v>Registrado</x:v>
      </x:c>
      <x:c r="H178" s="34" t="str">
        <x:v>No</x:v>
      </x:c>
      <x:c r="I178" s="42"/>
      <x:c r="J178" s="42"/>
      <x:c r="K178" s="34" t="str"/>
      <x:c r="L178" s="34" t="str">
        <x:v>NO-SHOW</x:v>
      </x:c>
    </x:row>
    <x:row r="179">
      <x:c r="A179" s="34" t="str">
        <x:v>External</x:v>
      </x:c>
      <x:c r="B179" s="34" t="str">
        <x:v>Juan Emilio Ac Paau</x:v>
      </x:c>
      <x:c r="C179" s="34" t="str">
        <x:v>emilioac81@gmail.com</x:v>
      </x:c>
      <x:c r="D179" s="34" t="str">
        <x:v>CAFINTER</x:v>
      </x:c>
      <x:c r="E179" s="34" t="str">
        <x:v>Guatemala</x:v>
      </x:c>
      <x:c r="F179" s="40" t="n">
        <x:v>46240.46790509259</x:v>
      </x:c>
      <x:c r="G179" s="34" t="str">
        <x:v>Registrado</x:v>
      </x:c>
      <x:c r="H179" s="34" t="str">
        <x:v>No</x:v>
      </x:c>
      <x:c r="I179" s="42"/>
      <x:c r="J179" s="42"/>
      <x:c r="K179" s="34" t="str"/>
      <x:c r="L179" s="34" t="str">
        <x:v>NO-SHOW</x:v>
      </x:c>
    </x:row>
    <x:row r="180">
      <x:c r="A180" s="34" t="str">
        <x:v>External</x:v>
      </x:c>
      <x:c r="B180" s="34" t="str">
        <x:v>Juan Emilio Ac Paau</x:v>
      </x:c>
      <x:c r="C180" s="34" t="str">
        <x:v>emilio.ac@cafinter.com.gt</x:v>
      </x:c>
      <x:c r="D180" s="34" t="str">
        <x:v>CAFINTER</x:v>
      </x:c>
      <x:c r="E180" s="34" t="str">
        <x:v>Guatemala</x:v>
      </x:c>
      <x:c r="F180" s="40" t="n">
        <x:v>46240.470138888886</x:v>
      </x:c>
      <x:c r="G180" s="34" t="str">
        <x:v>Registrado</x:v>
      </x:c>
      <x:c r="H180" s="34" t="str">
        <x:v>No</x:v>
      </x:c>
      <x:c r="I180" s="42"/>
      <x:c r="J180" s="42"/>
      <x:c r="K180" s="34" t="str"/>
      <x:c r="L180" s="34" t="str">
        <x:v>NO-SHOW</x:v>
      </x:c>
    </x:row>
    <x:row r="181">
      <x:c r="A181" s="34" t="str">
        <x:v>External</x:v>
      </x:c>
      <x:c r="B181" s="34" t="str">
        <x:v>Juan Gaona</x:v>
      </x:c>
      <x:c r="C181" s="34" t="str">
        <x:v>juan.gaona@caiasa.com</x:v>
      </x:c>
      <x:c r="D181" s="34" t="str">
        <x:v>COMPLEJO AGRO INDUSTRIAL ANGOSTURA S.A.</x:v>
      </x:c>
      <x:c r="E181" s="34" t="str">
        <x:v>Paraguay</x:v>
      </x:c>
      <x:c r="F181" s="40" t="n">
        <x:v>46240.44459490741</x:v>
      </x:c>
      <x:c r="G181" s="34" t="str">
        <x:v>Registrado</x:v>
      </x:c>
      <x:c r="H181" s="34" t="str">
        <x:v>No</x:v>
      </x:c>
      <x:c r="I181" s="42"/>
      <x:c r="J181" s="42"/>
      <x:c r="K181" s="34" t="str"/>
      <x:c r="L181" s="34" t="str">
        <x:v>NO-SHOW</x:v>
      </x:c>
    </x:row>
    <x:row r="182">
      <x:c r="A182" s="34" t="str">
        <x:v>External</x:v>
      </x:c>
      <x:c r="B182" s="34" t="str">
        <x:v>Juan Manuel Hincapie Cardona</x:v>
      </x:c>
      <x:c r="C182" s="34" t="str">
        <x:v>jhincapie@expocafe.com</x:v>
      </x:c>
      <x:c r="D182" s="34" t="str">
        <x:v>EXPOCAFE</x:v>
      </x:c>
      <x:c r="E182" s="34" t="str">
        <x:v>Colombia</x:v>
      </x:c>
      <x:c r="F182" s="40" t="n">
        <x:v>46240.527650462966</x:v>
      </x:c>
      <x:c r="G182" s="34" t="str">
        <x:v>Registrado</x:v>
      </x:c>
      <x:c r="H182" s="34" t="str">
        <x:v>No</x:v>
      </x:c>
      <x:c r="I182" s="42"/>
      <x:c r="J182" s="42"/>
      <x:c r="K182" s="34" t="str"/>
      <x:c r="L182" s="34" t="str">
        <x:v>NO-SHOW</x:v>
      </x:c>
    </x:row>
    <x:row r="183">
      <x:c r="A183" s="34" t="str">
        <x:v>External</x:v>
      </x:c>
      <x:c r="B183" s="34" t="str">
        <x:v>Junior Silvero</x:v>
      </x:c>
      <x:c r="C183" s="34" t="str">
        <x:v>junior.sgi@lar.com.py</x:v>
      </x:c>
      <x:c r="D183" s="34" t="str">
        <x:v>Lar Paraguay</x:v>
      </x:c>
      <x:c r="E183" s="34" t="str">
        <x:v>Paraguay</x:v>
      </x:c>
      <x:c r="F183" s="40" t="n">
        <x:v>46240.48569444445</x:v>
      </x:c>
      <x:c r="G183" s="34" t="str">
        <x:v>Registrado</x:v>
      </x:c>
      <x:c r="H183" s="34" t="str">
        <x:v>No</x:v>
      </x:c>
      <x:c r="I183" s="42"/>
      <x:c r="J183" s="42"/>
      <x:c r="K183" s="34" t="str"/>
      <x:c r="L183" s="34" t="str">
        <x:v>NO-SHOW</x:v>
      </x:c>
    </x:row>
    <x:row r="184">
      <x:c r="A184" s="34" t="str">
        <x:v>External</x:v>
      </x:c>
      <x:c r="B184" s="34" t="str">
        <x:v>KARINA Mantilla</x:v>
      </x:c>
      <x:c r="C184" s="34" t="str">
        <x:v>karina_mantillacenteno@cargill.com</x:v>
      </x:c>
      <x:c r="D184" s="34" t="str">
        <x:v>Cargill</x:v>
      </x:c>
      <x:c r="E184" s="34" t="str">
        <x:v>Ecuador</x:v>
      </x:c>
      <x:c r="F184" s="40" t="n">
        <x:v>46240.51395833334</x:v>
      </x:c>
      <x:c r="G184" s="34" t="str">
        <x:v>Registrado</x:v>
      </x:c>
      <x:c r="H184" s="34" t="str">
        <x:v>No</x:v>
      </x:c>
      <x:c r="I184" s="42"/>
      <x:c r="J184" s="42"/>
      <x:c r="K184" s="34" t="str"/>
      <x:c r="L184" s="34" t="str">
        <x:v>NO-SHOW</x:v>
      </x:c>
    </x:row>
    <x:row r="185">
      <x:c r="A185" s="34" t="str">
        <x:v>External</x:v>
      </x:c>
      <x:c r="B185" s="34" t="str">
        <x:v>Karina Moreno</x:v>
      </x:c>
      <x:c r="C185" s="34" t="str">
        <x:v>karinamorenoproyectos@gmail.com</x:v>
      </x:c>
      <x:c r="D185" s="34" t="str">
        <x:v>Km proyectos, c.a</x:v>
      </x:c>
      <x:c r="E185" s="34" t="str">
        <x:v>Venezuela</x:v>
      </x:c>
      <x:c r="F185" s="40" t="n">
        <x:v>46253.479675925926</x:v>
      </x:c>
      <x:c r="G185" s="34" t="str">
        <x:v>Registrado</x:v>
      </x:c>
      <x:c r="H185" s="34" t="str">
        <x:v>No</x:v>
      </x:c>
      <x:c r="I185" s="42"/>
      <x:c r="J185" s="42"/>
      <x:c r="K185" s="34" t="str"/>
      <x:c r="L185" s="34" t="str">
        <x:v>NO-SHOW</x:v>
      </x:c>
    </x:row>
    <x:row r="186">
      <x:c r="A186" s="34" t="str">
        <x:v>External</x:v>
      </x:c>
      <x:c r="B186" s="34" t="str">
        <x:v>Karina Vargas</x:v>
      </x:c>
      <x:c r="C186" s="34" t="str">
        <x:v>kvargas@energypalma.com</x:v>
      </x:c>
      <x:c r="D186" s="34" t="str">
        <x:v>EXA RIO MANSO</x:v>
      </x:c>
      <x:c r="E186" s="34" t="str">
        <x:v>Ecuador</x:v>
      </x:c>
      <x:c r="F186" s="40" t="n">
        <x:v>46253.56513888889</x:v>
      </x:c>
      <x:c r="G186" s="34" t="str">
        <x:v>Registrado</x:v>
      </x:c>
      <x:c r="H186" s="34" t="str">
        <x:v>No</x:v>
      </x:c>
      <x:c r="I186" s="42"/>
      <x:c r="J186" s="42"/>
      <x:c r="K186" s="34" t="str"/>
      <x:c r="L186" s="34" t="str">
        <x:v>NO-SHOW</x:v>
      </x:c>
    </x:row>
    <x:row r="187">
      <x:c r="A187" s="34" t="str">
        <x:v>External</x:v>
      </x:c>
      <x:c r="B187" s="34" t="str">
        <x:v>Kimberly Mariley Loor Suche</x:v>
      </x:c>
      <x:c r="C187" s="34" t="str">
        <x:v>kimberlyloor.m15@gmail.com</x:v>
      </x:c>
      <x:c r="D187" s="34" t="str">
        <x:v>Non profit</x:v>
      </x:c>
      <x:c r="E187" s="34" t="str">
        <x:v>Ecuador</x:v>
      </x:c>
      <x:c r="F187" s="40" t="n">
        <x:v>46239.64505787037</x:v>
      </x:c>
      <x:c r="G187" s="34" t="str">
        <x:v>Registrado</x:v>
      </x:c>
      <x:c r="H187" s="34" t="str">
        <x:v>No</x:v>
      </x:c>
      <x:c r="I187" s="42"/>
      <x:c r="J187" s="42"/>
      <x:c r="K187" s="34" t="str"/>
      <x:c r="L187" s="34" t="str">
        <x:v>NO-SHOW</x:v>
      </x:c>
    </x:row>
    <x:row r="188">
      <x:c r="A188" s="34" t="str">
        <x:v>External</x:v>
      </x:c>
      <x:c r="B188" s="34" t="str">
        <x:v>LEINER PAREDES</x:v>
      </x:c>
      <x:c r="C188" s="34" t="str">
        <x:v>leinerparedes@yahoo.com</x:v>
      </x:c>
      <x:c r="D188" s="34" t="str">
        <x:v>LEINER PAREDES SERRANO</x:v>
      </x:c>
      <x:c r="E188" s="34" t="str">
        <x:v>Ecuador</x:v>
      </x:c>
      <x:c r="F188" s="40" t="n">
        <x:v>46253.81590277778</x:v>
      </x:c>
      <x:c r="G188" s="34" t="str">
        <x:v>Registrado</x:v>
      </x:c>
      <x:c r="H188" s="34" t="str">
        <x:v>No</x:v>
      </x:c>
      <x:c r="I188" s="42"/>
      <x:c r="J188" s="42"/>
      <x:c r="K188" s="34" t="str"/>
      <x:c r="L188" s="34" t="str">
        <x:v>NO-SHOW</x:v>
      </x:c>
    </x:row>
    <x:row r="189">
      <x:c r="A189" s="34" t="str">
        <x:v>External</x:v>
      </x:c>
      <x:c r="B189" s="34" t="str">
        <x:v>Leonardo Andres Paipilla Pardo</x:v>
      </x:c>
      <x:c r="C189" s="34" t="str">
        <x:v>leonardo.paipilla@proforest.net</x:v>
      </x:c>
      <x:c r="D189" s="34" t="str">
        <x:v>Proforest</x:v>
      </x:c>
      <x:c r="E189" s="34" t="str">
        <x:v>LATAM</x:v>
      </x:c>
      <x:c r="F189" s="40" t="n">
        <x:v>46253.48991898148</x:v>
      </x:c>
      <x:c r="G189" s="34" t="str">
        <x:v>Registrado</x:v>
      </x:c>
      <x:c r="H189" s="34" t="str">
        <x:v>No</x:v>
      </x:c>
      <x:c r="I189" s="42"/>
      <x:c r="J189" s="42"/>
      <x:c r="K189" s="34" t="str"/>
      <x:c r="L189" s="34" t="str">
        <x:v>NO-SHOW</x:v>
      </x:c>
    </x:row>
    <x:row r="190">
      <x:c r="A190" s="34" t="str">
        <x:v>External</x:v>
      </x:c>
      <x:c r="B190" s="34" t="str">
        <x:v>Leonardo Zevallos</x:v>
      </x:c>
      <x:c r="C190" s="34" t="str">
        <x:v>leonardo.zevallosroldan@gmail.com</x:v>
      </x:c>
      <x:c r="D190" s="34" t="str">
        <x:v>Optical Networks SAC</x:v>
      </x:c>
      <x:c r="E190" s="34" t="str">
        <x:v>Perú</x:v>
      </x:c>
      <x:c r="F190" s="40" t="n">
        <x:v>46253.81334490741</x:v>
      </x:c>
      <x:c r="G190" s="34" t="str">
        <x:v>Registrado</x:v>
      </x:c>
      <x:c r="H190" s="34" t="str">
        <x:v>No</x:v>
      </x:c>
      <x:c r="I190" s="42"/>
      <x:c r="J190" s="42"/>
      <x:c r="K190" s="34" t="str"/>
      <x:c r="L190" s="34" t="str">
        <x:v>NO-SHOW</x:v>
      </x:c>
    </x:row>
    <x:row r="191">
      <x:c r="A191" s="34" t="str">
        <x:v>External</x:v>
      </x:c>
      <x:c r="B191" s="34" t="str">
        <x:v>Lizbeth Eva Sosa Vilchez</x:v>
      </x:c>
      <x:c r="C191" s="34" t="str">
        <x:v>alizsosa.14@gmail.com</x:v>
      </x:c>
      <x:c r="D191" s="34" t="str">
        <x:v>Asociación de  Mujeres cafetaleras AMUVAC</x:v>
      </x:c>
      <x:c r="E191" s="34" t="str">
        <x:v>Perú</x:v>
      </x:c>
      <x:c r="F191" s="40" t="n">
        <x:v>46239.5200462963</x:v>
      </x:c>
      <x:c r="G191" s="34" t="str">
        <x:v>Registrado</x:v>
      </x:c>
      <x:c r="H191" s="34" t="str">
        <x:v>No</x:v>
      </x:c>
      <x:c r="I191" s="42"/>
      <x:c r="J191" s="42"/>
      <x:c r="K191" s="34" t="str"/>
      <x:c r="L191" s="34" t="str">
        <x:v>NO-SHOW</x:v>
      </x:c>
    </x:row>
    <x:row r="192">
      <x:c r="A192" s="34" t="str">
        <x:v>External</x:v>
      </x:c>
      <x:c r="B192" s="34" t="str">
        <x:v>Lucas Nesteruk</x:v>
      </x:c>
      <x:c r="C192" s="34" t="str">
        <x:v>nesteruklucas@gmail.com</x:v>
      </x:c>
      <x:c r="D192" s="34" t="str">
        <x:v>Agrolegal</x:v>
      </x:c>
      <x:c r="E192" s="34" t="str">
        <x:v>Argentina</x:v>
      </x:c>
      <x:c r="F192" s="40" t="n">
        <x:v>46259.92878472222</x:v>
      </x:c>
      <x:c r="G192" s="34" t="str">
        <x:v>Registrado</x:v>
      </x:c>
      <x:c r="H192" s="34" t="str">
        <x:v>No</x:v>
      </x:c>
      <x:c r="I192" s="42"/>
      <x:c r="J192" s="42"/>
      <x:c r="K192" s="34" t="str"/>
      <x:c r="L192" s="34" t="str">
        <x:v>NO-SHOW</x:v>
      </x:c>
    </x:row>
    <x:row r="193">
      <x:c r="A193" s="34" t="str">
        <x:v>External</x:v>
      </x:c>
      <x:c r="B193" s="34" t="str">
        <x:v>Lucero Viveros Martinez</x:v>
      </x:c>
      <x:c r="C193" s="34" t="str">
        <x:v>lucero.viveros@adm.com</x:v>
      </x:c>
      <x:c r="D193" s="34" t="str">
        <x:v>Logistica</x:v>
      </x:c>
      <x:c r="E193" s="34" t="str">
        <x:v>Paraguay</x:v>
      </x:c>
      <x:c r="F193" s="40" t="n">
        <x:v>46247.45400462963</x:v>
      </x:c>
      <x:c r="G193" s="34" t="str">
        <x:v>Registrado</x:v>
      </x:c>
      <x:c r="H193" s="34" t="str">
        <x:v>No</x:v>
      </x:c>
      <x:c r="I193" s="42"/>
      <x:c r="J193" s="42"/>
      <x:c r="K193" s="34" t="str"/>
      <x:c r="L193" s="34" t="str">
        <x:v>NO-SHOW</x:v>
      </x:c>
    </x:row>
    <x:row r="194">
      <x:c r="A194" s="34" t="str">
        <x:v>External</x:v>
      </x:c>
      <x:c r="B194" s="34" t="str">
        <x:v>Lucy Llanos</x:v>
      </x:c>
      <x:c r="C194" s="34" t="str">
        <x:v>lucyllanos@falconcoffees.com</x:v>
      </x:c>
      <x:c r="D194" s="34" t="str">
        <x:v>Falcón Coffees</x:v>
      </x:c>
      <x:c r="E194" s="34" t="str">
        <x:v>Perú</x:v>
      </x:c>
      <x:c r="F194" s="40" t="n">
        <x:v>46260.37472222222</x:v>
      </x:c>
      <x:c r="G194" s="34" t="str">
        <x:v>Registrado</x:v>
      </x:c>
      <x:c r="H194" s="34" t="str">
        <x:v>No</x:v>
      </x:c>
      <x:c r="I194" s="42"/>
      <x:c r="J194" s="42"/>
      <x:c r="K194" s="34" t="str"/>
      <x:c r="L194" s="34" t="str">
        <x:v>NO-SHOW</x:v>
      </x:c>
    </x:row>
    <x:row r="195">
      <x:c r="A195" s="34" t="str">
        <x:v>External</x:v>
      </x:c>
      <x:c r="B195" s="34" t="str">
        <x:v>Luis Cervantes</x:v>
      </x:c>
      <x:c r="C195" s="34" t="str">
        <x:v>luismiguelalonso@gmail.com</x:v>
      </x:c>
      <x:c r="D195" s="34" t="str">
        <x:v>AGRIS SRL</x:v>
      </x:c>
      <x:c r="E195" s="34" t="str">
        <x:v>Perú</x:v>
      </x:c>
      <x:c r="F195" s="40" t="n">
        <x:v>46246.427094907405</x:v>
      </x:c>
      <x:c r="G195" s="34" t="str">
        <x:v>Registrado</x:v>
      </x:c>
      <x:c r="H195" s="34" t="str">
        <x:v>No</x:v>
      </x:c>
      <x:c r="I195" s="42"/>
      <x:c r="J195" s="42"/>
      <x:c r="K195" s="34" t="str"/>
      <x:c r="L195" s="34" t="str">
        <x:v>NO-SHOW</x:v>
      </x:c>
    </x:row>
    <x:row r="196">
      <x:c r="A196" s="34" t="str">
        <x:v>External</x:v>
      </x:c>
      <x:c r="B196" s="34" t="str">
        <x:v>Luis Salinas</x:v>
      </x:c>
      <x:c r="C196" s="34" t="str">
        <x:v>lsalinas@cofcointernational.com</x:v>
      </x:c>
      <x:c r="D196" s="34" t="str">
        <x:v>COFCO</x:v>
      </x:c>
      <x:c r="E196" s="34" t="str">
        <x:v>Paraguay</x:v>
      </x:c>
      <x:c r="F196" s="40" t="n">
        <x:v>46248.82136574074</x:v>
      </x:c>
      <x:c r="G196" s="34" t="str">
        <x:v>Registrado</x:v>
      </x:c>
      <x:c r="H196" s="34" t="str">
        <x:v>No</x:v>
      </x:c>
      <x:c r="I196" s="42"/>
      <x:c r="J196" s="42"/>
      <x:c r="K196" s="34" t="str"/>
      <x:c r="L196" s="34" t="str">
        <x:v>NO-SHOW</x:v>
      </x:c>
    </x:row>
    <x:row r="197">
      <x:c r="A197" s="34" t="str">
        <x:v>External</x:v>
      </x:c>
      <x:c r="B197" s="34" t="str">
        <x:v>Luz Salinas</x:v>
      </x:c>
      <x:c r="C197" s="34" t="str">
        <x:v>luz.salinas@lar.com.py</x:v>
      </x:c>
      <x:c r="D197" s="34" t="str">
        <x:v>Lar Paraguay</x:v>
      </x:c>
      <x:c r="E197" s="34" t="str">
        <x:v>paraguay</x:v>
      </x:c>
      <x:c r="F197" s="40" t="n">
        <x:v>46245.43021990741</x:v>
      </x:c>
      <x:c r="G197" s="34" t="str">
        <x:v>Registrado</x:v>
      </x:c>
      <x:c r="H197" s="34" t="str">
        <x:v>No</x:v>
      </x:c>
      <x:c r="I197" s="42"/>
      <x:c r="J197" s="42"/>
      <x:c r="K197" s="34" t="str"/>
      <x:c r="L197" s="34" t="str">
        <x:v>NO-SHOW</x:v>
      </x:c>
    </x:row>
    <x:row r="198">
      <x:c r="A198" s="34" t="str">
        <x:v>External</x:v>
      </x:c>
      <x:c r="B198" s="34" t="str">
        <x:v>Luz Tinoco</x:v>
      </x:c>
      <x:c r="C198" s="34" t="str">
        <x:v>certificaciones.sgia@greenbox.pe</x:v>
      </x:c>
      <x:c r="D198" s="34" t="str">
        <x:v>GREENBOX SAC</x:v>
      </x:c>
      <x:c r="E198" s="34" t="str">
        <x:v>PERU</x:v>
      </x:c>
      <x:c r="F198" s="40" t="n">
        <x:v>46252.770625</x:v>
      </x:c>
      <x:c r="G198" s="34" t="str">
        <x:v>Registrado</x:v>
      </x:c>
      <x:c r="H198" s="34" t="str">
        <x:v>No</x:v>
      </x:c>
      <x:c r="I198" s="42"/>
      <x:c r="J198" s="42"/>
      <x:c r="K198" s="34" t="str"/>
      <x:c r="L198" s="34" t="str">
        <x:v>NO-SHOW</x:v>
      </x:c>
    </x:row>
    <x:row r="199">
      <x:c r="A199" s="34" t="str">
        <x:v>External</x:v>
      </x:c>
      <x:c r="B199" s="34" t="str">
        <x:v>Macarena Melilli</x:v>
      </x:c>
      <x:c r="C199" s="34" t="str">
        <x:v>mmelilli@magyp.gob.ar</x:v>
      </x:c>
      <x:c r="D199" s="34" t="str">
        <x:v>SAGyP</x:v>
      </x:c>
      <x:c r="E199" s="34" t="str">
        <x:v>Argentina</x:v>
      </x:c>
      <x:c r="F199" s="40" t="n">
        <x:v>46246.54298611111</x:v>
      </x:c>
      <x:c r="G199" s="34" t="str">
        <x:v>Registrado</x:v>
      </x:c>
      <x:c r="H199" s="34" t="str">
        <x:v>No</x:v>
      </x:c>
      <x:c r="I199" s="42"/>
      <x:c r="J199" s="42"/>
      <x:c r="K199" s="34" t="str"/>
      <x:c r="L199" s="34" t="str">
        <x:v>NO-SHOW</x:v>
      </x:c>
    </x:row>
    <x:row r="200">
      <x:c r="A200" s="34" t="str">
        <x:v>External</x:v>
      </x:c>
      <x:c r="B200" s="34" t="str">
        <x:v>MARCOS ROJAS</x:v>
      </x:c>
      <x:c r="C200" s="34" t="str">
        <x:v>marcos.rojas.brizuela@gmail.com</x:v>
      </x:c>
      <x:c r="D200" s="34" t="str">
        <x:v>PARTICULAR</x:v>
      </x:c>
      <x:c r="E200" s="34" t="str">
        <x:v>Paraguay</x:v>
      </x:c>
      <x:c r="F200" s="40" t="n">
        <x:v>46240.401354166665</x:v>
      </x:c>
      <x:c r="G200" s="34" t="str">
        <x:v>Registrado</x:v>
      </x:c>
      <x:c r="H200" s="34" t="str">
        <x:v>No</x:v>
      </x:c>
      <x:c r="I200" s="42"/>
      <x:c r="J200" s="42"/>
      <x:c r="K200" s="34" t="str"/>
      <x:c r="L200" s="34" t="str">
        <x:v>NO-SHOW</x:v>
      </x:c>
    </x:row>
    <x:row r="201">
      <x:c r="A201" s="34" t="str">
        <x:v>External</x:v>
      </x:c>
      <x:c r="B201" s="34" t="str">
        <x:v>Maria  del  Pilar Campo</x:v>
      </x:c>
      <x:c r="C201" s="34" t="str">
        <x:v>maria.campo@manuelita.com</x:v>
      </x:c>
      <x:c r="D201" s="34" t="str">
        <x:v>Manuelita S.A.</x:v>
      </x:c>
      <x:c r="E201" s="34" t="str">
        <x:v>Colombia</x:v>
      </x:c>
      <x:c r="F201" s="40" t="n">
        <x:v>46253.49769675926</x:v>
      </x:c>
      <x:c r="G201" s="34" t="str">
        <x:v>Registrado</x:v>
      </x:c>
      <x:c r="H201" s="34" t="str">
        <x:v>No</x:v>
      </x:c>
      <x:c r="I201" s="42"/>
      <x:c r="J201" s="42"/>
      <x:c r="K201" s="34" t="str"/>
      <x:c r="L201" s="34" t="str">
        <x:v>NO-SHOW</x:v>
      </x:c>
    </x:row>
    <x:row r="202">
      <x:c r="A202" s="34" t="str">
        <x:v>External</x:v>
      </x:c>
      <x:c r="B202" s="34" t="str">
        <x:v>Maria Eduarda Martinez</x:v>
      </x:c>
      <x:c r="C202" s="34" t="str">
        <x:v>biodiversity@fronterra.eco</x:v>
      </x:c>
      <x:c r="D202" s="34" t="str">
        <x:v>Fronterra</x:v>
      </x:c>
      <x:c r="E202" s="34" t="str">
        <x:v>Brazil</x:v>
      </x:c>
      <x:c r="F202" s="40" t="n">
        <x:v>46252.54949074074</x:v>
      </x:c>
      <x:c r="G202" s="34" t="str">
        <x:v>Registrado</x:v>
      </x:c>
      <x:c r="H202" s="34" t="str">
        <x:v>No</x:v>
      </x:c>
      <x:c r="I202" s="42"/>
      <x:c r="J202" s="42"/>
      <x:c r="K202" s="34" t="str"/>
      <x:c r="L202" s="34" t="str">
        <x:v>NO-SHOW</x:v>
      </x:c>
    </x:row>
    <x:row r="203">
      <x:c r="A203" s="34" t="str">
        <x:v>External</x:v>
      </x:c>
      <x:c r="B203" s="34" t="str">
        <x:v>Mariana Dalponte</x:v>
      </x:c>
      <x:c r="C203" s="34" t="str">
        <x:v>mdalponte@kumbaru.com.ar</x:v>
      </x:c>
      <x:c r="D203" s="34" t="str">
        <x:v>Kumbaru S.A.S</x:v>
      </x:c>
      <x:c r="E203" s="34" t="str">
        <x:v>Argentina</x:v>
      </x:c>
      <x:c r="F203" s="40" t="n">
        <x:v>46246.49731481481</x:v>
      </x:c>
      <x:c r="G203" s="34" t="str">
        <x:v>Registrado</x:v>
      </x:c>
      <x:c r="H203" s="34" t="str">
        <x:v>No</x:v>
      </x:c>
      <x:c r="I203" s="42"/>
      <x:c r="J203" s="42"/>
      <x:c r="K203" s="34" t="str"/>
      <x:c r="L203" s="34" t="str">
        <x:v>NO-SHOW</x:v>
      </x:c>
    </x:row>
    <x:row r="204">
      <x:c r="A204" s="34" t="str">
        <x:v>External</x:v>
      </x:c>
      <x:c r="B204" s="34" t="str">
        <x:v>Mariana Morales</x:v>
      </x:c>
      <x:c r="C204" s="34" t="str">
        <x:v>mariana.mr2393@gmail.com</x:v>
      </x:c>
      <x:c r="D204" s="34" t="str">
        <x:v>N.A</x:v>
      </x:c>
      <x:c r="E204" s="34" t="str">
        <x:v>Colombia</x:v>
      </x:c>
      <x:c r="F204" s="40" t="n">
        <x:v>46241.448275462964</x:v>
      </x:c>
      <x:c r="G204" s="34" t="str">
        <x:v>Registrado</x:v>
      </x:c>
      <x:c r="H204" s="34" t="str">
        <x:v>No</x:v>
      </x:c>
      <x:c r="I204" s="42"/>
      <x:c r="J204" s="42"/>
      <x:c r="K204" s="34" t="str"/>
      <x:c r="L204" s="34" t="str">
        <x:v>NO-SHOW</x:v>
      </x:c>
    </x:row>
    <x:row r="205">
      <x:c r="A205" s="34" t="str">
        <x:v>External</x:v>
      </x:c>
      <x:c r="B205" s="34" t="str">
        <x:v>Martin Carlos Cambiano</x:v>
      </x:c>
      <x:c r="C205" s="34" t="str">
        <x:v>martincambiano@uca.edu.ar</x:v>
      </x:c>
      <x:c r="D205" s="34" t="str">
        <x:v>ECO Logos</x:v>
      </x:c>
      <x:c r="E205" s="34" t="str">
        <x:v>Argentina</x:v>
      </x:c>
      <x:c r="F205" s="40" t="n">
        <x:v>46259.56793981481</x:v>
      </x:c>
      <x:c r="G205" s="34" t="str">
        <x:v>Registrado</x:v>
      </x:c>
      <x:c r="H205" s="34" t="str">
        <x:v>No</x:v>
      </x:c>
      <x:c r="I205" s="42"/>
      <x:c r="J205" s="42"/>
      <x:c r="K205" s="34" t="str"/>
      <x:c r="L205" s="34" t="str">
        <x:v>NO-SHOW</x:v>
      </x:c>
    </x:row>
    <x:row r="206">
      <x:c r="A206" s="34" t="str">
        <x:v>External</x:v>
      </x:c>
      <x:c r="B206" s="34" t="str">
        <x:v>Martin Flores</x:v>
      </x:c>
      <x:c r="C206" s="34" t="str">
        <x:v>m.flores@earthworm.org</x:v>
      </x:c>
      <x:c r="D206" s="34" t="str">
        <x:v>Earthworm Foundation</x:v>
      </x:c>
      <x:c r="E206" s="34" t="str">
        <x:v>Ecuador</x:v>
      </x:c>
      <x:c r="F206" s="40" t="n">
        <x:v>46247.59302083333</x:v>
      </x:c>
      <x:c r="G206" s="34" t="str">
        <x:v>Registrado</x:v>
      </x:c>
      <x:c r="H206" s="34" t="str">
        <x:v>No</x:v>
      </x:c>
      <x:c r="I206" s="42"/>
      <x:c r="J206" s="42"/>
      <x:c r="K206" s="34" t="str"/>
      <x:c r="L206" s="34" t="str">
        <x:v>NO-SHOW</x:v>
      </x:c>
    </x:row>
    <x:row r="207">
      <x:c r="A207" s="34" t="str">
        <x:v>External</x:v>
      </x:c>
      <x:c r="B207" s="34" t="str">
        <x:v>Martin Vargas</x:v>
      </x:c>
      <x:c r="C207" s="34" t="str">
        <x:v>mvargas@pomeramaderas.com</x:v>
      </x:c>
      <x:c r="D207" s="34" t="str">
        <x:v>Garruchos SA</x:v>
      </x:c>
      <x:c r="E207" s="34" t="str">
        <x:v>Argentina</x:v>
      </x:c>
      <x:c r="F207" s="40" t="n">
        <x:v>46240.616423611114</x:v>
      </x:c>
      <x:c r="G207" s="34" t="str">
        <x:v>Registrado</x:v>
      </x:c>
      <x:c r="H207" s="34" t="str">
        <x:v>No</x:v>
      </x:c>
      <x:c r="I207" s="42"/>
      <x:c r="J207" s="42"/>
      <x:c r="K207" s="34" t="str"/>
      <x:c r="L207" s="34" t="str">
        <x:v>NO-SHOW</x:v>
      </x:c>
    </x:row>
    <x:row r="208">
      <x:c r="A208" s="34" t="str">
        <x:v>External</x:v>
      </x:c>
      <x:c r="B208" s="34" t="str">
        <x:v>María Florencia Roca González</x:v>
      </x:c>
      <x:c r="C208" s="34" t="str">
        <x:v>mf.rocagonzalez@gmail.com</x:v>
      </x:c>
      <x:c r="D208" s="34" t="str">
        <x:v>CROP SCHOOL</x:v>
      </x:c>
      <x:c r="E208" s="34" t="str">
        <x:v>Argentina</x:v>
      </x:c>
      <x:c r="F208" s="40" t="n">
        <x:v>46246.79701388889</x:v>
      </x:c>
      <x:c r="G208" s="34" t="str">
        <x:v>Registrado</x:v>
      </x:c>
      <x:c r="H208" s="34" t="str">
        <x:v>No</x:v>
      </x:c>
      <x:c r="I208" s="42"/>
      <x:c r="J208" s="42"/>
      <x:c r="K208" s="34" t="str"/>
      <x:c r="L208" s="34" t="str">
        <x:v>NO-SHOW</x:v>
      </x:c>
    </x:row>
    <x:row r="209">
      <x:c r="A209" s="34" t="str">
        <x:v>External</x:v>
      </x:c>
      <x:c r="B209" s="34" t="str">
        <x:v>Matheus Rubert</x:v>
      </x:c>
      <x:c r="C209" s="34" t="str">
        <x:v>matheusrubert@gmail.com</x:v>
      </x:c>
      <x:c r="D209" s="34" t="str">
        <x:v>Biosafras S.A.</x:v>
      </x:c>
      <x:c r="E209" s="34" t="str">
        <x:v>Paraguay</x:v>
      </x:c>
      <x:c r="F209" s="40" t="n">
        <x:v>46240.67366898148</x:v>
      </x:c>
      <x:c r="G209" s="34" t="str">
        <x:v>Registrado</x:v>
      </x:c>
      <x:c r="H209" s="34" t="str">
        <x:v>No</x:v>
      </x:c>
      <x:c r="I209" s="42"/>
      <x:c r="J209" s="42"/>
      <x:c r="K209" s="34" t="str"/>
      <x:c r="L209" s="34" t="str">
        <x:v>NO-SHOW</x:v>
      </x:c>
    </x:row>
    <x:row r="210">
      <x:c r="A210" s="34" t="str">
        <x:v>External</x:v>
      </x:c>
      <x:c r="B210" s="34" t="str">
        <x:v>Mauricio Zambrano</x:v>
      </x:c>
      <x:c r="C210" s="34" t="str">
        <x:v>mauricio@muzadigital.com</x:v>
      </x:c>
      <x:c r="D210" s="34" t="str">
        <x:v>Independiente</x:v>
      </x:c>
      <x:c r="E210" s="34" t="str">
        <x:v>Ecuador</x:v>
      </x:c>
      <x:c r="F210" s="40" t="n">
        <x:v>46246.941296296296</x:v>
      </x:c>
      <x:c r="G210" s="34" t="str">
        <x:v>Registrado</x:v>
      </x:c>
      <x:c r="H210" s="34" t="str">
        <x:v>No</x:v>
      </x:c>
      <x:c r="I210" s="42"/>
      <x:c r="J210" s="42"/>
      <x:c r="K210" s="34" t="str"/>
      <x:c r="L210" s="34" t="str">
        <x:v>NO-SHOW</x:v>
      </x:c>
    </x:row>
    <x:row r="211">
      <x:c r="A211" s="34" t="str">
        <x:v>External</x:v>
      </x:c>
      <x:c r="B211" s="34" t="str">
        <x:v>MELINA TORRES MAXIMO</x:v>
      </x:c>
      <x:c r="C211" s="34" t="str">
        <x:v>1537885@senati.pe</x:v>
      </x:c>
      <x:c r="D211" s="34" t="str">
        <x:v>COMPAÑIA CAFETALERA DEL CENTRO S.A.C.</x:v>
      </x:c>
      <x:c r="E211" s="34" t="str">
        <x:v>Perú</x:v>
      </x:c>
      <x:c r="F211" s="40" t="n">
        <x:v>46239.49796296296</x:v>
      </x:c>
      <x:c r="G211" s="34" t="str">
        <x:v>Registrado</x:v>
      </x:c>
      <x:c r="H211" s="34" t="str">
        <x:v>No</x:v>
      </x:c>
      <x:c r="I211" s="42"/>
      <x:c r="J211" s="42"/>
      <x:c r="K211" s="34" t="str"/>
      <x:c r="L211" s="34" t="str">
        <x:v>NO-SHOW</x:v>
      </x:c>
    </x:row>
    <x:row r="212">
      <x:c r="A212" s="34" t="str">
        <x:v>External</x:v>
      </x:c>
      <x:c r="B212" s="34" t="str">
        <x:v>Melissa Quintana</x:v>
      </x:c>
      <x:c r="C212" s="34" t="str">
        <x:v>melissa.quintana@blumar.com</x:v>
      </x:c>
      <x:c r="D212" s="34" t="str">
        <x:v>Pesquera Torres del Paine Limitada</x:v>
      </x:c>
      <x:c r="E212" s="34" t="str">
        <x:v>Chile</x:v>
      </x:c>
      <x:c r="F212" s="40" t="n">
        <x:v>46258.421261574076</x:v>
      </x:c>
      <x:c r="G212" s="34" t="str">
        <x:v>Registrado</x:v>
      </x:c>
      <x:c r="H212" s="34" t="str">
        <x:v>No</x:v>
      </x:c>
      <x:c r="I212" s="42"/>
      <x:c r="J212" s="42"/>
      <x:c r="K212" s="34" t="str"/>
      <x:c r="L212" s="34" t="str">
        <x:v>NO-SHOW</x:v>
      </x:c>
    </x:row>
    <x:row r="213">
      <x:c r="A213" s="34" t="str">
        <x:v>External</x:v>
      </x:c>
      <x:c r="B213" s="34" t="str">
        <x:v>Melissa Quintana</x:v>
      </x:c>
      <x:c r="C213" s="34" t="str">
        <x:v>quintanamelissaj@gmail.com</x:v>
      </x:c>
      <x:c r="D213" s="34" t="str">
        <x:v>Pesquera Torres del Paine Limitada</x:v>
      </x:c>
      <x:c r="E213" s="34" t="str">
        <x:v>Chile</x:v>
      </x:c>
      <x:c r="F213" s="40" t="n">
        <x:v>46258.42186342592</x:v>
      </x:c>
      <x:c r="G213" s="34" t="str">
        <x:v>Registrado</x:v>
      </x:c>
      <x:c r="H213" s="34" t="str">
        <x:v>No</x:v>
      </x:c>
      <x:c r="I213" s="42"/>
      <x:c r="J213" s="42"/>
      <x:c r="K213" s="34" t="str"/>
      <x:c r="L213" s="34" t="str">
        <x:v>NO-SHOW</x:v>
      </x:c>
    </x:row>
    <x:row r="214">
      <x:c r="A214" s="34" t="str">
        <x:v>External</x:v>
      </x:c>
      <x:c r="B214" s="34" t="str">
        <x:v>Melissa Sarindy Ramos</x:v>
      </x:c>
      <x:c r="C214" s="34" t="str">
        <x:v>rsarindy@gmail.com</x:v>
      </x:c>
      <x:c r="D214" s="34" t="str">
        <x:v>MER seafood Trading</x:v>
      </x:c>
      <x:c r="E214" s="34" t="str">
        <x:v>Honduras</x:v>
      </x:c>
      <x:c r="F214" s="40" t="n">
        <x:v>46252.73846064815</x:v>
      </x:c>
      <x:c r="G214" s="34" t="str">
        <x:v>Registrado</x:v>
      </x:c>
      <x:c r="H214" s="34" t="str">
        <x:v>No</x:v>
      </x:c>
      <x:c r="I214" s="42"/>
      <x:c r="J214" s="42"/>
      <x:c r="K214" s="34" t="str"/>
      <x:c r="L214" s="34" t="str">
        <x:v>NO-SHOW</x:v>
      </x:c>
    </x:row>
    <x:row r="215">
      <x:c r="A215" s="34" t="str">
        <x:v>External</x:v>
      </x:c>
      <x:c r="B215" s="34" t="str">
        <x:v>Mercedes paola Molina benavides</x:v>
      </x:c>
      <x:c r="C215" s="34" t="str">
        <x:v>alejandraypaolo1234@gmail.com</x:v>
      </x:c>
      <x:c r="D215" s="34" t="str">
        <x:v>Root capital</x:v>
      </x:c>
      <x:c r="E215" s="34" t="str">
        <x:v>Peru</x:v>
      </x:c>
      <x:c r="F215" s="40" t="n">
        <x:v>46239.482256944444</x:v>
      </x:c>
      <x:c r="G215" s="34" t="str">
        <x:v>Registrado</x:v>
      </x:c>
      <x:c r="H215" s="34" t="str">
        <x:v>No</x:v>
      </x:c>
      <x:c r="I215" s="42"/>
      <x:c r="J215" s="42"/>
      <x:c r="K215" s="34" t="str"/>
      <x:c r="L215" s="34" t="str">
        <x:v>NO-SHOW</x:v>
      </x:c>
    </x:row>
    <x:row r="216">
      <x:c r="A216" s="34" t="str">
        <x:v>External</x:v>
      </x:c>
      <x:c r="B216" s="34" t="str">
        <x:v>Merci Judit Fernandez Silva</x:v>
      </x:c>
      <x:c r="C216" s="34" t="str">
        <x:v>merci@origincofeelab.com</x:v>
      </x:c>
      <x:c r="D216" s="34" t="str">
        <x:v>Asociación de Productores Agroecologicos Origin Coffee</x:v>
      </x:c>
      <x:c r="E216" s="34" t="str">
        <x:v>Cajamarca</x:v>
      </x:c>
      <x:c r="F216" s="40" t="n">
        <x:v>46238.5968287037</x:v>
      </x:c>
      <x:c r="G216" s="34" t="str">
        <x:v>Registrado</x:v>
      </x:c>
      <x:c r="H216" s="34" t="str">
        <x:v>No</x:v>
      </x:c>
      <x:c r="I216" s="42"/>
      <x:c r="J216" s="42"/>
      <x:c r="K216" s="34" t="str"/>
      <x:c r="L216" s="34" t="str">
        <x:v>NO-SHOW</x:v>
      </x:c>
    </x:row>
    <x:row r="217">
      <x:c r="A217" s="34" t="str">
        <x:v>External</x:v>
      </x:c>
      <x:c r="B217" s="34" t="str">
        <x:v>Merclin Isaac López</x:v>
      </x:c>
      <x:c r="C217" s="34" t="str">
        <x:v>milopez@forestafoods.com</x:v>
      </x:c>
      <x:c r="D217" s="34" t="str">
        <x:v>Foresta Foods</x:v>
      </x:c>
      <x:c r="E217" s="34" t="str">
        <x:v>Guatemala</x:v>
      </x:c>
      <x:c r="F217" s="40" t="n">
        <x:v>46257.50251157407</x:v>
      </x:c>
      <x:c r="G217" s="34" t="str">
        <x:v>Registrado</x:v>
      </x:c>
      <x:c r="H217" s="34" t="str">
        <x:v>No</x:v>
      </x:c>
      <x:c r="I217" s="42"/>
      <x:c r="J217" s="42"/>
      <x:c r="K217" s="34" t="str"/>
      <x:c r="L217" s="34" t="str">
        <x:v>NO-SHOW</x:v>
      </x:c>
    </x:row>
    <x:row r="218">
      <x:c r="A218" s="34" t="str">
        <x:v>External</x:v>
      </x:c>
      <x:c r="B218" s="34" t="str">
        <x:v>MIRIAM BONILLA</x:v>
      </x:c>
      <x:c r="C218" s="34" t="str">
        <x:v>supervisor.certificaciones2@greenbox.pe</x:v>
      </x:c>
      <x:c r="D218" s="34" t="str">
        <x:v>GREENBOX SAC</x:v>
      </x:c>
      <x:c r="E218" s="34" t="str">
        <x:v>PERU</x:v>
      </x:c>
      <x:c r="F218" s="40" t="n">
        <x:v>46254.429247685184</x:v>
      </x:c>
      <x:c r="G218" s="34" t="str">
        <x:v>Registrado</x:v>
      </x:c>
      <x:c r="H218" s="34" t="str">
        <x:v>No</x:v>
      </x:c>
      <x:c r="I218" s="42"/>
      <x:c r="J218" s="42"/>
      <x:c r="K218" s="34" t="str"/>
      <x:c r="L218" s="34" t="str">
        <x:v>NO-SHOW</x:v>
      </x:c>
    </x:row>
    <x:row r="219">
      <x:c r="A219" s="34" t="str">
        <x:v>External</x:v>
      </x:c>
      <x:c r="B219" s="34" t="str">
        <x:v>Mirna Mendez</x:v>
      </x:c>
      <x:c r="C219" s="34" t="str">
        <x:v>mirna.mendez@adm.com</x:v>
      </x:c>
      <x:c r="D219" s="34" t="str">
        <x:v>ADM PARAGUAY SRL</x:v>
      </x:c>
      <x:c r="E219" s="34" t="str">
        <x:v>Paraguay</x:v>
      </x:c>
      <x:c r="F219" s="40" t="n">
        <x:v>46246.70359953704</x:v>
      </x:c>
      <x:c r="G219" s="34" t="str">
        <x:v>Registrado</x:v>
      </x:c>
      <x:c r="H219" s="34" t="str">
        <x:v>No</x:v>
      </x:c>
      <x:c r="I219" s="42"/>
      <x:c r="J219" s="42"/>
      <x:c r="K219" s="34" t="str"/>
      <x:c r="L219" s="34" t="str">
        <x:v>NO-SHOW</x:v>
      </x:c>
    </x:row>
    <x:row r="220">
      <x:c r="A220" s="34" t="str">
        <x:v>External</x:v>
      </x:c>
      <x:c r="B220" s="34" t="str">
        <x:v>Natalhia Raquel Ortiz Cabral</x:v>
      </x:c>
      <x:c r="C220" s="34" t="str">
        <x:v>natalhiacabral@gmail.com</x:v>
      </x:c>
      <x:c r="D220" s="34" t="str">
        <x:v>ESTUDIANTE</x:v>
      </x:c>
      <x:c r="E220" s="34" t="str">
        <x:v>Paraguay</x:v>
      </x:c>
      <x:c r="F220" s="40" t="n">
        <x:v>46259.57108796296</x:v>
      </x:c>
      <x:c r="G220" s="34" t="str">
        <x:v>Registrado</x:v>
      </x:c>
      <x:c r="H220" s="34" t="str">
        <x:v>No</x:v>
      </x:c>
      <x:c r="I220" s="42"/>
      <x:c r="J220" s="42"/>
      <x:c r="K220" s="34" t="str"/>
      <x:c r="L220" s="34" t="str">
        <x:v>NO-SHOW</x:v>
      </x:c>
    </x:row>
    <x:row r="221">
      <x:c r="A221" s="34" t="str">
        <x:v>External</x:v>
      </x:c>
      <x:c r="B221" s="34" t="str">
        <x:v>Nelson Maya</x:v>
      </x:c>
      <x:c r="C221" s="34" t="str">
        <x:v>nelson.maya@ldc.com</x:v>
      </x:c>
      <x:c r="D221" s="34" t="str">
        <x:v>LDC</x:v>
      </x:c>
      <x:c r="E221" s="34" t="str">
        <x:v>Colombia</x:v>
      </x:c>
      <x:c r="F221" s="40" t="n">
        <x:v>46246.75193287037</x:v>
      </x:c>
      <x:c r="G221" s="34" t="str">
        <x:v>Registrado</x:v>
      </x:c>
      <x:c r="H221" s="34" t="str">
        <x:v>No</x:v>
      </x:c>
      <x:c r="I221" s="42"/>
      <x:c r="J221" s="42"/>
      <x:c r="K221" s="34" t="str"/>
      <x:c r="L221" s="34" t="str">
        <x:v>NO-SHOW</x:v>
      </x:c>
    </x:row>
    <x:row r="222">
      <x:c r="A222" s="34" t="str">
        <x:v>External</x:v>
      </x:c>
      <x:c r="B222" s="34" t="str">
        <x:v>Nilter Garcia Chimbo</x:v>
      </x:c>
      <x:c r="C222" s="34" t="str">
        <x:v>siclaprosperidad@cac-laprosperidad.com</x:v>
      </x:c>
      <x:c r="D222" s="34" t="str">
        <x:v>CAC-La Prosperidad</x:v>
      </x:c>
      <x:c r="E222" s="34" t="str">
        <x:v>Perú</x:v>
      </x:c>
      <x:c r="F222" s="40" t="n">
        <x:v>46239.478738425925</x:v>
      </x:c>
      <x:c r="G222" s="34" t="str">
        <x:v>Registrado</x:v>
      </x:c>
      <x:c r="H222" s="34" t="str">
        <x:v>No</x:v>
      </x:c>
      <x:c r="I222" s="42"/>
      <x:c r="J222" s="42"/>
      <x:c r="K222" s="34" t="str"/>
      <x:c r="L222" s="34" t="str">
        <x:v>NO-SHOW</x:v>
      </x:c>
    </x:row>
    <x:row r="223">
      <x:c r="A223" s="34" t="str">
        <x:v>External</x:v>
      </x:c>
      <x:c r="B223" s="34" t="str">
        <x:v>Octavio Mallea</x:v>
      </x:c>
      <x:c r="C223" s="34" t="str">
        <x:v>octavio.mallea@marandino.com</x:v>
      </x:c>
      <x:c r="D223" s="34" t="str">
        <x:v>Idris Patagonia</x:v>
      </x:c>
      <x:c r="E223" s="34" t="str">
        <x:v>Argentina</x:v>
      </x:c>
      <x:c r="F223" s="40" t="n">
        <x:v>46259.49550925926</x:v>
      </x:c>
      <x:c r="G223" s="34" t="str">
        <x:v>Registrado</x:v>
      </x:c>
      <x:c r="H223" s="34" t="str">
        <x:v>No</x:v>
      </x:c>
      <x:c r="I223" s="42"/>
      <x:c r="J223" s="42"/>
      <x:c r="K223" s="34" t="str"/>
      <x:c r="L223" s="34" t="str">
        <x:v>NO-SHOW</x:v>
      </x:c>
    </x:row>
    <x:row r="224">
      <x:c r="A224" s="34" t="str">
        <x:v>External</x:v>
      </x:c>
      <x:c r="B224" s="34" t="str">
        <x:v>Orsi Quispe</x:v>
      </x:c>
      <x:c r="C224" s="34" t="str">
        <x:v>calidad@gustoraymi.com</x:v>
      </x:c>
      <x:c r="D224" s="34" t="str">
        <x:v>Compañía de comercio y servicio del sur SAC</x:v>
      </x:c>
      <x:c r="E224" s="34" t="str">
        <x:v>Perú</x:v>
      </x:c>
      <x:c r="F224" s="40" t="n">
        <x:v>46239.47608796296</x:v>
      </x:c>
      <x:c r="G224" s="34" t="str">
        <x:v>Registrado</x:v>
      </x:c>
      <x:c r="H224" s="34" t="str">
        <x:v>No</x:v>
      </x:c>
      <x:c r="I224" s="42"/>
      <x:c r="J224" s="42"/>
      <x:c r="K224" s="34" t="str"/>
      <x:c r="L224" s="34" t="str">
        <x:v>NO-SHOW</x:v>
      </x:c>
    </x:row>
    <x:row r="225">
      <x:c r="A225" s="34" t="str">
        <x:v>External</x:v>
      </x:c>
      <x:c r="B225" s="34" t="str">
        <x:v>Oscar Castañeda Muente</x:v>
      </x:c>
      <x:c r="C225" s="34" t="str">
        <x:v>20211266@lamolina.edu.pe</x:v>
      </x:c>
      <x:c r="D225" s="34" t="str">
        <x:v>Universidad Nacional Agraria La Molina</x:v>
      </x:c>
      <x:c r="E225" s="34" t="str">
        <x:v>Perú</x:v>
      </x:c>
      <x:c r="F225" s="40" t="n">
        <x:v>46245.82261574074</x:v>
      </x:c>
      <x:c r="G225" s="34" t="str">
        <x:v>Registrado</x:v>
      </x:c>
      <x:c r="H225" s="34" t="str">
        <x:v>No</x:v>
      </x:c>
      <x:c r="I225" s="42"/>
      <x:c r="J225" s="42"/>
      <x:c r="K225" s="34" t="str"/>
      <x:c r="L225" s="34" t="str">
        <x:v>NO-SHOW</x:v>
      </x:c>
    </x:row>
    <x:row r="226">
      <x:c r="A226" s="34" t="str">
        <x:v>External</x:v>
      </x:c>
      <x:c r="B226" s="34" t="str">
        <x:v>OTMAR SEMINARIO</x:v>
      </x:c>
      <x:c r="C226" s="34" t="str">
        <x:v>otmar.seminario@outlook.com.pe</x:v>
      </x:c>
      <x:c r="D226" s="34" t="str">
        <x:v>Finca churupampa</x:v>
      </x:c>
      <x:c r="E226" s="34" t="str">
        <x:v>Peru</x:v>
      </x:c>
      <x:c r="F226" s="40" t="n">
        <x:v>46238.913460648146</x:v>
      </x:c>
      <x:c r="G226" s="34" t="str">
        <x:v>Registrado</x:v>
      </x:c>
      <x:c r="H226" s="34" t="str">
        <x:v>No</x:v>
      </x:c>
      <x:c r="I226" s="42"/>
      <x:c r="J226" s="42"/>
      <x:c r="K226" s="34" t="str"/>
      <x:c r="L226" s="34" t="str">
        <x:v>NO-SHOW</x:v>
      </x:c>
    </x:row>
    <x:row r="227">
      <x:c r="A227" s="34" t="str">
        <x:v>External</x:v>
      </x:c>
      <x:c r="B227" s="34" t="str">
        <x:v>Otmar Seminario</x:v>
      </x:c>
      <x:c r="C227" s="34" t="str">
        <x:v>oseminarioca@gmail.com</x:v>
      </x:c>
      <x:c r="D227" s="34" t="str">
        <x:v>FINCA CHURUPAMPA</x:v>
      </x:c>
      <x:c r="E227" s="34" t="str">
        <x:v>Jaén</x:v>
      </x:c>
      <x:c r="F227" s="40" t="n">
        <x:v>46239.45773148148</x:v>
      </x:c>
      <x:c r="G227" s="34" t="str">
        <x:v>Registrado</x:v>
      </x:c>
      <x:c r="H227" s="34" t="str">
        <x:v>No</x:v>
      </x:c>
      <x:c r="I227" s="42"/>
      <x:c r="J227" s="42"/>
      <x:c r="K227" s="34" t="str"/>
      <x:c r="L227" s="34" t="str">
        <x:v>NO-SHOW</x:v>
      </x:c>
    </x:row>
    <x:row r="228">
      <x:c r="A228" s="34" t="str">
        <x:v>External</x:v>
      </x:c>
      <x:c r="B228" s="34" t="str">
        <x:v>Pamela Esquivel</x:v>
      </x:c>
      <x:c r="C228" s="34" t="str">
        <x:v>ventas@acopagro.com.pe</x:v>
      </x:c>
      <x:c r="D228" s="34" t="str">
        <x:v>Acopagro</x:v>
      </x:c>
      <x:c r="E228" s="34" t="str">
        <x:v>Peru</x:v>
      </x:c>
      <x:c r="F228" s="40" t="n">
        <x:v>46239.50739583333</x:v>
      </x:c>
      <x:c r="G228" s="34" t="str">
        <x:v>Registrado</x:v>
      </x:c>
      <x:c r="H228" s="34" t="str">
        <x:v>No</x:v>
      </x:c>
      <x:c r="I228" s="42"/>
      <x:c r="J228" s="42"/>
      <x:c r="K228" s="34" t="str"/>
      <x:c r="L228" s="34" t="str">
        <x:v>NO-SHOW</x:v>
      </x:c>
    </x:row>
    <x:row r="229">
      <x:c r="A229" s="34" t="str">
        <x:v>External</x:v>
      </x:c>
      <x:c r="B229" s="34" t="str">
        <x:v>Patricia Cañete Patricia</x:v>
      </x:c>
      <x:c r="C229" s="34" t="str">
        <x:v>pcanete@frigoconcepcion.com.py</x:v>
      </x:c>
      <x:c r="D229" s="34" t="str">
        <x:v>Frigorifico Concepcion S.A.</x:v>
      </x:c>
      <x:c r="E229" s="34" t="str">
        <x:v>Paraguay</x:v>
      </x:c>
      <x:c r="F229" s="40" t="n">
        <x:v>46258.43243055556</x:v>
      </x:c>
      <x:c r="G229" s="34" t="str">
        <x:v>Registrado</x:v>
      </x:c>
      <x:c r="H229" s="34" t="str">
        <x:v>No</x:v>
      </x:c>
      <x:c r="I229" s="42"/>
      <x:c r="J229" s="42"/>
      <x:c r="K229" s="34" t="str"/>
      <x:c r="L229" s="34" t="str">
        <x:v>NO-SHOW</x:v>
      </x:c>
    </x:row>
    <x:row r="230">
      <x:c r="A230" s="34" t="str">
        <x:v>External</x:v>
      </x:c>
      <x:c r="B230" s="34" t="str">
        <x:v>Paula Mayda Gonzalez</x:v>
      </x:c>
      <x:c r="C230" s="34" t="str">
        <x:v>pgonzalez@acacoop.com.ar</x:v>
      </x:c>
      <x:c r="D230" s="34" t="str">
        <x:v>Asociacion de Cooperativas Argentinas</x:v>
      </x:c>
      <x:c r="E230" s="34" t="str">
        <x:v>Argentina</x:v>
      </x:c>
      <x:c r="F230" s="40" t="n">
        <x:v>46246.477013888885</x:v>
      </x:c>
      <x:c r="G230" s="34" t="str">
        <x:v>Registrado</x:v>
      </x:c>
      <x:c r="H230" s="34" t="str">
        <x:v>No</x:v>
      </x:c>
      <x:c r="I230" s="42"/>
      <x:c r="J230" s="42"/>
      <x:c r="K230" s="34" t="str"/>
      <x:c r="L230" s="34" t="str">
        <x:v>NO-SHOW</x:v>
      </x:c>
    </x:row>
    <x:row r="231">
      <x:c r="A231" s="34" t="str">
        <x:v>External</x:v>
      </x:c>
      <x:c r="B231" s="34" t="str">
        <x:v>Pedro Marcos</x:v>
      </x:c>
      <x:c r="C231" s="34" t="str">
        <x:v>pedro.marcos@eco-consult.com</x:v>
      </x:c>
      <x:c r="D231" s="34" t="str">
        <x:v>Eco Consult</x:v>
      </x:c>
      <x:c r="E231" s="34" t="str">
        <x:v>Bolivia</x:v>
      </x:c>
      <x:c r="F231" s="40" t="n">
        <x:v>46244.39212962963</x:v>
      </x:c>
      <x:c r="G231" s="34" t="str">
        <x:v>Registrado</x:v>
      </x:c>
      <x:c r="H231" s="34" t="str">
        <x:v>No</x:v>
      </x:c>
      <x:c r="I231" s="42"/>
      <x:c r="J231" s="42"/>
      <x:c r="K231" s="34" t="str"/>
      <x:c r="L231" s="34" t="str">
        <x:v>NO-SHOW</x:v>
      </x:c>
    </x:row>
    <x:row r="232">
      <x:c r="A232" s="34" t="str">
        <x:v>External</x:v>
      </x:c>
      <x:c r="B232" s="34" t="str">
        <x:v>Pepe Ramirez Sembrera</x:v>
      </x:c>
      <x:c r="C232" s="34" t="str">
        <x:v>peperamirezsembrera.89@gmail.com</x:v>
      </x:c>
      <x:c r="D232" s="34" t="str">
        <x:v>Cooperativa Agraria Cedros Café</x:v>
      </x:c>
      <x:c r="E232" s="34" t="str">
        <x:v>Peru/Cajamarca</x:v>
      </x:c>
      <x:c r="F232" s="40" t="n">
        <x:v>46253.58105324074</x:v>
      </x:c>
      <x:c r="G232" s="34" t="str">
        <x:v>Registrado</x:v>
      </x:c>
      <x:c r="H232" s="34" t="str">
        <x:v>No</x:v>
      </x:c>
      <x:c r="I232" s="42"/>
      <x:c r="J232" s="42"/>
      <x:c r="K232" s="34" t="str"/>
      <x:c r="L232" s="34" t="str">
        <x:v>NO-SHOW</x:v>
      </x:c>
    </x:row>
    <x:row r="233">
      <x:c r="A233" s="34" t="str">
        <x:v>External</x:v>
      </x:c>
      <x:c r="B233" s="34" t="str">
        <x:v>ROBINSON ESPINOZA</x:v>
      </x:c>
      <x:c r="C233" s="34" t="str">
        <x:v>esca6asociados@gmail.com</x:v>
      </x:c>
      <x:c r="D233" s="34" t="str">
        <x:v>Banabrix S.A.S</x:v>
      </x:c>
      <x:c r="E233" s="34" t="str">
        <x:v>Ecuador</x:v>
      </x:c>
      <x:c r="F233" s="40" t="n">
        <x:v>46253.56626157407</x:v>
      </x:c>
      <x:c r="G233" s="34" t="str">
        <x:v>Registrado</x:v>
      </x:c>
      <x:c r="H233" s="34" t="str">
        <x:v>No</x:v>
      </x:c>
      <x:c r="I233" s="42"/>
      <x:c r="J233" s="42"/>
      <x:c r="K233" s="34" t="str"/>
      <x:c r="L233" s="34" t="str">
        <x:v>NO-SHOW</x:v>
      </x:c>
    </x:row>
    <x:row r="234">
      <x:c r="A234" s="34" t="str">
        <x:v>External</x:v>
      </x:c>
      <x:c r="B234" s="34" t="str">
        <x:v>Rocio Cabrera</x:v>
      </x:c>
      <x:c r="C234" s="34" t="str">
        <x:v>rociocabrera@roagro.com.ar</x:v>
      </x:c>
      <x:c r="D234" s="34" t="str">
        <x:v>Roagro S.A.</x:v>
      </x:c>
      <x:c r="E234" s="34" t="str">
        <x:v>Argentina</x:v>
      </x:c>
      <x:c r="F234" s="40" t="n">
        <x:v>46238.4071412037</x:v>
      </x:c>
      <x:c r="G234" s="34" t="str">
        <x:v>Registrado</x:v>
      </x:c>
      <x:c r="H234" s="34" t="str">
        <x:v>No</x:v>
      </x:c>
      <x:c r="I234" s="42"/>
      <x:c r="J234" s="42"/>
      <x:c r="K234" s="34" t="str"/>
      <x:c r="L234" s="34" t="str">
        <x:v>NO-SHOW</x:v>
      </x:c>
    </x:row>
    <x:row r="235">
      <x:c r="A235" s="34" t="str">
        <x:v>External</x:v>
      </x:c>
      <x:c r="B235" s="34" t="str">
        <x:v>Rodrigo Smith</x:v>
      </x:c>
      <x:c r="C235" s="34" t="str">
        <x:v>rodrigo.smith@adm.com</x:v>
      </x:c>
      <x:c r="D235" s="34" t="str">
        <x:v>ADM</x:v>
      </x:c>
      <x:c r="E235" s="34" t="str">
        <x:v>Paraguay</x:v>
      </x:c>
      <x:c r="F235" s="40" t="n">
        <x:v>46247.41155092593</x:v>
      </x:c>
      <x:c r="G235" s="34" t="str">
        <x:v>Registrado</x:v>
      </x:c>
      <x:c r="H235" s="34" t="str">
        <x:v>No</x:v>
      </x:c>
      <x:c r="I235" s="42"/>
      <x:c r="J235" s="42"/>
      <x:c r="K235" s="34" t="str"/>
      <x:c r="L235" s="34" t="str">
        <x:v>NO-SHOW</x:v>
      </x:c>
    </x:row>
    <x:row r="236">
      <x:c r="A236" s="34" t="str">
        <x:v>External</x:v>
      </x:c>
      <x:c r="B236" s="34" t="str">
        <x:v>Rosario Guerrero</x:v>
      </x:c>
      <x:c r="C236" s="34" t="str">
        <x:v>charo3656@gmail.com</x:v>
      </x:c>
      <x:c r="D236" s="34" t="str">
        <x:v>Independiente</x:v>
      </x:c>
      <x:c r="E236" s="34" t="str">
        <x:v>Perú</x:v>
      </x:c>
      <x:c r="F236" s="40" t="n">
        <x:v>46239.55039351852</x:v>
      </x:c>
      <x:c r="G236" s="34" t="str">
        <x:v>Registrado</x:v>
      </x:c>
      <x:c r="H236" s="34" t="str">
        <x:v>No</x:v>
      </x:c>
      <x:c r="I236" s="42"/>
      <x:c r="J236" s="42"/>
      <x:c r="K236" s="34" t="str"/>
      <x:c r="L236" s="34" t="str">
        <x:v>NO-SHOW</x:v>
      </x:c>
    </x:row>
    <x:row r="237">
      <x:c r="A237" s="34" t="str">
        <x:v>External</x:v>
      </x:c>
      <x:c r="B237" s="34" t="str">
        <x:v>Rossana Chavez</x:v>
      </x:c>
      <x:c r="C237" s="34" t="str">
        <x:v>rchavez@proserla.com</x:v>
      </x:c>
      <x:c r="D237" s="34" t="str">
        <x:v>Promotora y Servicios Lambayeque SAC</x:v>
      </x:c>
      <x:c r="E237" s="34" t="str">
        <x:v>Perú</x:v>
      </x:c>
      <x:c r="F237" s="40" t="n">
        <x:v>46238.87771990741</x:v>
      </x:c>
      <x:c r="G237" s="34" t="str">
        <x:v>Registrado</x:v>
      </x:c>
      <x:c r="H237" s="34" t="str">
        <x:v>No</x:v>
      </x:c>
      <x:c r="I237" s="42"/>
      <x:c r="J237" s="42"/>
      <x:c r="K237" s="34" t="str"/>
      <x:c r="L237" s="34" t="str">
        <x:v>NO-SHOW</x:v>
      </x:c>
    </x:row>
    <x:row r="238">
      <x:c r="A238" s="34" t="str">
        <x:v>External</x:v>
      </x:c>
      <x:c r="B238" s="34" t="str">
        <x:v>Rossana Oropesa</x:v>
      </x:c>
      <x:c r="C238" s="34" t="str">
        <x:v>rossana.oropesa@westfaliafruit.com</x:v>
      </x:c>
      <x:c r="D238" s="34" t="str">
        <x:v>Westfalia Fruit UK</x:v>
      </x:c>
      <x:c r="E238" s="34" t="str">
        <x:v>Reino Unido</x:v>
      </x:c>
      <x:c r="F238" s="40" t="n">
        <x:v>46240.41721064815</x:v>
      </x:c>
      <x:c r="G238" s="34" t="str">
        <x:v>Registrado</x:v>
      </x:c>
      <x:c r="H238" s="34" t="str">
        <x:v>No</x:v>
      </x:c>
      <x:c r="I238" s="42"/>
      <x:c r="J238" s="42"/>
      <x:c r="K238" s="34" t="str"/>
      <x:c r="L238" s="34" t="str">
        <x:v>NO-SHOW</x:v>
      </x:c>
    </x:row>
    <x:row r="239">
      <x:c r="A239" s="34" t="str">
        <x:v>External</x:v>
      </x:c>
      <x:c r="B239" s="34" t="str">
        <x:v>Sandra Padilla</x:v>
      </x:c>
      <x:c r="C239" s="34" t="str">
        <x:v>spadilla@madretierra.com.gt</x:v>
      </x:c>
      <x:c r="D239" s="34" t="str">
        <x:v>Ingenio Madre Tierra</x:v>
      </x:c>
      <x:c r="E239" s="34" t="str">
        <x:v>Guatemala</x:v>
      </x:c>
      <x:c r="F239" s="40" t="n">
        <x:v>46240.451944444445</x:v>
      </x:c>
      <x:c r="G239" s="34" t="str">
        <x:v>Registrado</x:v>
      </x:c>
      <x:c r="H239" s="34" t="str">
        <x:v>No</x:v>
      </x:c>
      <x:c r="I239" s="42"/>
      <x:c r="J239" s="42"/>
      <x:c r="K239" s="34" t="str"/>
      <x:c r="L239" s="34" t="str">
        <x:v>NO-SHOW</x:v>
      </x:c>
    </x:row>
    <x:row r="240">
      <x:c r="A240" s="34" t="str">
        <x:v>External</x:v>
      </x:c>
      <x:c r="B240" s="34" t="str">
        <x:v>Santiago Joaquín</x:v>
      </x:c>
      <x:c r="C240" s="34" t="str">
        <x:v>santiagojoaquin21@gmail.com</x:v>
      </x:c>
      <x:c r="D240" s="34" t="str">
        <x:v>Encacue</x:v>
      </x:c>
      <x:c r="E240" s="34" t="str">
        <x:v>Argentina</x:v>
      </x:c>
      <x:c r="F240" s="40" t="n">
        <x:v>46253.5178125</x:v>
      </x:c>
      <x:c r="G240" s="34" t="str">
        <x:v>Registrado</x:v>
      </x:c>
      <x:c r="H240" s="34" t="str">
        <x:v>No</x:v>
      </x:c>
      <x:c r="I240" s="42"/>
      <x:c r="J240" s="42"/>
      <x:c r="K240" s="34" t="str"/>
      <x:c r="L240" s="34" t="str">
        <x:v>NO-SHOW</x:v>
      </x:c>
    </x:row>
    <x:row r="241">
      <x:c r="A241" s="34" t="str">
        <x:v>External</x:v>
      </x:c>
      <x:c r="B241" s="34" t="str">
        <x:v>SARA GOOTTMAN</x:v>
      </x:c>
      <x:c r="C241" s="34" t="str">
        <x:v>absaragoottman@yahoo.com</x:v>
      </x:c>
      <x:c r="D241" s="34" t="str">
        <x:v>LEINER PAREDES SERRANO</x:v>
      </x:c>
      <x:c r="E241" s="34" t="str">
        <x:v>Ecuador</x:v>
      </x:c>
      <x:c r="F241" s="40" t="n">
        <x:v>46253.81673611111</x:v>
      </x:c>
      <x:c r="G241" s="34" t="str">
        <x:v>Registrado</x:v>
      </x:c>
      <x:c r="H241" s="34" t="str">
        <x:v>No</x:v>
      </x:c>
      <x:c r="I241" s="42"/>
      <x:c r="J241" s="42"/>
      <x:c r="K241" s="34" t="str"/>
      <x:c r="L241" s="34" t="str">
        <x:v>NO-SHOW</x:v>
      </x:c>
    </x:row>
    <x:row r="242">
      <x:c r="A242" s="34" t="str">
        <x:v>External</x:v>
      </x:c>
      <x:c r="B242" s="34" t="str">
        <x:v>Sara Vazquez</x:v>
      </x:c>
      <x:c r="C242" s="34" t="str">
        <x:v>sara.vazquez@adm.com</x:v>
      </x:c>
      <x:c r="D242" s="34" t="str">
        <x:v>ADM Paraguay SRL</x:v>
      </x:c>
      <x:c r="E242" s="34" t="str">
        <x:v>Paraguay</x:v>
      </x:c>
      <x:c r="F242" s="40" t="n">
        <x:v>46247.573483796295</x:v>
      </x:c>
      <x:c r="G242" s="34" t="str">
        <x:v>Registrado</x:v>
      </x:c>
      <x:c r="H242" s="34" t="str">
        <x:v>No</x:v>
      </x:c>
      <x:c r="I242" s="42"/>
      <x:c r="J242" s="42"/>
      <x:c r="K242" s="34" t="str"/>
      <x:c r="L242" s="34" t="str">
        <x:v>NO-SHOW</x:v>
      </x:c>
    </x:row>
    <x:row r="243">
      <x:c r="A243" s="34" t="str">
        <x:v>External</x:v>
      </x:c>
      <x:c r="B243" s="34" t="str">
        <x:v>Sebastián Cárdenas Medina</x:v>
      </x:c>
      <x:c r="C243" s="34" t="str">
        <x:v>a.sebastian.cm@gmail.com</x:v>
      </x:c>
      <x:c r="D243" s="34" t="str">
        <x:v>Independiente</x:v>
      </x:c>
      <x:c r="E243" s="34" t="str">
        <x:v>Ecuador</x:v>
      </x:c>
      <x:c r="F243" s="40" t="n">
        <x:v>46260.02512731482</x:v>
      </x:c>
      <x:c r="G243" s="34" t="str">
        <x:v>Registrado</x:v>
      </x:c>
      <x:c r="H243" s="34" t="str">
        <x:v>No</x:v>
      </x:c>
      <x:c r="I243" s="42"/>
      <x:c r="J243" s="42"/>
      <x:c r="K243" s="34" t="str"/>
      <x:c r="L243" s="34" t="str">
        <x:v>NO-SHOW</x:v>
      </x:c>
    </x:row>
    <x:row r="244">
      <x:c r="A244" s="34" t="str">
        <x:v>External</x:v>
      </x:c>
      <x:c r="B244" s="34" t="str">
        <x:v>Shirley Brizet Saavedra Enriquez</x:v>
      </x:c>
      <x:c r="C244" s="34" t="str">
        <x:v>20190247@lamolina.edu.pe</x:v>
      </x:c>
      <x:c r="D244" s="34" t="str">
        <x:v>CAC CBM</x:v>
      </x:c>
      <x:c r="E244" s="34" t="str">
        <x:v>Peru</x:v>
      </x:c>
      <x:c r="F244" s="40" t="n">
        <x:v>46238.42505787037</x:v>
      </x:c>
      <x:c r="G244" s="34" t="str">
        <x:v>Registrado</x:v>
      </x:c>
      <x:c r="H244" s="34" t="str">
        <x:v>No</x:v>
      </x:c>
      <x:c r="I244" s="42"/>
      <x:c r="J244" s="42"/>
      <x:c r="K244" s="34" t="str"/>
      <x:c r="L244" s="34" t="str">
        <x:v>NO-SHOW</x:v>
      </x:c>
    </x:row>
    <x:row r="245">
      <x:c r="A245" s="34" t="str">
        <x:v>External</x:v>
      </x:c>
      <x:c r="B245" s="34" t="str">
        <x:v>Silvia Lina Huamán García</x:v>
      </x:c>
      <x:c r="C245" s="34" t="str">
        <x:v>silvia.huaman25@gmail.com</x:v>
      </x:c>
      <x:c r="D245" s="34" t="str">
        <x:v>Sun Fruits Exports S.A.</x:v>
      </x:c>
      <x:c r="E245" s="34" t="str">
        <x:v>Peru</x:v>
      </x:c>
      <x:c r="F245" s="40" t="n">
        <x:v>46240.49633101852</x:v>
      </x:c>
      <x:c r="G245" s="34" t="str">
        <x:v>Registrado</x:v>
      </x:c>
      <x:c r="H245" s="34" t="str">
        <x:v>No</x:v>
      </x:c>
      <x:c r="I245" s="42"/>
      <x:c r="J245" s="42"/>
      <x:c r="K245" s="34" t="str"/>
      <x:c r="L245" s="34" t="str">
        <x:v>NO-SHOW</x:v>
      </x:c>
    </x:row>
    <x:row r="246">
      <x:c r="A246" s="34" t="str">
        <x:v>External</x:v>
      </x:c>
      <x:c r="B246" s="34" t="str">
        <x:v>Sofia Arteaga Lopez</x:v>
      </x:c>
      <x:c r="C246" s="34" t="str">
        <x:v>sofia.arteaga@dole.com</x:v>
      </x:c>
      <x:c r="D246" s="34" t="str">
        <x:v>DOLE</x:v>
      </x:c>
      <x:c r="E246" s="34" t="str">
        <x:v>Ecuador</x:v>
      </x:c>
      <x:c r="F246" s="40" t="n">
        <x:v>46253.69710648148</x:v>
      </x:c>
      <x:c r="G246" s="34" t="str">
        <x:v>Registrado</x:v>
      </x:c>
      <x:c r="H246" s="34" t="str">
        <x:v>No</x:v>
      </x:c>
      <x:c r="I246" s="42"/>
      <x:c r="J246" s="42"/>
      <x:c r="K246" s="34" t="str"/>
      <x:c r="L246" s="34" t="str">
        <x:v>NO-SHOW</x:v>
      </x:c>
    </x:row>
    <x:row r="247">
      <x:c r="A247" s="34" t="str">
        <x:v>External</x:v>
      </x:c>
      <x:c r="B247" s="34" t="str">
        <x:v>Sofia Elena LLoveras</x:v>
      </x:c>
      <x:c r="C247" s="34" t="str">
        <x:v>sofia.lloveras@bunge.com</x:v>
      </x:c>
      <x:c r="D247" s="34" t="str">
        <x:v>BUNGE</x:v>
      </x:c>
      <x:c r="E247" s="34" t="str">
        <x:v>Argentina</x:v>
      </x:c>
      <x:c r="F247" s="40" t="n">
        <x:v>46240.4324537037</x:v>
      </x:c>
      <x:c r="G247" s="34" t="str">
        <x:v>Registrado</x:v>
      </x:c>
      <x:c r="H247" s="34" t="str">
        <x:v>No</x:v>
      </x:c>
      <x:c r="I247" s="42"/>
      <x:c r="J247" s="42"/>
      <x:c r="K247" s="34" t="str"/>
      <x:c r="L247" s="34" t="str">
        <x:v>NO-SHOW</x:v>
      </x:c>
    </x:row>
    <x:row r="248">
      <x:c r="A248" s="34" t="str">
        <x:v>External</x:v>
      </x:c>
      <x:c r="B248" s="34" t="str">
        <x:v>Soraya Molina</x:v>
      </x:c>
      <x:c r="C248" s="34" t="str">
        <x:v>sorayamolina1@gmail.com</x:v>
      </x:c>
      <x:c r="D248" s="34" t="str">
        <x:v>AMPA</x:v>
      </x:c>
      <x:c r="E248" s="34" t="str">
        <x:v>Peru</x:v>
      </x:c>
      <x:c r="F248" s="40" t="n">
        <x:v>46253.72849537037</x:v>
      </x:c>
      <x:c r="G248" s="34" t="str">
        <x:v>Registrado</x:v>
      </x:c>
      <x:c r="H248" s="34" t="str">
        <x:v>No</x:v>
      </x:c>
      <x:c r="I248" s="42"/>
      <x:c r="J248" s="42"/>
      <x:c r="K248" s="34" t="str"/>
      <x:c r="L248" s="34" t="str">
        <x:v>NO-SHOW</x:v>
      </x:c>
    </x:row>
    <x:row r="249">
      <x:c r="A249" s="34" t="str">
        <x:v>External</x:v>
      </x:c>
      <x:c r="B249" s="34" t="str">
        <x:v>Sthefania Piedra Rivas</x:v>
      </x:c>
      <x:c r="C249" s="34" t="str">
        <x:v>sthefania.piedra@gmail.com</x:v>
      </x:c>
      <x:c r="D249" s="34" t="str">
        <x:v>Grupo Fajardo</x:v>
      </x:c>
      <x:c r="E249" s="34" t="str">
        <x:v>Ecuador</x:v>
      </x:c>
      <x:c r="F249" s="40" t="n">
        <x:v>46258.44101851852</x:v>
      </x:c>
      <x:c r="G249" s="34" t="str">
        <x:v>Registrado</x:v>
      </x:c>
      <x:c r="H249" s="34" t="str">
        <x:v>No</x:v>
      </x:c>
      <x:c r="I249" s="42"/>
      <x:c r="J249" s="42"/>
      <x:c r="K249" s="34" t="str"/>
      <x:c r="L249" s="34" t="str">
        <x:v>NO-SHOW</x:v>
      </x:c>
    </x:row>
    <x:row r="250">
      <x:c r="A250" s="34" t="str">
        <x:v>External</x:v>
      </x:c>
      <x:c r="B250" s="34" t="str">
        <x:v>Tania Malpartida Arango</x:v>
      </x:c>
      <x:c r="C250" s="34" t="str">
        <x:v>tania.9416@gmail.com</x:v>
      </x:c>
      <x:c r="D250" s="34" t="str">
        <x:v>Romex</x:v>
      </x:c>
      <x:c r="E250" s="34" t="str">
        <x:v>Perú</x:v>
      </x:c>
      <x:c r="F250" s="40" t="n">
        <x:v>46245.9378125</x:v>
      </x:c>
      <x:c r="G250" s="34" t="str">
        <x:v>Registrado</x:v>
      </x:c>
      <x:c r="H250" s="34" t="str">
        <x:v>No</x:v>
      </x:c>
      <x:c r="I250" s="42"/>
      <x:c r="J250" s="42"/>
      <x:c r="K250" s="34" t="str"/>
      <x:c r="L250" s="34" t="str">
        <x:v>NO-SHOW</x:v>
      </x:c>
    </x:row>
    <x:row r="251">
      <x:c r="A251" s="34" t="str">
        <x:v>External</x:v>
      </x:c>
      <x:c r="B251" s="34" t="str">
        <x:v>Teresa Saldivar</x:v>
      </x:c>
      <x:c r="C251" s="34" t="str">
        <x:v>quality@moracue.com</x:v>
      </x:c>
      <x:c r="D251" s="34" t="str">
        <x:v>Alimentos Mora Cué S.A</x:v>
      </x:c>
      <x:c r="E251" s="34" t="str">
        <x:v>Paraguay</x:v>
      </x:c>
      <x:c r="F251" s="40" t="n">
        <x:v>46241.36712962963</x:v>
      </x:c>
      <x:c r="G251" s="34" t="str">
        <x:v>Registrado</x:v>
      </x:c>
      <x:c r="H251" s="34" t="str">
        <x:v>No</x:v>
      </x:c>
      <x:c r="I251" s="42"/>
      <x:c r="J251" s="42"/>
      <x:c r="K251" s="34" t="str"/>
      <x:c r="L251" s="34" t="str">
        <x:v>NO-SHOW</x:v>
      </x:c>
    </x:row>
    <x:row r="252">
      <x:c r="A252" s="34" t="str">
        <x:v>External</x:v>
      </x:c>
      <x:c r="B252" s="34" t="str">
        <x:v>Valeria Santecchia</x:v>
      </x:c>
      <x:c r="C252" s="34" t="str">
        <x:v>valeria.santecchia@bunge.com</x:v>
      </x:c>
      <x:c r="D252" s="34" t="str">
        <x:v>Bunge Argentina</x:v>
      </x:c>
      <x:c r="E252" s="34" t="str">
        <x:v>Argentina</x:v>
      </x:c>
      <x:c r="F252" s="40" t="n">
        <x:v>46253.780648148146</x:v>
      </x:c>
      <x:c r="G252" s="34" t="str">
        <x:v>Registrado</x:v>
      </x:c>
      <x:c r="H252" s="34" t="str">
        <x:v>No</x:v>
      </x:c>
      <x:c r="I252" s="42"/>
      <x:c r="J252" s="42"/>
      <x:c r="K252" s="34" t="str"/>
      <x:c r="L252" s="34" t="str">
        <x:v>NO-SHOW</x:v>
      </x:c>
    </x:row>
    <x:row r="253">
      <x:c r="A253" s="34" t="str">
        <x:v>External</x:v>
      </x:c>
      <x:c r="B253" s="34" t="str">
        <x:v>Vanesa Natalia Mendoza</x:v>
      </x:c>
      <x:c r="C253" s="34" t="str">
        <x:v>vanesa.mendoza@bunge.com</x:v>
      </x:c>
      <x:c r="D253" s="34" t="str">
        <x:v>Bunge Argentina SA</x:v>
      </x:c>
      <x:c r="E253" s="34" t="str">
        <x:v>Argentina</x:v>
      </x:c>
      <x:c r="F253" s="40" t="n">
        <x:v>46240.41324074074</x:v>
      </x:c>
      <x:c r="G253" s="34" t="str">
        <x:v>Registrado</x:v>
      </x:c>
      <x:c r="H253" s="34" t="str">
        <x:v>No</x:v>
      </x:c>
      <x:c r="I253" s="42"/>
      <x:c r="J253" s="42"/>
      <x:c r="K253" s="34" t="str"/>
      <x:c r="L253" s="34" t="str">
        <x:v>NO-SHOW</x:v>
      </x:c>
    </x:row>
    <x:row r="254">
      <x:c r="A254" s="34" t="str">
        <x:v>External</x:v>
      </x:c>
      <x:c r="B254" s="34" t="str">
        <x:v>Vanessa Zárate</x:v>
      </x:c>
      <x:c r="C254" s="34" t="str">
        <x:v>vazaje@gmail.com</x:v>
      </x:c>
      <x:c r="D254" s="34" t="str">
        <x:v>Na</x:v>
      </x:c>
      <x:c r="E254" s="34" t="str">
        <x:v>Perú</x:v>
      </x:c>
      <x:c r="F254" s="40" t="n">
        <x:v>46253.50261574074</x:v>
      </x:c>
      <x:c r="G254" s="34" t="str">
        <x:v>Registrado</x:v>
      </x:c>
      <x:c r="H254" s="34" t="str">
        <x:v>No</x:v>
      </x:c>
      <x:c r="I254" s="42"/>
      <x:c r="J254" s="42"/>
      <x:c r="K254" s="34" t="str"/>
      <x:c r="L254" s="34" t="str">
        <x:v>NO-SHOW</x:v>
      </x:c>
    </x:row>
    <x:row r="255">
      <x:c r="A255" s="34" t="str">
        <x:v>External</x:v>
      </x:c>
      <x:c r="B255" s="34" t="str">
        <x:v>Verónica Vicco</x:v>
      </x:c>
      <x:c r="C255" s="34" t="str">
        <x:v>veronica.vicco@ferronchile.cl</x:v>
      </x:c>
      <x:c r="D255" s="34" t="str">
        <x:v>Camilo Ferron Chile</x:v>
      </x:c>
      <x:c r="E255" s="34" t="str">
        <x:v>Chile</x:v>
      </x:c>
      <x:c r="F255" s="40" t="n">
        <x:v>46240.68707175926</x:v>
      </x:c>
      <x:c r="G255" s="34" t="str">
        <x:v>Registrado</x:v>
      </x:c>
      <x:c r="H255" s="34" t="str">
        <x:v>No</x:v>
      </x:c>
      <x:c r="I255" s="42"/>
      <x:c r="J255" s="42"/>
      <x:c r="K255" s="34" t="str"/>
      <x:c r="L255" s="34" t="str">
        <x:v>NO-SHOW</x:v>
      </x:c>
    </x:row>
    <x:row r="256">
      <x:c r="A256" s="34" t="str">
        <x:v>External</x:v>
      </x:c>
      <x:c r="B256" s="34" t="str">
        <x:v>Vicente Norero</x:v>
      </x:c>
      <x:c r="C256" s="34" t="str">
        <x:v>vicentenorero@latiali.com</x:v>
      </x:c>
      <x:c r="D256" s="34" t="str">
        <x:v>Latiali</x:v>
      </x:c>
      <x:c r="E256" s="34" t="str">
        <x:v>Ecuador</x:v>
      </x:c>
      <x:c r="F256" s="40" t="n">
        <x:v>46253.6215625</x:v>
      </x:c>
      <x:c r="G256" s="34" t="str">
        <x:v>Registrado</x:v>
      </x:c>
      <x:c r="H256" s="34" t="str">
        <x:v>No</x:v>
      </x:c>
      <x:c r="I256" s="42"/>
      <x:c r="J256" s="42"/>
      <x:c r="K256" s="34" t="str"/>
      <x:c r="L256" s="34" t="str">
        <x:v>NO-SHOW</x:v>
      </x:c>
    </x:row>
    <x:row r="257">
      <x:c r="A257" s="34" t="str">
        <x:v>External</x:v>
      </x:c>
      <x:c r="B257" s="34" t="str">
        <x:v>Yarleska Jiménez</x:v>
      </x:c>
      <x:c r="C257" s="34" t="str">
        <x:v>agroauditora@gmail.com</x:v>
      </x:c>
      <x:c r="D257" s="34" t="str">
        <x:v>Profesional independiente</x:v>
      </x:c>
      <x:c r="E257" s="34" t="str">
        <x:v>Venezuela</x:v>
      </x:c>
      <x:c r="F257" s="40" t="n">
        <x:v>46244.92674768518</x:v>
      </x:c>
      <x:c r="G257" s="34" t="str">
        <x:v>Registrado</x:v>
      </x:c>
      <x:c r="H257" s="34" t="str">
        <x:v>No</x:v>
      </x:c>
      <x:c r="I257" s="42"/>
      <x:c r="J257" s="42"/>
      <x:c r="K257" s="34" t="str"/>
      <x:c r="L257" s="34" t="str">
        <x:v>NO-SHOW</x:v>
      </x:c>
    </x:row>
    <x:row r="258">
      <x:c r="A258" s="34" t="str">
        <x:v>External</x:v>
      </x:c>
      <x:c r="B258" s="34" t="str">
        <x:v>Yasmin Gutierrez</x:v>
      </x:c>
      <x:c r="C258" s="34" t="str">
        <x:v>kalinkagutierrez@gmail.com</x:v>
      </x:c>
      <x:c r="D258" s="34" t="str">
        <x:v>Independiente</x:v>
      </x:c>
      <x:c r="E258" s="34" t="str">
        <x:v>Perú</x:v>
      </x:c>
      <x:c r="F258" s="40" t="n">
        <x:v>46259.99197916667</x:v>
      </x:c>
      <x:c r="G258" s="34" t="str">
        <x:v>Registrado</x:v>
      </x:c>
      <x:c r="H258" s="34" t="str">
        <x:v>No</x:v>
      </x:c>
      <x:c r="I258" s="42"/>
      <x:c r="J258" s="42"/>
      <x:c r="K258" s="34" t="str"/>
      <x:c r="L258" s="34" t="str">
        <x:v>NO-SHOW</x:v>
      </x:c>
    </x:row>
    <x:row r="259">
      <x:c r="A259" s="34" t="str">
        <x:v>External</x:v>
      </x:c>
      <x:c r="B259" s="34" t="str">
        <x:v>Yond Hernan Laura Hijar</x:v>
      </x:c>
      <x:c r="C259" s="34" t="str">
        <x:v>yhlhijar@gmail.com</x:v>
      </x:c>
      <x:c r="D259" s="34" t="str">
        <x:v>ASOCIACIÓN DE PRODUCTORES DEL VRAEM CAFÉ Y CACAO</x:v>
      </x:c>
      <x:c r="E259" s="34" t="str">
        <x:v>Perú</x:v>
      </x:c>
      <x:c r="F259" s="40" t="n">
        <x:v>46239.48981481481</x:v>
      </x:c>
      <x:c r="G259" s="34" t="str">
        <x:v>Registrado</x:v>
      </x:c>
      <x:c r="H259" s="34" t="str">
        <x:v>No</x:v>
      </x:c>
      <x:c r="I259" s="42"/>
      <x:c r="J259" s="42"/>
      <x:c r="K259" s="34" t="str"/>
      <x:c r="L259" s="34" t="str">
        <x:v>NO-SHOW</x:v>
      </x:c>
    </x:row>
    <x:row r="260">
      <x:c r="A260" s="34" t="str">
        <x:v>External</x:v>
      </x:c>
      <x:c r="B260" s="34" t="str">
        <x:v>Álvaro Alejandro</x:v>
      </x:c>
      <x:c r="C260" s="34" t="str">
        <x:v>aalejandroregion5@gmail.com</x:v>
      </x:c>
      <x:c r="D260" s="34" t="str">
        <x:v>Colegio de Ingenieros Agrónomos de Santa Elena</x:v>
      </x:c>
      <x:c r="E260" s="34" t="str">
        <x:v>Ecuador</x:v>
      </x:c>
      <x:c r="F260" s="40" t="n">
        <x:v>46259.876759259256</x:v>
      </x:c>
      <x:c r="G260" s="34" t="str">
        <x:v>Registrado</x:v>
      </x:c>
      <x:c r="H260" s="34" t="str">
        <x:v>No</x:v>
      </x:c>
      <x:c r="I260" s="42"/>
      <x:c r="J260" s="42"/>
      <x:c r="K260" s="34" t="str"/>
      <x:c r="L260" s="34" t="str">
        <x:v>NO-SHOW</x:v>
      </x:c>
    </x:row>
    <x:row r="261">
      <x:c r="A261" s="34" t="str">
        <x:v>Internal - Control Union / Peterson</x:v>
      </x:c>
      <x:c r="B261" s="34" t="str">
        <x:v>Adolfo BOLL MORELLI</x:v>
      </x:c>
      <x:c r="C261" s="34" t="str">
        <x:v>aboll@onepeterson.com</x:v>
      </x:c>
      <x:c r="D261" s="34" t="str">
        <x:v>Peterson Solutions</x:v>
      </x:c>
      <x:c r="E261" s="34" t="str">
        <x:v>Argentina</x:v>
      </x:c>
      <x:c r="F261" s="40" t="n">
        <x:v>46260.503287037034</x:v>
      </x:c>
      <x:c r="G261" s="34" t="str">
        <x:v>Registrado</x:v>
      </x:c>
      <x:c r="H261" s="34" t="str">
        <x:v>Yes</x:v>
      </x:c>
      <x:c r="I261" s="42" t="n">
        <x:v>43.02</x:v>
      </x:c>
      <x:c r="J261" s="42"/>
      <x:c r="K261" s="34" t="str">
        <x:v>INTERNAL</x:v>
      </x:c>
      <x:c r="L261" s="34" t="str">
        <x:v>INTERNAL</x:v>
      </x:c>
    </x:row>
    <x:row r="262">
      <x:c r="A262" s="34" t="str">
        <x:v>Internal - Control Union / Peterson</x:v>
      </x:c>
      <x:c r="B262" s="34" t="str">
        <x:v>Angelina Juarez</x:v>
      </x:c>
      <x:c r="C262" s="34" t="str">
        <x:v>ajuarez@controlunion.com</x:v>
      </x:c>
      <x:c r="D262" s="34" t="str">
        <x:v>Control Union Argentina S.A.</x:v>
      </x:c>
      <x:c r="E262" s="34" t="str">
        <x:v>Argentina</x:v>
      </x:c>
      <x:c r="F262" s="40" t="n">
        <x:v>46260.501238425924</x:v>
      </x:c>
      <x:c r="G262" s="34" t="str">
        <x:v>Registrado</x:v>
      </x:c>
      <x:c r="H262" s="34" t="str">
        <x:v>Yes</x:v>
      </x:c>
      <x:c r="I262" s="42" t="n">
        <x:v>44.6</x:v>
      </x:c>
      <x:c r="J262" s="42"/>
      <x:c r="K262" s="34" t="str">
        <x:v>INTERNAL</x:v>
      </x:c>
      <x:c r="L262" s="34" t="str">
        <x:v>INTERNAL</x:v>
      </x:c>
    </x:row>
    <x:row r="263">
      <x:c r="A263" s="34" t="str">
        <x:v>Internal - Control Union / Peterson</x:v>
      </x:c>
      <x:c r="B263" s="34" t="str">
        <x:v>Asunción Marquez</x:v>
      </x:c>
      <x:c r="C263" s="34" t="str">
        <x:v>asmarquez@onepeterson.com</x:v>
      </x:c>
      <x:c r="D263" s="34" t="str">
        <x:v>Peterson Solutions</x:v>
      </x:c>
      <x:c r="E263" s="34" t="str">
        <x:v>Argentina</x:v>
      </x:c>
      <x:c r="F263" s="40" t="n">
        <x:v>46260.49731481481</x:v>
      </x:c>
      <x:c r="G263" s="34" t="str">
        <x:v>Registrado</x:v>
      </x:c>
      <x:c r="H263" s="34" t="str">
        <x:v>Yes</x:v>
      </x:c>
      <x:c r="I263" s="42" t="n">
        <x:v>46.68</x:v>
      </x:c>
      <x:c r="J263" s="42"/>
      <x:c r="K263" s="34" t="str">
        <x:v>INTERNAL</x:v>
      </x:c>
      <x:c r="L263" s="34" t="str">
        <x:v>INTERNAL</x:v>
      </x:c>
    </x:row>
    <x:row r="264">
      <x:c r="A264" s="34" t="str">
        <x:v>Internal - Control Union / Peterson</x:v>
      </x:c>
      <x:c r="B264" s="34" t="str">
        <x:v>Camila Amigo</x:v>
      </x:c>
      <x:c r="C264" s="34" t="str">
        <x:v>camigo@onepeterson.com</x:v>
      </x:c>
      <x:c r="D264" s="34" t="str">
        <x:v>Peterson solutions</x:v>
      </x:c>
      <x:c r="E264" s="34" t="str">
        <x:v>Argentina</x:v>
      </x:c>
      <x:c r="F264" s="40" t="n">
        <x:v>46260.49762731481</x:v>
      </x:c>
      <x:c r="G264" s="34" t="str">
        <x:v>Registrado</x:v>
      </x:c>
      <x:c r="H264" s="34" t="str">
        <x:v>Yes</x:v>
      </x:c>
      <x:c r="I264" s="42" t="n">
        <x:v>50.18</x:v>
      </x:c>
      <x:c r="J264" s="42"/>
      <x:c r="K264" s="34" t="str">
        <x:v>INTERNAL</x:v>
      </x:c>
      <x:c r="L264" s="34" t="str">
        <x:v>INTERNAL</x:v>
      </x:c>
    </x:row>
    <x:row r="265">
      <x:c r="A265" s="34" t="str">
        <x:v>Internal - Control Union / Peterson</x:v>
      </x:c>
      <x:c r="B265" s="34" t="str">
        <x:v>Carlos Rainero</x:v>
      </x:c>
      <x:c r="C265" s="34" t="str">
        <x:v>crainero@controlunion.com</x:v>
      </x:c>
      <x:c r="D265" s="34" t="str">
        <x:v>cu canada</x:v>
      </x:c>
      <x:c r="E265" s="34" t="str">
        <x:v>Canada</x:v>
      </x:c>
      <x:c r="F265" s="40" t="n">
        <x:v>46252.81230324074</x:v>
      </x:c>
      <x:c r="G265" s="34" t="str">
        <x:v>Registrado</x:v>
      </x:c>
      <x:c r="H265" s="34" t="str">
        <x:v>Yes</x:v>
      </x:c>
      <x:c r="I265" s="42" t="n">
        <x:v>49.67</x:v>
      </x:c>
      <x:c r="J265" s="42"/>
      <x:c r="K265" s="34" t="str">
        <x:v>INTERNAL</x:v>
      </x:c>
      <x:c r="L265" s="34" t="str">
        <x:v>INTERNAL</x:v>
      </x:c>
    </x:row>
    <x:row r="266">
      <x:c r="A266" s="34" t="str">
        <x:v>Internal - Control Union / Peterson</x:v>
      </x:c>
      <x:c r="B266" s="34" t="str">
        <x:v>Casandra Ferrazzini de Frutos</x:v>
      </x:c>
      <x:c r="C266" s="34" t="str">
        <x:v>cferrazzini@onepeterson.com</x:v>
      </x:c>
      <x:c r="D266" s="34" t="str">
        <x:v>Peterson</x:v>
      </x:c>
      <x:c r="E266" s="34" t="str">
        <x:v>España</x:v>
      </x:c>
      <x:c r="F266" s="40" t="n">
        <x:v>46244.09359953704</x:v>
      </x:c>
      <x:c r="G266" s="34" t="str">
        <x:v>Registrado</x:v>
      </x:c>
      <x:c r="H266" s="34" t="str">
        <x:v>Yes</x:v>
      </x:c>
      <x:c r="I266" s="42" t="n">
        <x:v>38.05</x:v>
      </x:c>
      <x:c r="J266" s="42"/>
      <x:c r="K266" s="34" t="str">
        <x:v>INTERNAL</x:v>
      </x:c>
      <x:c r="L266" s="34" t="str">
        <x:v>INTERNAL</x:v>
      </x:c>
    </x:row>
    <x:row r="267">
      <x:c r="A267" s="34" t="str">
        <x:v>Internal - Control Union / Peterson</x:v>
      </x:c>
      <x:c r="B267" s="34" t="str">
        <x:v>Diego Cybulka</x:v>
      </x:c>
      <x:c r="C267" s="34" t="str">
        <x:v>dcybulka@onepeterson.com</x:v>
      </x:c>
      <x:c r="D267" s="34" t="str">
        <x:v>Peterson Solutions (Americas)</x:v>
      </x:c>
      <x:c r="E267" s="34" t="str">
        <x:v>Argentina</x:v>
      </x:c>
      <x:c r="F267" s="40" t="n">
        <x:v>46260.49862268518</x:v>
      </x:c>
      <x:c r="G267" s="34" t="str">
        <x:v>Registrado</x:v>
      </x:c>
      <x:c r="H267" s="34" t="str">
        <x:v>Yes</x:v>
      </x:c>
      <x:c r="I267" s="42" t="n">
        <x:v>52.13</x:v>
      </x:c>
      <x:c r="J267" s="42"/>
      <x:c r="K267" s="34" t="str">
        <x:v>INTERNAL</x:v>
      </x:c>
      <x:c r="L267" s="34" t="str">
        <x:v>INTERNAL</x:v>
      </x:c>
    </x:row>
    <x:row r="268">
      <x:c r="A268" s="34" t="str">
        <x:v>Internal - Control Union / Peterson</x:v>
      </x:c>
      <x:c r="B268" s="34" t="str">
        <x:v>Eliodoro Medina</x:v>
      </x:c>
      <x:c r="C268" s="34" t="str">
        <x:v>eliodoro.medina@yahoo.com</x:v>
      </x:c>
      <x:c r="D268" s="34" t="str">
        <x:v>Control Unión Canada</x:v>
      </x:c>
      <x:c r="E268" s="34" t="str">
        <x:v>Canada</x:v>
      </x:c>
      <x:c r="F268" s="40" t="n">
        <x:v>46245.58363425926</x:v>
      </x:c>
      <x:c r="G268" s="34" t="str">
        <x:v>Registrado</x:v>
      </x:c>
      <x:c r="H268" s="34" t="str">
        <x:v>Yes</x:v>
      </x:c>
      <x:c r="I268" s="42" t="n">
        <x:v>6.12</x:v>
      </x:c>
      <x:c r="J268" s="42"/>
      <x:c r="K268" s="34" t="str">
        <x:v>INTERNAL</x:v>
      </x:c>
      <x:c r="L268" s="34" t="str">
        <x:v>INTERNAL</x:v>
      </x:c>
    </x:row>
    <x:row r="269">
      <x:c r="A269" s="34" t="str">
        <x:v>Internal - Control Union / Peterson</x:v>
      </x:c>
      <x:c r="B269" s="34" t="str">
        <x:v>Eloy Zavalia Lagos</x:v>
      </x:c>
      <x:c r="C269" s="34" t="str">
        <x:v>ezavalia@controlunion.com</x:v>
      </x:c>
      <x:c r="D269" s="34" t="str">
        <x:v>Control Union</x:v>
      </x:c>
      <x:c r="E269" s="34" t="str">
        <x:v>Argentina</x:v>
      </x:c>
      <x:c r="F269" s="40" t="n">
        <x:v>46260.51060185185</x:v>
      </x:c>
      <x:c r="G269" s="34" t="str">
        <x:v>Registrado</x:v>
      </x:c>
      <x:c r="H269" s="34" t="str">
        <x:v>Yes</x:v>
      </x:c>
      <x:c r="I269" s="42" t="n">
        <x:v>31.9</x:v>
      </x:c>
      <x:c r="J269" s="42"/>
      <x:c r="K269" s="34" t="str">
        <x:v>INTERNAL</x:v>
      </x:c>
      <x:c r="L269" s="34" t="str">
        <x:v>INTERNAL</x:v>
      </x:c>
    </x:row>
    <x:row r="270">
      <x:c r="A270" s="34" t="str">
        <x:v>Internal - Control Union / Peterson</x:v>
      </x:c>
      <x:c r="B270" s="34" t="str">
        <x:v>Fausto Morresi</x:v>
      </x:c>
      <x:c r="C270" s="34" t="str">
        <x:v>fmorresi@controlunion.com</x:v>
      </x:c>
      <x:c r="D270" s="34" t="str">
        <x:v>Control Union</x:v>
      </x:c>
      <x:c r="E270" s="34" t="str">
        <x:v>Argentina</x:v>
      </x:c>
      <x:c r="F270" s="40" t="n">
        <x:v>46260.49783564815</x:v>
      </x:c>
      <x:c r="G270" s="34" t="str">
        <x:v>Registrado</x:v>
      </x:c>
      <x:c r="H270" s="34" t="str">
        <x:v>Yes</x:v>
      </x:c>
      <x:c r="I270" s="42" t="n">
        <x:v>43.63</x:v>
      </x:c>
      <x:c r="J270" s="42"/>
      <x:c r="K270" s="34" t="str">
        <x:v>INTERNAL</x:v>
      </x:c>
      <x:c r="L270" s="34" t="str">
        <x:v>INTERNAL</x:v>
      </x:c>
    </x:row>
    <x:row r="271">
      <x:c r="A271" s="34" t="str">
        <x:v>Internal - Control Union / Peterson</x:v>
      </x:c>
      <x:c r="B271" s="34" t="str">
        <x:v>Gonzalo Viale</x:v>
      </x:c>
      <x:c r="C271" s="34" t="str">
        <x:v>gviale@controlunion.com</x:v>
      </x:c>
      <x:c r="D271" s="34" t="str">
        <x:v>Control Union Argentina S.A.</x:v>
      </x:c>
      <x:c r="E271" s="34" t="str">
        <x:v>Argentina</x:v>
      </x:c>
      <x:c r="F271" s="40" t="n">
        <x:v>46260.498194444444</x:v>
      </x:c>
      <x:c r="G271" s="34" t="str">
        <x:v>Registrado</x:v>
      </x:c>
      <x:c r="H271" s="34" t="str">
        <x:v>Yes</x:v>
      </x:c>
      <x:c r="I271" s="42" t="n">
        <x:v>54.78</x:v>
      </x:c>
      <x:c r="J271" s="42"/>
      <x:c r="K271" s="34" t="str">
        <x:v>INTERNAL</x:v>
      </x:c>
      <x:c r="L271" s="34" t="str">
        <x:v>INTERNAL</x:v>
      </x:c>
    </x:row>
    <x:row r="272">
      <x:c r="A272" s="34" t="str">
        <x:v>Internal - Control Union / Peterson</x:v>
      </x:c>
      <x:c r="B272" s="34" t="str">
        <x:v>Jaime Gilligan</x:v>
      </x:c>
      <x:c r="C272" s="34" t="str">
        <x:v>jgilligan@controlunion.com</x:v>
      </x:c>
      <x:c r="D272" s="34" t="str">
        <x:v>Control Union</x:v>
      </x:c>
      <x:c r="E272" s="34" t="str">
        <x:v>Argentina</x:v>
      </x:c>
      <x:c r="F272" s="40" t="n">
        <x:v>46260.50077546296</x:v>
      </x:c>
      <x:c r="G272" s="34" t="str">
        <x:v>Registrado</x:v>
      </x:c>
      <x:c r="H272" s="34" t="str">
        <x:v>Yes</x:v>
      </x:c>
      <x:c r="I272" s="42" t="n">
        <x:v>26.55</x:v>
      </x:c>
      <x:c r="J272" s="42"/>
      <x:c r="K272" s="34" t="str">
        <x:v>INTERNAL</x:v>
      </x:c>
      <x:c r="L272" s="34" t="str">
        <x:v>INTERNAL</x:v>
      </x:c>
    </x:row>
    <x:row r="273">
      <x:c r="A273" s="34" t="str">
        <x:v>Internal - Control Union / Peterson</x:v>
      </x:c>
      <x:c r="B273" s="34" t="str">
        <x:v>Juan Ignacio Galperin</x:v>
      </x:c>
      <x:c r="C273" s="34" t="str">
        <x:v>jgalperin@controlunion.com</x:v>
      </x:c>
      <x:c r="D273" s="34" t="str">
        <x:v>Control Union Argentina S.A.</x:v>
      </x:c>
      <x:c r="E273" s="34" t="str">
        <x:v>Argentina</x:v>
      </x:c>
      <x:c r="F273" s="40" t="n">
        <x:v>46252.51097222222</x:v>
      </x:c>
      <x:c r="G273" s="34" t="str">
        <x:v>Registrado</x:v>
      </x:c>
      <x:c r="H273" s="34" t="str">
        <x:v>Yes</x:v>
      </x:c>
      <x:c r="I273" s="42" t="n">
        <x:v>47.27</x:v>
      </x:c>
      <x:c r="J273" s="42"/>
      <x:c r="K273" s="34" t="str">
        <x:v>INTERNAL</x:v>
      </x:c>
      <x:c r="L273" s="34" t="str">
        <x:v>INTERNAL</x:v>
      </x:c>
    </x:row>
    <x:row r="274">
      <x:c r="A274" s="34" t="str">
        <x:v>Internal - Control Union / Peterson</x:v>
      </x:c>
      <x:c r="B274" s="34" t="str">
        <x:v>Juan Martin Giordano</x:v>
      </x:c>
      <x:c r="C274" s="34" t="str">
        <x:v>jmgiordano@onepeterson.com</x:v>
      </x:c>
      <x:c r="D274" s="34" t="str">
        <x:v>Peterson Solutions</x:v>
      </x:c>
      <x:c r="E274" s="34" t="str">
        <x:v>Argentina</x:v>
      </x:c>
      <x:c r="F274" s="40" t="n">
        <x:v>46260.50193287037</x:v>
      </x:c>
      <x:c r="G274" s="34" t="str">
        <x:v>Registrado</x:v>
      </x:c>
      <x:c r="H274" s="34" t="str">
        <x:v>Yes</x:v>
      </x:c>
      <x:c r="I274" s="42" t="n">
        <x:v>44.82</x:v>
      </x:c>
      <x:c r="J274" s="42"/>
      <x:c r="K274" s="34" t="str">
        <x:v>INTERNAL</x:v>
      </x:c>
      <x:c r="L274" s="34" t="str">
        <x:v>INTERNAL</x:v>
      </x:c>
    </x:row>
    <x:row r="275">
      <x:c r="A275" s="34" t="str">
        <x:v>Internal - Control Union / Peterson</x:v>
      </x:c>
      <x:c r="B275" s="34" t="str">
        <x:v>Juliana Gilardoni</x:v>
      </x:c>
      <x:c r="C275" s="34" t="str">
        <x:v>jgilardoni@controlunion.com</x:v>
      </x:c>
      <x:c r="D275" s="34" t="str">
        <x:v>Control Union Argentina</x:v>
      </x:c>
      <x:c r="E275" s="34" t="str">
        <x:v>Argentina</x:v>
      </x:c>
      <x:c r="F275" s="40" t="n">
        <x:v>46260.49836805555</x:v>
      </x:c>
      <x:c r="G275" s="34" t="str">
        <x:v>Registrado</x:v>
      </x:c>
      <x:c r="H275" s="34" t="str">
        <x:v>Yes</x:v>
      </x:c>
      <x:c r="I275" s="42" t="n">
        <x:v>43.57</x:v>
      </x:c>
      <x:c r="J275" s="42"/>
      <x:c r="K275" s="34" t="str">
        <x:v>INTERNAL</x:v>
      </x:c>
      <x:c r="L275" s="34" t="str">
        <x:v>INTERNAL</x:v>
      </x:c>
    </x:row>
    <x:row r="276">
      <x:c r="A276" s="34" t="str">
        <x:v>Internal - Control Union / Peterson</x:v>
      </x:c>
      <x:c r="B276" s="34" t="str">
        <x:v>Karen Ponieman</x:v>
      </x:c>
      <x:c r="C276" s="34" t="str">
        <x:v>kponieman@controlunion.com</x:v>
      </x:c>
      <x:c r="D276" s="34" t="str">
        <x:v>Control Union</x:v>
      </x:c>
      <x:c r="E276" s="34" t="str">
        <x:v>Argentina</x:v>
      </x:c>
      <x:c r="F276" s="40" t="n">
        <x:v>46259.43523148148</x:v>
      </x:c>
      <x:c r="G276" s="34" t="str">
        <x:v>Registrado</x:v>
      </x:c>
      <x:c r="H276" s="34" t="str">
        <x:v>Yes</x:v>
      </x:c>
      <x:c r="I276" s="42" t="n">
        <x:v>53.45</x:v>
      </x:c>
      <x:c r="J276" s="42"/>
      <x:c r="K276" s="34" t="str">
        <x:v>INTERNAL</x:v>
      </x:c>
      <x:c r="L276" s="34" t="str">
        <x:v>INTERNAL</x:v>
      </x:c>
    </x:row>
    <x:row r="277">
      <x:c r="A277" s="34" t="str">
        <x:v>Internal - Control Union / Peterson</x:v>
      </x:c>
      <x:c r="B277" s="34" t="str">
        <x:v>Maria Clara Lissarrague (OnePeterson)</x:v>
      </x:c>
      <x:c r="C277" s="34" t="str">
        <x:v>clissarrague@onepeterson.com</x:v>
      </x:c>
      <x:c r="D277" s="34" t="str">
        <x:v>Peterson Solutions</x:v>
      </x:c>
      <x:c r="E277" s="34" t="str">
        <x:v>Argentina</x:v>
      </x:c>
      <x:c r="F277" s="40" t="n">
        <x:v>46260.50085648148</x:v>
      </x:c>
      <x:c r="G277" s="34" t="str">
        <x:v>Registrado</x:v>
      </x:c>
      <x:c r="H277" s="34" t="str">
        <x:v>Yes</x:v>
      </x:c>
      <x:c r="I277" s="42" t="n">
        <x:v>37.98</x:v>
      </x:c>
      <x:c r="J277" s="42"/>
      <x:c r="K277" s="34" t="str">
        <x:v>INTERNAL</x:v>
      </x:c>
      <x:c r="L277" s="34" t="str">
        <x:v>INTERNAL</x:v>
      </x:c>
    </x:row>
    <x:row r="278">
      <x:c r="A278" s="34" t="str">
        <x:v>Internal - Control Union / Peterson</x:v>
      </x:c>
      <x:c r="B278" s="34" t="str">
        <x:v>Martin Dacharry</x:v>
      </x:c>
      <x:c r="C278" s="34" t="str">
        <x:v>mdacharry@onepeterson.com</x:v>
      </x:c>
      <x:c r="D278" s="34" t="str">
        <x:v>Peterson Solutions</x:v>
      </x:c>
      <x:c r="E278" s="34" t="str">
        <x:v>Argentina</x:v>
      </x:c>
      <x:c r="F278" s="40" t="n">
        <x:v>46259.34306712963</x:v>
      </x:c>
      <x:c r="G278" s="34" t="str">
        <x:v>Registrado</x:v>
      </x:c>
      <x:c r="H278" s="34" t="str">
        <x:v>Yes</x:v>
      </x:c>
      <x:c r="I278" s="42" t="n">
        <x:v>56.05</x:v>
      </x:c>
      <x:c r="J278" s="42"/>
      <x:c r="K278" s="34" t="str">
        <x:v>INTERNAL</x:v>
      </x:c>
      <x:c r="L278" s="34" t="str">
        <x:v>INTERNAL</x:v>
      </x:c>
    </x:row>
    <x:row r="279">
      <x:c r="A279" s="34" t="str">
        <x:v>Internal - Control Union / Peterson</x:v>
      </x:c>
      <x:c r="B279" s="34" t="str">
        <x:v>Martin Gabriel Sorkin</x:v>
      </x:c>
      <x:c r="C279" s="34" t="str">
        <x:v>msorkin@controlunion.com</x:v>
      </x:c>
      <x:c r="D279" s="34" t="str">
        <x:v>Control Union</x:v>
      </x:c>
      <x:c r="E279" s="34" t="str">
        <x:v>Argentina</x:v>
      </x:c>
      <x:c r="F279" s="40" t="n">
        <x:v>46260.50082175926</x:v>
      </x:c>
      <x:c r="G279" s="34" t="str">
        <x:v>Registrado</x:v>
      </x:c>
      <x:c r="H279" s="34" t="str">
        <x:v>Yes</x:v>
      </x:c>
      <x:c r="I279" s="42" t="n">
        <x:v>46.93</x:v>
      </x:c>
      <x:c r="J279" s="42"/>
      <x:c r="K279" s="34" t="str">
        <x:v>INTERNAL</x:v>
      </x:c>
      <x:c r="L279" s="34" t="str">
        <x:v>INTERNAL</x:v>
      </x:c>
    </x:row>
    <x:row r="280">
      <x:c r="A280" s="34" t="str">
        <x:v>Internal - Control Union / Peterson</x:v>
      </x:c>
      <x:c r="B280" s="34" t="str">
        <x:v>María Camila Gaitán</x:v>
      </x:c>
      <x:c r="C280" s="34" t="str">
        <x:v>mgaitan@onepeterson.com</x:v>
      </x:c>
      <x:c r="D280" s="34" t="str">
        <x:v>Peterson Solutions</x:v>
      </x:c>
      <x:c r="E280" s="34" t="str">
        <x:v>Colombia / Chile</x:v>
      </x:c>
      <x:c r="F280" s="40" t="n">
        <x:v>46246.56417824074</x:v>
      </x:c>
      <x:c r="G280" s="34" t="str">
        <x:v>Registrado</x:v>
      </x:c>
      <x:c r="H280" s="34" t="str">
        <x:v>Yes</x:v>
      </x:c>
      <x:c r="I280" s="42" t="n">
        <x:v>35.07</x:v>
      </x:c>
      <x:c r="J280" s="42"/>
      <x:c r="K280" s="34" t="str">
        <x:v>INTERNAL</x:v>
      </x:c>
      <x:c r="L280" s="34" t="str">
        <x:v>INTERNAL</x:v>
      </x:c>
    </x:row>
    <x:row r="281">
      <x:c r="A281" s="34" t="str">
        <x:v>Internal - Control Union / Peterson</x:v>
      </x:c>
      <x:c r="B281" s="34" t="str">
        <x:v>Micaela Albornoz</x:v>
      </x:c>
      <x:c r="C281" s="34" t="str">
        <x:v>malbornoz@controlunion.com</x:v>
      </x:c>
      <x:c r="D281" s="34" t="str">
        <x:v>Control Union</x:v>
      </x:c>
      <x:c r="E281" s="34" t="str">
        <x:v>Argentina</x:v>
      </x:c>
      <x:c r="F281" s="40" t="n">
        <x:v>46253.44362268518</x:v>
      </x:c>
      <x:c r="G281" s="34" t="str">
        <x:v>Registrado</x:v>
      </x:c>
      <x:c r="H281" s="34" t="str">
        <x:v>Yes</x:v>
      </x:c>
      <x:c r="I281" s="42" t="n">
        <x:v>12.2</x:v>
      </x:c>
      <x:c r="J281" s="42"/>
      <x:c r="K281" s="34" t="str">
        <x:v>INTERNAL</x:v>
      </x:c>
      <x:c r="L281" s="34" t="str">
        <x:v>INTERNAL</x:v>
      </x:c>
    </x:row>
    <x:row r="282">
      <x:c r="A282" s="34" t="str">
        <x:v>Internal - Control Union / Peterson</x:v>
      </x:c>
      <x:c r="B282" s="34" t="str">
        <x:v>Nicolas De Miceu</x:v>
      </x:c>
      <x:c r="C282" s="34" t="str">
        <x:v>ndemiceu@controlunion.com</x:v>
      </x:c>
      <x:c r="D282" s="34" t="str">
        <x:v>control union</x:v>
      </x:c>
      <x:c r="E282" s="34" t="str">
        <x:v>Argentina</x:v>
      </x:c>
      <x:c r="F282" s="40" t="n">
        <x:v>46260.525358796294</x:v>
      </x:c>
      <x:c r="G282" s="34" t="str">
        <x:v>Registrado</x:v>
      </x:c>
      <x:c r="H282" s="34" t="str">
        <x:v>Yes</x:v>
      </x:c>
      <x:c r="I282" s="42" t="n">
        <x:v>7.2</x:v>
      </x:c>
      <x:c r="J282" s="42"/>
      <x:c r="K282" s="34" t="str">
        <x:v>INTERNAL</x:v>
      </x:c>
      <x:c r="L282" s="34" t="str">
        <x:v>INTERNAL</x:v>
      </x:c>
    </x:row>
    <x:row r="283">
      <x:c r="A283" s="34" t="str">
        <x:v>Internal - Control Union / Peterson</x:v>
      </x:c>
      <x:c r="B283" s="34" t="str">
        <x:v>Paula Ochoa</x:v>
      </x:c>
      <x:c r="C283" s="34" t="str">
        <x:v>pochoa@controlunion.com</x:v>
      </x:c>
      <x:c r="D283" s="34" t="str">
        <x:v>Control Union</x:v>
      </x:c>
      <x:c r="E283" s="34" t="str">
        <x:v>Colombia</x:v>
      </x:c>
      <x:c r="F283" s="40" t="n">
        <x:v>46253.49982638889</x:v>
      </x:c>
      <x:c r="G283" s="34" t="str">
        <x:v>Registrado</x:v>
      </x:c>
      <x:c r="H283" s="34" t="str">
        <x:v>Yes</x:v>
      </x:c>
      <x:c r="I283" s="42" t="n">
        <x:v>44.67</x:v>
      </x:c>
      <x:c r="J283" s="42"/>
      <x:c r="K283" s="34" t="str">
        <x:v>INTERNAL</x:v>
      </x:c>
      <x:c r="L283" s="34" t="str">
        <x:v>INTERNAL</x:v>
      </x:c>
    </x:row>
    <x:row r="284">
      <x:c r="A284" s="34" t="str">
        <x:v>Internal - Control Union / Peterson</x:v>
      </x:c>
      <x:c r="B284" s="34" t="str">
        <x:v>Roxana Milagros Laynes Ramos</x:v>
      </x:c>
      <x:c r="C284" s="34" t="str">
        <x:v>rlaynes@controlunion.com</x:v>
      </x:c>
      <x:c r="D284" s="34" t="str">
        <x:v>Control Union</x:v>
      </x:c>
      <x:c r="E284" s="34" t="str">
        <x:v>Perú</x:v>
      </x:c>
      <x:c r="F284" s="40" t="n">
        <x:v>46238.453726851854</x:v>
      </x:c>
      <x:c r="G284" s="34" t="str">
        <x:v>Registrado</x:v>
      </x:c>
      <x:c r="H284" s="34" t="str">
        <x:v>Yes</x:v>
      </x:c>
      <x:c r="I284" s="42" t="n">
        <x:v>47.65</x:v>
      </x:c>
      <x:c r="J284" s="42"/>
      <x:c r="K284" s="34" t="str">
        <x:v>INTERNAL</x:v>
      </x:c>
      <x:c r="L284" s="34" t="str">
        <x:v>INTERNAL</x:v>
      </x:c>
    </x:row>
    <x:row r="285">
      <x:c r="A285" s="34" t="str">
        <x:v>Internal - Control Union / Peterson</x:v>
      </x:c>
      <x:c r="B285" s="34" t="str">
        <x:v>Tomas Palacios</x:v>
      </x:c>
      <x:c r="C285" s="34" t="str">
        <x:v>tpalacios@controlunion.com</x:v>
      </x:c>
      <x:c r="D285" s="34" t="str">
        <x:v>CU Arg</x:v>
      </x:c>
      <x:c r="E285" s="34" t="str">
        <x:v>Arg</x:v>
      </x:c>
      <x:c r="F285" s="40" t="n">
        <x:v>46260.49175925926</x:v>
      </x:c>
      <x:c r="G285" s="34" t="str">
        <x:v>Registrado</x:v>
      </x:c>
      <x:c r="H285" s="34" t="str">
        <x:v>Yes</x:v>
      </x:c>
      <x:c r="I285" s="42" t="n">
        <x:v>55.17</x:v>
      </x:c>
      <x:c r="J285" s="42"/>
      <x:c r="K285" s="34" t="str">
        <x:v>INTERNAL</x:v>
      </x:c>
      <x:c r="L285" s="34" t="str">
        <x:v>INTERNAL</x:v>
      </x:c>
    </x:row>
    <x:row r="286">
      <x:c r="A286" s="34" t="str">
        <x:v>Internal - Control Union / Peterson</x:v>
      </x:c>
      <x:c r="B286" s="34" t="str">
        <x:v>Alvaro Martinez</x:v>
      </x:c>
      <x:c r="C286" s="34" t="str">
        <x:v>amartinez@controlunion.com</x:v>
      </x:c>
      <x:c r="D286" s="34" t="str">
        <x:v>Control Union Spain</x:v>
      </x:c>
      <x:c r="E286" s="34" t="str">
        <x:v>España</x:v>
      </x:c>
      <x:c r="F286" s="40" t="n">
        <x:v>46253.13690972222</x:v>
      </x:c>
      <x:c r="G286" s="34" t="str">
        <x:v>Registrado</x:v>
      </x:c>
      <x:c r="H286" s="34" t="str">
        <x:v>No</x:v>
      </x:c>
      <x:c r="I286" s="42"/>
      <x:c r="J286" s="42"/>
      <x:c r="K286" s="34" t="str"/>
      <x:c r="L286" s="34" t="str">
        <x:v>INTERNAL</x:v>
      </x:c>
    </x:row>
    <x:row r="287">
      <x:c r="A287" s="34" t="str">
        <x:v>Internal - Control Union / Peterson</x:v>
      </x:c>
      <x:c r="B287" s="34" t="str">
        <x:v>Andrea Benítez</x:v>
      </x:c>
      <x:c r="C287" s="34" t="str">
        <x:v>pbenitez@controlunion.com</x:v>
      </x:c>
      <x:c r="D287" s="34" t="str">
        <x:v>Control Union S.A</x:v>
      </x:c>
      <x:c r="E287" s="34" t="str">
        <x:v>Paraguay</x:v>
      </x:c>
      <x:c r="F287" s="40" t="n">
        <x:v>46239.98454861111</x:v>
      </x:c>
      <x:c r="G287" s="34" t="str">
        <x:v>Registrado</x:v>
      </x:c>
      <x:c r="H287" s="34" t="str">
        <x:v>No</x:v>
      </x:c>
      <x:c r="I287" s="42"/>
      <x:c r="J287" s="42"/>
      <x:c r="K287" s="34" t="str"/>
      <x:c r="L287" s="34" t="str">
        <x:v>INTERNAL</x:v>
      </x:c>
    </x:row>
    <x:row r="288">
      <x:c r="A288" s="34" t="str">
        <x:v>Internal - Control Union / Peterson</x:v>
      </x:c>
      <x:c r="B288" s="34" t="str">
        <x:v>Carlos Picco</x:v>
      </x:c>
      <x:c r="C288" s="34" t="str">
        <x:v>cpicco@controlunion.com</x:v>
      </x:c>
      <x:c r="D288" s="34" t="str">
        <x:v>Control Union Paraguay</x:v>
      </x:c>
      <x:c r="E288" s="34" t="str">
        <x:v>Paraguay</x:v>
      </x:c>
      <x:c r="F288" s="40" t="n">
        <x:v>46247.656377314815</x:v>
      </x:c>
      <x:c r="G288" s="34" t="str">
        <x:v>Registrado</x:v>
      </x:c>
      <x:c r="H288" s="34" t="str">
        <x:v>No</x:v>
      </x:c>
      <x:c r="I288" s="42"/>
      <x:c r="J288" s="42"/>
      <x:c r="K288" s="34" t="str"/>
      <x:c r="L288" s="34" t="str">
        <x:v>INTERNAL</x:v>
      </x:c>
    </x:row>
    <x:row r="289">
      <x:c r="A289" s="34" t="str">
        <x:v>Internal - Control Union / Peterson</x:v>
      </x:c>
      <x:c r="B289" s="34" t="str">
        <x:v>Daniela Schiratti</x:v>
      </x:c>
      <x:c r="C289" s="34" t="str">
        <x:v>dschiratti@oneoeterson.com</x:v>
      </x:c>
      <x:c r="D289" s="34" t="str">
        <x:v>Peterson</x:v>
      </x:c>
      <x:c r="E289" s="34" t="str">
        <x:v>Argentina</x:v>
      </x:c>
      <x:c r="F289" s="40" t="n">
        <x:v>46260.51299768518</x:v>
      </x:c>
      <x:c r="G289" s="34" t="str">
        <x:v>Registrado</x:v>
      </x:c>
      <x:c r="H289" s="34" t="str">
        <x:v>No</x:v>
      </x:c>
      <x:c r="I289" s="42"/>
      <x:c r="J289" s="42"/>
      <x:c r="K289" s="34" t="str"/>
      <x:c r="L289" s="34" t="str">
        <x:v>INTERNAL</x:v>
      </x:c>
    </x:row>
    <x:row r="290">
      <x:c r="A290" s="34" t="str">
        <x:v>Internal - Control Union / Peterson</x:v>
      </x:c>
      <x:c r="B290" s="34" t="str">
        <x:v>Denisse Carrión</x:v>
      </x:c>
      <x:c r="C290" s="34" t="str">
        <x:v>dcarrion@controlunion.com</x:v>
      </x:c>
      <x:c r="D290" s="34" t="str">
        <x:v>CONTROL UNION</x:v>
      </x:c>
      <x:c r="E290" s="34" t="str">
        <x:v>Ecuador</x:v>
      </x:c>
      <x:c r="F290" s="40" t="n">
        <x:v>46238.57372685185</x:v>
      </x:c>
      <x:c r="G290" s="34" t="str">
        <x:v>Registrado</x:v>
      </x:c>
      <x:c r="H290" s="34" t="str">
        <x:v>No</x:v>
      </x:c>
      <x:c r="I290" s="42"/>
      <x:c r="J290" s="42"/>
      <x:c r="K290" s="34" t="str"/>
      <x:c r="L290" s="34" t="str">
        <x:v>INTERNAL</x:v>
      </x:c>
    </x:row>
    <x:row r="291">
      <x:c r="A291" s="34" t="str">
        <x:v>Internal - Control Union / Peterson</x:v>
      </x:c>
      <x:c r="B291" s="34" t="str">
        <x:v>Felipe Señorans</x:v>
      </x:c>
      <x:c r="C291" s="34" t="str">
        <x:v>fsenorans@onepeterson.com</x:v>
      </x:c>
      <x:c r="D291" s="34" t="str"/>
      <x:c r="E291" s="34" t="str"/>
      <x:c r="F291" s="40" t="n">
        <x:v>46231.63197916667</x:v>
      </x:c>
      <x:c r="G291" s="34" t="str">
        <x:v>Registrado</x:v>
      </x:c>
      <x:c r="H291" s="34" t="str">
        <x:v>No</x:v>
      </x:c>
      <x:c r="I291" s="42"/>
      <x:c r="J291" s="42"/>
      <x:c r="K291" s="34" t="str"/>
      <x:c r="L291" s="34" t="str">
        <x:v>INTERNAL</x:v>
      </x:c>
    </x:row>
    <x:row r="292">
      <x:c r="A292" s="34" t="str">
        <x:v>Internal - Control Union / Peterson</x:v>
      </x:c>
      <x:c r="B292" s="34" t="str">
        <x:v>Jean Carlo Rivera</x:v>
      </x:c>
      <x:c r="C292" s="34" t="str">
        <x:v>jrivera@controlunion.com</x:v>
      </x:c>
      <x:c r="D292" s="34" t="str">
        <x:v>Control Union</x:v>
      </x:c>
      <x:c r="E292" s="34" t="str">
        <x:v>Peru</x:v>
      </x:c>
      <x:c r="F292" s="40" t="n">
        <x:v>46252.73453703704</x:v>
      </x:c>
      <x:c r="G292" s="34" t="str">
        <x:v>Registrado</x:v>
      </x:c>
      <x:c r="H292" s="34" t="str">
        <x:v>No</x:v>
      </x:c>
      <x:c r="I292" s="42"/>
      <x:c r="J292" s="42"/>
      <x:c r="K292" s="34" t="str"/>
      <x:c r="L292" s="34" t="str">
        <x:v>INTERNAL</x:v>
      </x:c>
    </x:row>
    <x:row r="293">
      <x:c r="A293" s="34" t="str">
        <x:v>Internal - Control Union / Peterson</x:v>
      </x:c>
      <x:c r="B293" s="34" t="str">
        <x:v>Luis Antonio Miret Pavon</x:v>
      </x:c>
      <x:c r="C293" s="34" t="str">
        <x:v>lmiret@onepeterson.com</x:v>
      </x:c>
      <x:c r="D293" s="34" t="str">
        <x:v>Pererson Paraguay S.A</x:v>
      </x:c>
      <x:c r="E293" s="34" t="str">
        <x:v>Paraguay</x:v>
      </x:c>
      <x:c r="F293" s="40" t="n">
        <x:v>46241.50221064815</x:v>
      </x:c>
      <x:c r="G293" s="34" t="str">
        <x:v>Registrado</x:v>
      </x:c>
      <x:c r="H293" s="34" t="str">
        <x:v>No</x:v>
      </x:c>
      <x:c r="I293" s="42"/>
      <x:c r="J293" s="42"/>
      <x:c r="K293" s="34" t="str"/>
      <x:c r="L293" s="34" t="str">
        <x:v>INTERNAL</x:v>
      </x:c>
    </x:row>
    <x:row r="294">
      <x:c r="A294" s="34" t="str">
        <x:v>Internal - Control Union / Peterson</x:v>
      </x:c>
      <x:c r="B294" s="34" t="str">
        <x:v>Martha Elena QQUELLON PALACIOS</x:v>
      </x:c>
      <x:c r="C294" s="34" t="str">
        <x:v>mqquellon@controlunion.com</x:v>
      </x:c>
      <x:c r="D294" s="34" t="str">
        <x:v>CONTROL UNION SERVICES SAC</x:v>
      </x:c>
      <x:c r="E294" s="34" t="str">
        <x:v>Perú</x:v>
      </x:c>
      <x:c r="F294" s="40" t="n">
        <x:v>46253.560069444444</x:v>
      </x:c>
      <x:c r="G294" s="34" t="str">
        <x:v>Registrado</x:v>
      </x:c>
      <x:c r="H294" s="34" t="str">
        <x:v>No</x:v>
      </x:c>
      <x:c r="I294" s="42"/>
      <x:c r="J294" s="42"/>
      <x:c r="K294" s="34" t="str"/>
      <x:c r="L294" s="34" t="str">
        <x:v>INTERNAL</x:v>
      </x:c>
    </x:row>
    <x:row r="295">
      <x:c r="A295" s="34" t="str">
        <x:v>Internal - Control Union / Peterson</x:v>
      </x:c>
      <x:c r="B295" s="34" t="str">
        <x:v>Martin Continanza</x:v>
      </x:c>
      <x:c r="C295" s="34" t="str">
        <x:v>mcontinanza@controlunion.com</x:v>
      </x:c>
      <x:c r="D295" s="34" t="str">
        <x:v>Control Union</x:v>
      </x:c>
      <x:c r="E295" s="34" t="str">
        <x:v>Argentina</x:v>
      </x:c>
      <x:c r="F295" s="40" t="n">
        <x:v>46237.66677083333</x:v>
      </x:c>
      <x:c r="G295" s="34" t="str">
        <x:v>Registrado</x:v>
      </x:c>
      <x:c r="H295" s="34" t="str">
        <x:v>No</x:v>
      </x:c>
      <x:c r="I295" s="42"/>
      <x:c r="J295" s="42"/>
      <x:c r="K295" s="34" t="str"/>
      <x:c r="L295" s="34" t="str">
        <x:v>INTERNAL</x:v>
      </x:c>
    </x:row>
    <x:row r="296">
      <x:c r="A296" s="34" t="str">
        <x:v>Internal - Control Union / Peterson</x:v>
      </x:c>
      <x:c r="B296" s="34" t="str">
        <x:v>Micaela Albornoz</x:v>
      </x:c>
      <x:c r="C296" s="34" t="str">
        <x:v>malborboz@controlunion.com</x:v>
      </x:c>
      <x:c r="D296" s="34" t="str">
        <x:v>Control Union</x:v>
      </x:c>
      <x:c r="E296" s="34" t="str">
        <x:v>Argentina</x:v>
      </x:c>
      <x:c r="F296" s="40" t="n">
        <x:v>46253.443020833336</x:v>
      </x:c>
      <x:c r="G296" s="34" t="str">
        <x:v>Registrado</x:v>
      </x:c>
      <x:c r="H296" s="34" t="str">
        <x:v>No</x:v>
      </x:c>
      <x:c r="I296" s="42"/>
      <x:c r="J296" s="42"/>
      <x:c r="K296" s="34" t="str"/>
      <x:c r="L296" s="34" t="str">
        <x:v>INTERNAL</x:v>
      </x:c>
    </x:row>
    <x:row r="297">
      <x:c r="A297" s="34" t="str">
        <x:v>Internal - Control Union / Peterson</x:v>
      </x:c>
      <x:c r="B297" s="34" t="str">
        <x:v>Mónica Collazo González</x:v>
      </x:c>
      <x:c r="C297" s="34" t="str">
        <x:v>monitacollazo@gmail.com</x:v>
      </x:c>
      <x:c r="D297" s="34" t="str">
        <x:v>Control union</x:v>
      </x:c>
      <x:c r="E297" s="34" t="str">
        <x:v>Uruguay</x:v>
      </x:c>
      <x:c r="F297" s="40" t="n">
        <x:v>46259.87472222222</x:v>
      </x:c>
      <x:c r="G297" s="34" t="str">
        <x:v>Registrado</x:v>
      </x:c>
      <x:c r="H297" s="34" t="str">
        <x:v>No</x:v>
      </x:c>
      <x:c r="I297" s="42"/>
      <x:c r="J297" s="42"/>
      <x:c r="K297" s="34" t="str"/>
      <x:c r="L297" s="34" t="str">
        <x:v>INTERNAL</x:v>
      </x:c>
    </x:row>
    <x:row r="298">
      <x:c r="A298" s="34" t="str">
        <x:v>Internal - Control Union / Peterson</x:v>
      </x:c>
      <x:c r="B298" s="34" t="str">
        <x:v>Nora Amarilla</x:v>
      </x:c>
      <x:c r="C298" s="34" t="str">
        <x:v>namarilla@onepeterson.com</x:v>
      </x:c>
      <x:c r="D298" s="34" t="str">
        <x:v>Peterson</x:v>
      </x:c>
      <x:c r="E298" s="34" t="str">
        <x:v>Paraguay</x:v>
      </x:c>
      <x:c r="F298" s="40" t="n">
        <x:v>46246.66023148148</x:v>
      </x:c>
      <x:c r="G298" s="34" t="str">
        <x:v>Registrado</x:v>
      </x:c>
      <x:c r="H298" s="34" t="str">
        <x:v>No</x:v>
      </x:c>
      <x:c r="I298" s="42"/>
      <x:c r="J298" s="42"/>
      <x:c r="K298" s="34" t="str"/>
      <x:c r="L298" s="34" t="str">
        <x:v>INTERNAL</x:v>
      </x:c>
    </x:row>
    <x:row r="299">
      <x:c r="A299" s="34" t="str">
        <x:v>Internal - Control Union / Peterson</x:v>
      </x:c>
      <x:c r="B299" s="34" t="str">
        <x:v>Paulina García Zamora</x:v>
      </x:c>
      <x:c r="C299" s="34" t="str">
        <x:v>pgarcia@controlunion.com</x:v>
      </x:c>
      <x:c r="D299" s="34" t="str">
        <x:v>PCU Iberia</x:v>
      </x:c>
      <x:c r="E299" s="34" t="str">
        <x:v>España</x:v>
      </x:c>
      <x:c r="F299" s="40" t="n">
        <x:v>46250.48987268518</x:v>
      </x:c>
      <x:c r="G299" s="34" t="str">
        <x:v>Registrado</x:v>
      </x:c>
      <x:c r="H299" s="34" t="str">
        <x:v>No</x:v>
      </x:c>
      <x:c r="I299" s="42"/>
      <x:c r="J299" s="42"/>
      <x:c r="K299" s="34" t="str"/>
      <x:c r="L299" s="34" t="str">
        <x:v>INTERNAL</x:v>
      </x:c>
    </x:row>
    <x:row r="300">
      <x:c r="A300" s="34" t="str">
        <x:v>Internal - Control Union / Peterson</x:v>
      </x:c>
      <x:c r="B300" s="34" t="str">
        <x:v>Sandra Villalba</x:v>
      </x:c>
      <x:c r="C300" s="34" t="str">
        <x:v>svillalba@onepeterson.com</x:v>
      </x:c>
      <x:c r="D300" s="34" t="str">
        <x:v>PETERSON SOLUTIONS</x:v>
      </x:c>
      <x:c r="E300" s="34" t="str">
        <x:v>Paraguay</x:v>
      </x:c>
      <x:c r="F300" s="40" t="n">
        <x:v>46255.69453703704</x:v>
      </x:c>
      <x:c r="G300" s="34" t="str">
        <x:v>Registrado</x:v>
      </x:c>
      <x:c r="H300" s="34" t="str">
        <x:v>No</x:v>
      </x:c>
      <x:c r="I300" s="42"/>
      <x:c r="J300" s="42"/>
      <x:c r="K300" s="34" t="str"/>
      <x:c r="L300" s="34" t="str">
        <x:v>INTERNAL</x:v>
      </x:c>
    </x:row>
    <x:row r="301">
      <x:c r="A301" s="34" t="str">
        <x:v>Internal - Control Union / Peterson</x:v>
      </x:c>
      <x:c r="B301" s="34" t="str">
        <x:v>Scarlet Fernanda Zea Ramírez</x:v>
      </x:c>
      <x:c r="C301" s="34" t="str">
        <x:v>szea@controlunion.com</x:v>
      </x:c>
      <x:c r="D301" s="34" t="str">
        <x:v>CONTROL UNION PERU SAC</x:v>
      </x:c>
      <x:c r="E301" s="34" t="str">
        <x:v>Ecuador</x:v>
      </x:c>
      <x:c r="F301" s="40" t="n">
        <x:v>46254.67574074074</x:v>
      </x:c>
      <x:c r="G301" s="34" t="str">
        <x:v>Registrado</x:v>
      </x:c>
      <x:c r="H301" s="34" t="str">
        <x:v>No</x:v>
      </x:c>
      <x:c r="I301" s="42"/>
      <x:c r="J301" s="42"/>
      <x:c r="K301" s="34" t="str"/>
      <x:c r="L301" s="34" t="str">
        <x:v>INTERNAL</x:v>
      </x:c>
    </x:row>
  </x:sheetData>
  <x:mergeCells>
    <x:mergeCell ref="A1:L1"/>
    <x:mergeCell ref="A2:L2"/>
    <x:mergeCell ref="A3:C3"/>
    <x:mergeCell ref="A4:C4"/>
    <x:mergeCell ref="D3:F3"/>
    <x:mergeCell ref="D4:F4"/>
    <x:mergeCell ref="G3:I3"/>
    <x:mergeCell ref="G4:I4"/>
    <x:mergeCell ref="J3:L3"/>
    <x:mergeCell ref="J4:L4"/>
  </x:mergeCells>
  <x:conditionalFormatting sqref="A7:L301">
    <x:cfRule type="expression" dxfId="2" priority="1">
      <x:formula>$A7="Internal - Control Union / Peterson"</x:formula>
    </x:cfRule>
    <x:cfRule type="expression" dxfId="3" priority="2">
      <x:formula>$K7="HOT"</x:formula>
    </x:cfRule>
    <x:cfRule type="expression" dxfId="4" priority="3">
      <x:formula>$K7="WARM"</x:formula>
    </x:cfRule>
  </x:conditionalFormatting>
  <x:pageMargins left="0.7" right="0.7" top="0.75" bottom="0.75" header="0.3" footer="0.3"/>
  <x:tableParts count="1">
    <x:tablePart xmlns:r="http://schemas.openxmlformats.org/officeDocument/2006/relationships" r:id="R28807263b8ed4bb6"/>
  </x:tableParts>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32" hidden="0" customWidth="1"/>
    <x:col min="4" max="4" width="32" hidden="0" customWidth="1"/>
    <x:col min="5" max="5" width="34" hidden="0" customWidth="1"/>
    <x:col min="6" max="6" width="20" hidden="0" customWidth="1"/>
    <x:col min="7" max="7" width="13" hidden="0" customWidth="1"/>
    <x:col min="8" max="8" width="16" hidden="0" customWidth="1"/>
    <x:col min="9" max="9" width="15" hidden="0" customWidth="1"/>
    <x:col min="10" max="10" width="17" hidden="0" customWidth="1"/>
    <x:col min="11" max="11" width="12" hidden="0" customWidth="1"/>
    <x:col min="12" max="12" width="13" hidden="0" customWidth="1"/>
    <x:col min="13" max="13" width="14" hidden="0" customWidth="1"/>
    <x:col min="14" max="14" width="17" hidden="0" customWidth="1"/>
    <x:col min="15" max="15" width="11" hidden="0" customWidth="1"/>
    <x:col min="16" max="16" width="13" hidden="0" customWidth="1"/>
    <x:col min="17" max="17" width="58" hidden="0" customWidth="1"/>
    <x:col min="18" max="18" width="21" hidden="0" customWidth="1"/>
    <x:col min="19" max="19" width="21" hidden="0" customWidth="1"/>
    <x:col min="20" max="20" width="18" hidden="0" customWidth="1"/>
    <x:col min="21" max="21" width="14" hidden="0" customWidth="1"/>
    <x:col min="22" max="22" width="32" hidden="0" customWidth="1"/>
    <x:col min="23" max="23" width="32" hidden="0" customWidth="1"/>
    <x:col min="24" max="24" width="38" hidden="0" customWidth="1"/>
  </x:cols>
  <x:sheetData>
    <x:row r="1">
      <x:c r="A1" s="3" t="str">
        <x:v>Webinar EUDR | Asistentes</x:v>
      </x:c>
      <x:c r="B1" s="3"/>
      <x:c r="C1" s="3"/>
      <x:c r="D1" s="3"/>
      <x:c r="E1" s="3"/>
      <x:c r="F1" s="3"/>
      <x:c r="G1" s="3"/>
      <x:c r="H1" s="3"/>
      <x:c r="I1" s="3"/>
      <x:c r="J1" s="3"/>
      <x:c r="K1" s="3"/>
      <x:c r="L1" s="3"/>
      <x:c r="M1" s="3"/>
      <x:c r="N1" s="3"/>
      <x:c r="O1" s="3"/>
      <x:c r="P1" s="3"/>
      <x:c r="Q1" s="3"/>
      <x:c r="R1" s="3"/>
      <x:c r="S1" s="3"/>
      <x:c r="T1" s="3"/>
      <x:c r="U1" s="3"/>
      <x:c r="V1" s="3"/>
      <x:c r="W1" s="3"/>
      <x:c r="X1" s="3"/>
    </x:row>
    <x:row r="2">
      <x:c r="A2" s="10" t="str">
        <x:v>150 identified Teams attendee records (Teams summary: 152 attended, including 2 unidentified). External attendees first; Control Union / Peterson at the bottom. Score columns show the same commercial scoring used for leads.</x:v>
      </x:c>
      <x:c r="B2" s="10"/>
      <x:c r="C2" s="10"/>
      <x:c r="D2" s="10"/>
      <x:c r="E2" s="10"/>
      <x:c r="F2" s="10"/>
      <x:c r="G2" s="10"/>
      <x:c r="H2" s="10"/>
      <x:c r="I2" s="10"/>
      <x:c r="J2" s="10"/>
      <x:c r="K2" s="10"/>
      <x:c r="L2" s="10"/>
      <x:c r="M2" s="10"/>
      <x:c r="N2" s="10"/>
      <x:c r="O2" s="10"/>
      <x:c r="P2" s="10"/>
      <x:c r="Q2" s="10"/>
      <x:c r="R2" s="10"/>
      <x:c r="S2" s="10"/>
      <x:c r="T2" s="10"/>
      <x:c r="U2" s="10"/>
      <x:c r="V2" s="10"/>
      <x:c r="W2" s="10"/>
      <x:c r="X2" s="10"/>
    </x:row>
    <x:row r="3">
      <x:c r="A3" s="16" t="str">
        <x:v>Identified attendees</x:v>
      </x:c>
      <x:c r="B3" s="16"/>
      <x:c r="C3" s="16"/>
      <x:c r="E3" s="16" t="str">
        <x:v>External</x:v>
      </x:c>
      <x:c r="F3" s="16"/>
      <x:c r="G3" s="16"/>
      <x:c r="I3" s="16" t="str">
        <x:v>CU / Peterson</x:v>
      </x:c>
      <x:c r="J3" s="16"/>
      <x:c r="K3" s="16"/>
      <x:c r="M3" s="16" t="str">
        <x:v>HOT</x:v>
      </x:c>
      <x:c r="N3" s="16"/>
      <x:c r="O3" s="16"/>
      <x:c r="Q3" s="16" t="str">
        <x:v>WARM</x:v>
      </x:c>
      <x:c r="R3" s="16"/>
      <x:c r="S3" s="16"/>
      <x:c r="U3" s="16" t="str">
        <x:v>Unidentified</x:v>
      </x:c>
      <x:c r="V3" s="16"/>
      <x:c r="W3" s="16"/>
    </x:row>
    <x:row r="4">
      <x:c r="A4" s="22" t="n">
        <x:v>150</x:v>
      </x:c>
      <x:c r="B4" s="22"/>
      <x:c r="C4" s="22"/>
      <x:c r="E4" s="22" t="n">
        <x:v>117</x:v>
      </x:c>
      <x:c r="F4" s="22"/>
      <x:c r="G4" s="22"/>
      <x:c r="I4" s="22" t="n">
        <x:v>33</x:v>
      </x:c>
      <x:c r="J4" s="22"/>
      <x:c r="K4" s="22"/>
      <x:c r="M4" s="22" t="n">
        <x:v>1</x:v>
      </x:c>
      <x:c r="N4" s="22"/>
      <x:c r="O4" s="22"/>
      <x:c r="Q4" s="22" t="n">
        <x:v>26</x:v>
      </x:c>
      <x:c r="R4" s="22"/>
      <x:c r="S4" s="22"/>
      <x:c r="U4" s="22" t="n">
        <x:v>2</x:v>
      </x:c>
      <x:c r="V4" s="22"/>
      <x:c r="W4" s="22"/>
    </x:row>
    <x:row r="6">
      <x:c r="A6" s="28" t="str">
        <x:v>Priority</x:v>
      </x:c>
      <x:c r="B6" s="28" t="str">
        <x:v>Name</x:v>
      </x:c>
      <x:c r="C6" s="28" t="str">
        <x:v>Main Email</x:v>
      </x:c>
      <x:c r="D6" s="28" t="str">
        <x:v>Registration Email</x:v>
      </x:c>
      <x:c r="E6" s="28" t="str">
        <x:v>Company / Organization</x:v>
      </x:c>
      <x:c r="F6" s="28" t="str">
        <x:v>Country / Region</x:v>
      </x:c>
      <x:c r="G6" s="28" t="str">
        <x:v>Time (min)</x:v>
      </x:c>
      <x:c r="H6" s="28" t="str">
        <x:v>Attendance Points</x:v>
      </x:c>
      <x:c r="I6" s="28" t="str">
        <x:v>Duration Bonus</x:v>
      </x:c>
      <x:c r="J6" s="28" t="str">
        <x:v>Q&amp;A Interactions</x:v>
      </x:c>
      <x:c r="K6" s="28" t="str">
        <x:v>Camera On</x:v>
      </x:c>
      <x:c r="L6" s="28" t="str">
        <x:v>Hands Raised</x:v>
      </x:c>
      <x:c r="M6" s="28" t="str">
        <x:v>Audio Activated</x:v>
      </x:c>
      <x:c r="N6" s="28" t="str">
        <x:v>Engagement Clicks</x:v>
      </x:c>
      <x:c r="O6" s="28" t="str">
        <x:v>Score</x:v>
      </x:c>
      <x:c r="P6" s="28" t="str">
        <x:v>Lead Tier</x:v>
      </x:c>
      <x:c r="Q6" s="28" t="str">
        <x:v>Questions / Q&amp;A</x:v>
      </x:c>
      <x:c r="R6" s="28" t="str">
        <x:v>First Entry</x:v>
      </x:c>
      <x:c r="S6" s="28" t="str">
        <x:v>Last Exit</x:v>
      </x:c>
      <x:c r="T6" s="28" t="str">
        <x:v>Teams Duration</x:v>
      </x:c>
      <x:c r="U6" s="28" t="str">
        <x:v>Role</x:v>
      </x:c>
      <x:c r="V6" s="28" t="str">
        <x:v>Teams Email</x:v>
      </x:c>
      <x:c r="W6" s="28" t="str">
        <x:v>UPN</x:v>
      </x:c>
      <x:c r="X6" s="28" t="str">
        <x:v>Identity / Data Note</x:v>
      </x:c>
    </x:row>
    <x:row r="7">
      <x:c r="A7" s="36" t="str">
        <x:v>External</x:v>
      </x:c>
      <x:c r="B7" s="36" t="str">
        <x:v>Darlin Mejia</x:v>
      </x:c>
      <x:c r="C7" s="36" t="str">
        <x:v>dcmejia@pantaleon.com</x:v>
      </x:c>
      <x:c r="D7" s="36" t="str">
        <x:v>dcmejia@pantaleon.com</x:v>
      </x:c>
      <x:c r="E7" s="36" t="str">
        <x:v>Pantaleon S.A.</x:v>
      </x:c>
      <x:c r="F7" s="36" t="str">
        <x:v>Guatemala</x:v>
      </x:c>
      <x:c r="G7" s="38" t="n">
        <x:v>37.6</x:v>
      </x:c>
      <x:c r="H7" s="38" t="n">
        <x:v>3</x:v>
      </x:c>
      <x:c r="I7" s="38" t="n">
        <x:f>IF(G7&gt;50,2,IF(G7&gt;30,1,0))</x:f>
        <x:v>1</x:v>
      </x:c>
      <x:c r="J7" s="38" t="n">
        <x:v>5</x:v>
      </x:c>
      <x:c r="K7" s="38" t="n">
        <x:v>0</x:v>
      </x:c>
      <x:c r="L7" s="38" t="n">
        <x:v>0</x:v>
      </x:c>
      <x:c r="M7" s="38" t="n">
        <x:v>0</x:v>
      </x:c>
      <x:c r="N7" s="38" t="n">
        <x:f>SUM(J7:M7)</x:f>
        <x:v>5</x:v>
      </x:c>
      <x:c r="O7" s="38" t="n">
        <x:f>H7+I7+N7</x:f>
        <x:v>9</x:v>
      </x:c>
      <x:c r="P7" s="36" t="str">
        <x:f>IF(A7="Internal - Control Union / Peterson","INTERNAL",IF(O7&gt;=8,"HOT",IF(O7&gt;=5,"WARM","COLD")))</x:f>
        <x:v>HOT</x:v>
      </x:c>
      <x:c r="Q7" s="36" t="str">
        <x:v>[12:23] Reply: Hola buen día, una consulta, respecto a los ingenios, que el tema de segregación física en el procesamiento seria complejo, como lo ven desde el punto de vista de trazabilidad?
[12:42] Reply: Esta plataforma es solo herramienta de Peterson o forma parte de alguna certificación?
[12:44] Discussion: Hola buen día, una consulta, respecto a los ingenios, que el tema de segregación física en el procesamiento seria complejo, como lo ven desde el punto de vista de trazabilidad?
[12:44] Discussion: Esta plataforma es solo herramienta de Peterson o forma parte de alguna certificación?
[12:47] Question: El operador o trader es quien implementa la due dilegence?</x:v>
      </x:c>
      <x:c r="R7" s="44" t="n">
        <x:v>46260.50765046296</x:v>
      </x:c>
      <x:c r="S7" s="44" t="n">
        <x:v>46260.53377314815</x:v>
      </x:c>
      <x:c r="T7" s="36" t="str">
        <x:v>37 min 36s</x:v>
      </x:c>
      <x:c r="U7" s="36" t="str">
        <x:v>Asistente</x:v>
      </x:c>
      <x:c r="V7" s="36" t="str">
        <x:v>dcmejia@pantaleon.com</x:v>
      </x:c>
      <x:c r="W7" s="36" t="str">
        <x:v>100679@pantaleon.com</x:v>
      </x:c>
      <x:c r="X7" s="36" t="str"/>
    </x:row>
    <x:row r="8">
      <x:c r="A8" s="36" t="str">
        <x:v>External</x:v>
      </x:c>
      <x:c r="B8" s="36" t="str">
        <x:v>Gianella Lizbeth Carrion Vega</x:v>
      </x:c>
      <x:c r="C8" s="36" t="str">
        <x:v>merci@origincoffeelab.com</x:v>
      </x:c>
      <x:c r="D8" s="36" t="str">
        <x:v>merci@origincoffeelab.com</x:v>
      </x:c>
      <x:c r="E8" s="36" t="str">
        <x:v>Asociación de Productores Agroecológicos Origin Coffee Lab</x:v>
      </x:c>
      <x:c r="F8" s="36" t="str">
        <x:v>Cajamarca</x:v>
      </x:c>
      <x:c r="G8" s="38" t="n">
        <x:v>103.12</x:v>
      </x:c>
      <x:c r="H8" s="38" t="n">
        <x:v>3</x:v>
      </x:c>
      <x:c r="I8" s="38" t="n">
        <x:f>IF(G8&gt;50,2,IF(G8&gt;30,1,0))</x:f>
        <x:v>2</x:v>
      </x:c>
      <x:c r="J8" s="38" t="n">
        <x:v>0</x:v>
      </x:c>
      <x:c r="K8" s="38" t="n">
        <x:v>0</x:v>
      </x:c>
      <x:c r="L8" s="38" t="n">
        <x:v>0</x:v>
      </x:c>
      <x:c r="M8" s="38" t="n">
        <x:v>1</x:v>
      </x:c>
      <x:c r="N8" s="38" t="n">
        <x:f>SUM(J8:M8)</x:f>
        <x:v>1</x:v>
      </x:c>
      <x:c r="O8" s="38" t="n">
        <x:f>H8+I8+N8</x:f>
        <x:v>6</x:v>
      </x:c>
      <x:c r="P8" s="36" t="str">
        <x:f>IF(A8="Internal - Control Union / Peterson","INTERNAL",IF(O8&gt;=8,"HOT",IF(O8&gt;=5,"WARM","COLD")))</x:f>
        <x:v>WARM</x:v>
      </x:c>
      <x:c r="Q8" s="36" t="str"/>
      <x:c r="R8" s="44" t="n">
        <x:v>46260.46207175926</x:v>
      </x:c>
      <x:c r="S8" s="44" t="n">
        <x:v>46260.533680555556</x:v>
      </x:c>
      <x:c r="T8" s="36" t="str">
        <x:v>1 h 43 min 7s</x:v>
      </x:c>
      <x:c r="U8" s="36" t="str">
        <x:v>Asistente</x:v>
      </x:c>
      <x:c r="V8" s="36" t="str"/>
      <x:c r="W8" s="36" t="str"/>
      <x:c r="X8" s="36" t="str">
        <x:v>Guest/unverified Teams identity.</x:v>
      </x:c>
    </x:row>
    <x:row r="9">
      <x:c r="A9" s="36" t="str">
        <x:v>External</x:v>
      </x:c>
      <x:c r="B9" s="36" t="str">
        <x:v>Branlyn Teran Ostaiza (Externo)</x:v>
      </x:c>
      <x:c r="C9" s="36" t="str">
        <x:v>branlyn.teranostaiza@ecomgroup.com</x:v>
      </x:c>
      <x:c r="D9" s="36" t="str">
        <x:v>branlyn_76@hotmail.com</x:v>
      </x:c>
      <x:c r="E9" s="36" t="str">
        <x:v>Ecom</x:v>
      </x:c>
      <x:c r="F9" s="36" t="str">
        <x:v>Ecuador</x:v>
      </x:c>
      <x:c r="G9" s="38" t="n">
        <x:v>56.35</x:v>
      </x:c>
      <x:c r="H9" s="38" t="n">
        <x:v>3</x:v>
      </x:c>
      <x:c r="I9" s="38" t="n">
        <x:f>IF(G9&gt;50,2,IF(G9&gt;30,1,0))</x:f>
        <x:v>2</x:v>
      </x:c>
      <x:c r="J9" s="38" t="n">
        <x:v>1</x:v>
      </x:c>
      <x:c r="K9" s="38" t="n">
        <x:v>0</x:v>
      </x:c>
      <x:c r="L9" s="38" t="n">
        <x:v>0</x:v>
      </x:c>
      <x:c r="M9" s="38" t="n">
        <x:v>0</x:v>
      </x:c>
      <x:c r="N9" s="38" t="n">
        <x:f>SUM(J9:M9)</x:f>
        <x:v>1</x:v>
      </x:c>
      <x:c r="O9" s="38" t="n">
        <x:f>H9+I9+N9</x:f>
        <x:v>6</x:v>
      </x:c>
      <x:c r="P9" s="36" t="str">
        <x:f>IF(A9="Internal - Control Union / Peterson","INTERNAL",IF(O9&gt;=8,"HOT",IF(O9&gt;=5,"WARM","COLD")))</x:f>
        <x:v>WARM</x:v>
      </x:c>
      <x:c r="Q9" s="36" t="str">
        <x:v>[12:44] Question: SI ya tengo una parcela que fue deforestada luego de la fecha limite, cual seria el plan de remediacion?</x:v>
      </x:c>
      <x:c r="R9" s="44" t="n">
        <x:v>46260.49511574074</x:v>
      </x:c>
      <x:c r="S9" s="44" t="n">
        <x:v>46260.53425925926</x:v>
      </x:c>
      <x:c r="T9" s="36" t="str">
        <x:v>56 min 21s</x:v>
      </x:c>
      <x:c r="U9" s="36" t="str">
        <x:v>Asistente</x:v>
      </x:c>
      <x:c r="V9" s="36" t="str">
        <x:v>branlyn.teranostaiza@ecomgroup.com</x:v>
      </x:c>
      <x:c r="W9" s="36" t="str">
        <x:v>branlyn.teranostaiza@ecomgroup.com</x:v>
      </x:c>
      <x:c r="X9" s="36" t="str">
        <x:v>Teams identity email differs from registration email.</x:v>
      </x:c>
    </x:row>
    <x:row r="10">
      <x:c r="A10" s="36" t="str">
        <x:v>External</x:v>
      </x:c>
      <x:c r="B10" s="36" t="str">
        <x:v>Juan David Moreno (Externo)</x:v>
      </x:c>
      <x:c r="C10" s="36" t="str">
        <x:v>dircalidad@siesas.com.co</x:v>
      </x:c>
      <x:c r="D10" s="36" t="str">
        <x:v>dircalidad@siesas.com.co</x:v>
      </x:c>
      <x:c r="E10" s="36" t="str">
        <x:v>Oleaginosas San Marcos S.A</x:v>
      </x:c>
      <x:c r="F10" s="36" t="str">
        <x:v>Colombia</x:v>
      </x:c>
      <x:c r="G10" s="38" t="n">
        <x:v>53.08</x:v>
      </x:c>
      <x:c r="H10" s="38" t="n">
        <x:v>3</x:v>
      </x:c>
      <x:c r="I10" s="38" t="n">
        <x:f>IF(G10&gt;50,2,IF(G10&gt;30,1,0))</x:f>
        <x:v>2</x:v>
      </x:c>
      <x:c r="J10" s="38" t="n">
        <x:v>0</x:v>
      </x:c>
      <x:c r="K10" s="38" t="n">
        <x:v>0</x:v>
      </x:c>
      <x:c r="L10" s="38" t="n">
        <x:v>0</x:v>
      </x:c>
      <x:c r="M10" s="38" t="n">
        <x:v>1</x:v>
      </x:c>
      <x:c r="N10" s="38" t="n">
        <x:f>SUM(J10:M10)</x:f>
        <x:v>1</x:v>
      </x:c>
      <x:c r="O10" s="38" t="n">
        <x:f>H10+I10+N10</x:f>
        <x:v>6</x:v>
      </x:c>
      <x:c r="P10" s="36" t="str">
        <x:f>IF(A10="Internal - Control Union / Peterson","INTERNAL",IF(O10&gt;=8,"HOT",IF(O10&gt;=5,"WARM","COLD")))</x:f>
        <x:v>WARM</x:v>
      </x:c>
      <x:c r="Q10" s="36" t="str"/>
      <x:c r="R10" s="44" t="n">
        <x:v>46260.497453703705</x:v>
      </x:c>
      <x:c r="S10" s="44" t="n">
        <x:v>46260.5375</x:v>
      </x:c>
      <x:c r="T10" s="36" t="str">
        <x:v>53 min 5s</x:v>
      </x:c>
      <x:c r="U10" s="36" t="str">
        <x:v>Asistente</x:v>
      </x:c>
      <x:c r="V10" s="36" t="str">
        <x:v>dircalidad@siesas.com.co</x:v>
      </x:c>
      <x:c r="W10" s="36" t="str">
        <x:v>dircalidad@siesas.com.co</x:v>
      </x:c>
      <x:c r="X10" s="36" t="str"/>
    </x:row>
    <x:row r="11">
      <x:c r="A11" s="36" t="str">
        <x:v>External</x:v>
      </x:c>
      <x:c r="B11" s="36" t="str">
        <x:v>Marco Coscione (No comprobado)</x:v>
      </x:c>
      <x:c r="C11" s="36" t="str">
        <x:v>marco.coscione@gmail.com</x:v>
      </x:c>
      <x:c r="D11" s="36" t="str">
        <x:v>marco.coscione@gmail.com</x:v>
      </x:c>
      <x:c r="E11" s="36" t="str">
        <x:v>Funglode</x:v>
      </x:c>
      <x:c r="F11" s="36" t="str">
        <x:v>República Dominicana</x:v>
      </x:c>
      <x:c r="G11" s="38" t="n">
        <x:v>50.42</x:v>
      </x:c>
      <x:c r="H11" s="38" t="n">
        <x:v>3</x:v>
      </x:c>
      <x:c r="I11" s="38" t="n">
        <x:f>IF(G11&gt;50,2,IF(G11&gt;30,1,0))</x:f>
        <x:v>2</x:v>
      </x:c>
      <x:c r="J11" s="38" t="n">
        <x:v>0</x:v>
      </x:c>
      <x:c r="K11" s="38" t="n">
        <x:v>0</x:v>
      </x:c>
      <x:c r="L11" s="38" t="n">
        <x:v>1</x:v>
      </x:c>
      <x:c r="M11" s="38" t="n">
        <x:v>0</x:v>
      </x:c>
      <x:c r="N11" s="38" t="n">
        <x:f>SUM(J11:M11)</x:f>
        <x:v>1</x:v>
      </x:c>
      <x:c r="O11" s="38" t="n">
        <x:f>H11+I11+N11</x:f>
        <x:v>6</x:v>
      </x:c>
      <x:c r="P11" s="36" t="str">
        <x:f>IF(A11="Internal - Control Union / Peterson","INTERNAL",IF(O11&gt;=8,"HOT",IF(O11&gt;=5,"WARM","COLD")))</x:f>
        <x:v>WARM</x:v>
      </x:c>
      <x:c r="Q11" s="36" t="str"/>
      <x:c r="R11" s="44" t="n">
        <x:v>46260.49847222222</x:v>
      </x:c>
      <x:c r="S11" s="44" t="n">
        <x:v>46260.533483796295</x:v>
      </x:c>
      <x:c r="T11" s="36" t="str">
        <x:v>50 min 25s</x:v>
      </x:c>
      <x:c r="U11" s="36" t="str">
        <x:v>Asistente</x:v>
      </x:c>
      <x:c r="V11" s="36" t="str"/>
      <x:c r="W11" s="36" t="str"/>
      <x:c r="X11" s="36" t="str">
        <x:v>Guest/unverified Teams identity.</x:v>
      </x:c>
    </x:row>
    <x:row r="12">
      <x:c r="A12" s="36" t="str">
        <x:v>External</x:v>
      </x:c>
      <x:c r="B12" s="36" t="str">
        <x:v>Alejandro (No comprobado)</x:v>
      </x:c>
      <x:c r="C12" s="36" t="str">
        <x:v>ian.alejandro@gmail.com</x:v>
      </x:c>
      <x:c r="D12" s="36" t="str">
        <x:v>ian.alejandro@gmail.com</x:v>
      </x:c>
      <x:c r="E12" s="36" t="str">
        <x:v>Produtor Aguacate Hass</x:v>
      </x:c>
      <x:c r="F12" s="36" t="str">
        <x:v>mexico</x:v>
      </x:c>
      <x:c r="G12" s="38" t="n">
        <x:v>50.22</x:v>
      </x:c>
      <x:c r="H12" s="38" t="n">
        <x:v>3</x:v>
      </x:c>
      <x:c r="I12" s="38" t="n">
        <x:f>IF(G12&gt;50,2,IF(G12&gt;30,1,0))</x:f>
        <x:v>2</x:v>
      </x:c>
      <x:c r="J12" s="38" t="n">
        <x:v>0</x:v>
      </x:c>
      <x:c r="K12" s="38" t="n">
        <x:v>0</x:v>
      </x:c>
      <x:c r="L12" s="38" t="n">
        <x:v>0</x:v>
      </x:c>
      <x:c r="M12" s="38" t="n">
        <x:v>1</x:v>
      </x:c>
      <x:c r="N12" s="38" t="n">
        <x:f>SUM(J12:M12)</x:f>
        <x:v>1</x:v>
      </x:c>
      <x:c r="O12" s="38" t="n">
        <x:f>H12+I12+N12</x:f>
        <x:v>6</x:v>
      </x:c>
      <x:c r="P12" s="36" t="str">
        <x:f>IF(A12="Internal - Control Union / Peterson","INTERNAL",IF(O12&gt;=8,"HOT",IF(O12&gt;=5,"WARM","COLD")))</x:f>
        <x:v>WARM</x:v>
      </x:c>
      <x:c r="Q12" s="36" t="str"/>
      <x:c r="R12" s="44" t="n">
        <x:v>46260.498923611114</x:v>
      </x:c>
      <x:c r="S12" s="44" t="n">
        <x:v>46260.53380787037</x:v>
      </x:c>
      <x:c r="T12" s="36" t="str">
        <x:v>50 min 13s</x:v>
      </x:c>
      <x:c r="U12" s="36" t="str">
        <x:v>Asistente</x:v>
      </x:c>
      <x:c r="V12" s="36" t="str"/>
      <x:c r="W12" s="36" t="str"/>
      <x:c r="X12" s="36" t="str">
        <x:v>Guest/unverified Teams identity.</x:v>
      </x:c>
    </x:row>
    <x:row r="13">
      <x:c r="A13" s="36" t="str">
        <x:v>External</x:v>
      </x:c>
      <x:c r="B13" s="36" t="str">
        <x:v>carlos calo</x:v>
      </x:c>
      <x:c r="C13" s="36" t="str">
        <x:v>carloscalo83@hotmail.com</x:v>
      </x:c>
      <x:c r="D13" s="36" t="str">
        <x:v>carloscalo83@hotmail.com</x:v>
      </x:c>
      <x:c r="E13" s="36" t="str">
        <x:v>Service corp trading</x:v>
      </x:c>
      <x:c r="F13" s="36" t="str">
        <x:v>Argentina</x:v>
      </x:c>
      <x:c r="G13" s="38" t="n">
        <x:v>43.2</x:v>
      </x:c>
      <x:c r="H13" s="38" t="n">
        <x:v>3</x:v>
      </x:c>
      <x:c r="I13" s="38" t="n">
        <x:f>IF(G13&gt;50,2,IF(G13&gt;30,1,0))</x:f>
        <x:v>1</x:v>
      </x:c>
      <x:c r="J13" s="38" t="n">
        <x:v>0</x:v>
      </x:c>
      <x:c r="K13" s="38" t="n">
        <x:v>0</x:v>
      </x:c>
      <x:c r="L13" s="38" t="n">
        <x:v>0</x:v>
      </x:c>
      <x:c r="M13" s="38" t="n">
        <x:v>2</x:v>
      </x:c>
      <x:c r="N13" s="38" t="n">
        <x:f>SUM(J13:M13)</x:f>
        <x:v>2</x:v>
      </x:c>
      <x:c r="O13" s="38" t="n">
        <x:f>H13+I13+N13</x:f>
        <x:v>6</x:v>
      </x:c>
      <x:c r="P13" s="36" t="str">
        <x:f>IF(A13="Internal - Control Union / Peterson","INTERNAL",IF(O13&gt;=8,"HOT",IF(O13&gt;=5,"WARM","COLD")))</x:f>
        <x:v>WARM</x:v>
      </x:c>
      <x:c r="Q13" s="36" t="str"/>
      <x:c r="R13" s="44" t="n">
        <x:v>46260.4978125</x:v>
      </x:c>
      <x:c r="S13" s="44" t="n">
        <x:v>46260.53375</x:v>
      </x:c>
      <x:c r="T13" s="36" t="str">
        <x:v>43 min 12s</x:v>
      </x:c>
      <x:c r="U13" s="36" t="str">
        <x:v>Asistente</x:v>
      </x:c>
      <x:c r="V13" s="36" t="str"/>
      <x:c r="W13" s="36" t="str"/>
      <x:c r="X13" s="36" t="str">
        <x:v>Guest/unverified Teams identity.</x:v>
      </x:c>
    </x:row>
    <x:row r="14">
      <x:c r="A14" s="36" t="str">
        <x:v>External</x:v>
      </x:c>
      <x:c r="B14" s="36" t="str">
        <x:v>Wilber Gutierrez Usedo</x:v>
      </x:c>
      <x:c r="C14" s="36" t="str">
        <x:v>wilber.g@ofi.com</x:v>
      </x:c>
      <x:c r="D14" s="36" t="str">
        <x:v>wilber.g@ofi.com</x:v>
      </x:c>
      <x:c r="E14" s="36" t="str">
        <x:v>Olam Agro Peru SAC</x:v>
      </x:c>
      <x:c r="F14" s="36" t="str">
        <x:v>Peru</x:v>
      </x:c>
      <x:c r="G14" s="38" t="n">
        <x:v>40.23</x:v>
      </x:c>
      <x:c r="H14" s="38" t="n">
        <x:v>3</x:v>
      </x:c>
      <x:c r="I14" s="38" t="n">
        <x:f>IF(G14&gt;50,2,IF(G14&gt;30,1,0))</x:f>
        <x:v>1</x:v>
      </x:c>
      <x:c r="J14" s="38" t="n">
        <x:v>1</x:v>
      </x:c>
      <x:c r="K14" s="38" t="n">
        <x:v>0</x:v>
      </x:c>
      <x:c r="L14" s="38" t="n">
        <x:v>0</x:v>
      </x:c>
      <x:c r="M14" s="38" t="n">
        <x:v>1</x:v>
      </x:c>
      <x:c r="N14" s="38" t="n">
        <x:f>SUM(J14:M14)</x:f>
        <x:v>2</x:v>
      </x:c>
      <x:c r="O14" s="38" t="n">
        <x:f>H14+I14+N14</x:f>
        <x:v>6</x:v>
      </x:c>
      <x:c r="P14" s="36" t="str">
        <x:f>IF(A14="Internal - Control Union / Peterson","INTERNAL",IF(O14&gt;=8,"HOT",IF(O14&gt;=5,"WARM","COLD")))</x:f>
        <x:v>WARM</x:v>
      </x:c>
      <x:c r="Q14" s="36" t="str">
        <x:v>[12:19] Question: Es obligatorio para todos los importadores de la UE pedir la DDD? o puede un importador no solicitar la DDD?.</x:v>
      </x:c>
      <x:c r="R14" s="44" t="n">
        <x:v>46260.45949074074</x:v>
      </x:c>
      <x:c r="S14" s="44" t="n">
        <x:v>46260.53377314815</x:v>
      </x:c>
      <x:c r="T14" s="36" t="str">
        <x:v>40 min 14s</x:v>
      </x:c>
      <x:c r="U14" s="36" t="str">
        <x:v>Asistente</x:v>
      </x:c>
      <x:c r="V14" s="36" t="str">
        <x:v>wilber.g@ofi.com</x:v>
      </x:c>
      <x:c r="W14" s="36" t="str">
        <x:v>wilber.g@ofi.com</x:v>
      </x:c>
      <x:c r="X14" s="36" t="str"/>
    </x:row>
    <x:row r="15">
      <x:c r="A15" s="36" t="str">
        <x:v>External</x:v>
      </x:c>
      <x:c r="B15" s="36" t="str">
        <x:v>Alexandra Morocho (No comprobado)</x:v>
      </x:c>
      <x:c r="C15" s="36" t="str">
        <x:v>agricolaelrecuerdof@aol.com</x:v>
      </x:c>
      <x:c r="D15" s="36" t="str">
        <x:v>agricolaelrecuerdof@aol.com</x:v>
      </x:c>
      <x:c r="E15" s="36" t="str">
        <x:v>banano</x:v>
      </x:c>
      <x:c r="F15" s="36" t="str">
        <x:v>costa</x:v>
      </x:c>
      <x:c r="G15" s="38" t="n">
        <x:v>98.38</x:v>
      </x:c>
      <x:c r="H15" s="38" t="n">
        <x:v>3</x:v>
      </x:c>
      <x:c r="I15" s="38" t="n">
        <x:f>IF(G15&gt;50,2,IF(G15&gt;30,1,0))</x:f>
        <x:v>2</x:v>
      </x:c>
      <x:c r="J15" s="38" t="n">
        <x:v>0</x:v>
      </x:c>
      <x:c r="K15" s="38" t="n">
        <x:v>0</x:v>
      </x:c>
      <x:c r="L15" s="38" t="n">
        <x:v>0</x:v>
      </x:c>
      <x:c r="M15" s="38" t="n">
        <x:v>0</x:v>
      </x:c>
      <x:c r="N15" s="38" t="n">
        <x:f>SUM(J15:M15)</x:f>
        <x:v>0</x:v>
      </x:c>
      <x:c r="O15" s="38" t="n">
        <x:f>H15+I15+N15</x:f>
        <x:v>5</x:v>
      </x:c>
      <x:c r="P15" s="36" t="str">
        <x:f>IF(A15="Internal - Control Union / Peterson","INTERNAL",IF(O15&gt;=8,"HOT",IF(O15&gt;=5,"WARM","COLD")))</x:f>
        <x:v>WARM</x:v>
      </x:c>
      <x:c r="Q15" s="36" t="str"/>
      <x:c r="R15" s="44" t="n">
        <x:v>46260.46543981481</x:v>
      </x:c>
      <x:c r="S15" s="44" t="n">
        <x:v>46260.53377314815</x:v>
      </x:c>
      <x:c r="T15" s="36" t="str">
        <x:v>1 h 38 min 23s</x:v>
      </x:c>
      <x:c r="U15" s="36" t="str">
        <x:v>Asistente</x:v>
      </x:c>
      <x:c r="V15" s="36" t="str"/>
      <x:c r="W15" s="36" t="str"/>
      <x:c r="X15" s="36" t="str">
        <x:v>Guest/unverified Teams identity.</x:v>
      </x:c>
    </x:row>
    <x:row r="16">
      <x:c r="A16" s="36" t="str">
        <x:v>External</x:v>
      </x:c>
      <x:c r="B16" s="36" t="str">
        <x:v>Angela Espinoza</x:v>
      </x:c>
      <x:c r="C16" s="36" t="str">
        <x:v>angelaespinozaperez@ymail.com</x:v>
      </x:c>
      <x:c r="D16" s="36" t="str">
        <x:v>angelaespinozaperez@ymail.com</x:v>
      </x:c>
      <x:c r="E16" s="36" t="str">
        <x:v>Empresa</x:v>
      </x:c>
      <x:c r="F16" s="36" t="str">
        <x:v>Ecuador</x:v>
      </x:c>
      <x:c r="G16" s="38" t="n">
        <x:v>96</x:v>
      </x:c>
      <x:c r="H16" s="38" t="n">
        <x:v>3</x:v>
      </x:c>
      <x:c r="I16" s="38" t="n">
        <x:f>IF(G16&gt;50,2,IF(G16&gt;30,1,0))</x:f>
        <x:v>2</x:v>
      </x:c>
      <x:c r="J16" s="38" t="n">
        <x:v>0</x:v>
      </x:c>
      <x:c r="K16" s="38" t="n">
        <x:v>0</x:v>
      </x:c>
      <x:c r="L16" s="38" t="n">
        <x:v>0</x:v>
      </x:c>
      <x:c r="M16" s="38" t="n">
        <x:v>0</x:v>
      </x:c>
      <x:c r="N16" s="38" t="n">
        <x:f>SUM(J16:M16)</x:f>
        <x:v>0</x:v>
      </x:c>
      <x:c r="O16" s="38" t="n">
        <x:f>H16+I16+N16</x:f>
        <x:v>5</x:v>
      </x:c>
      <x:c r="P16" s="36" t="str">
        <x:f>IF(A16="Internal - Control Union / Peterson","INTERNAL",IF(O16&gt;=8,"HOT",IF(O16&gt;=5,"WARM","COLD")))</x:f>
        <x:v>WARM</x:v>
      </x:c>
      <x:c r="Q16" s="36" t="str"/>
      <x:c r="R16" s="44" t="n">
        <x:v>46260.46435185185</x:v>
      </x:c>
      <x:c r="S16" s="44" t="n">
        <x:v>46260.53627314815</x:v>
      </x:c>
      <x:c r="T16" s="36" t="str">
        <x:v>1 h 36 min</x:v>
      </x:c>
      <x:c r="U16" s="36" t="str">
        <x:v>Asistente</x:v>
      </x:c>
      <x:c r="V16" s="36" t="str"/>
      <x:c r="W16" s="36" t="str"/>
      <x:c r="X16" s="36" t="str">
        <x:v>Guest/unverified Teams identity.</x:v>
      </x:c>
    </x:row>
    <x:row r="17">
      <x:c r="A17" s="36" t="str">
        <x:v>External</x:v>
      </x:c>
      <x:c r="B17" s="36" t="str">
        <x:v>Viviana Olaya (No comprobado)</x:v>
      </x:c>
      <x:c r="C17" s="36" t="str">
        <x:v>logistica@unicafec.com</x:v>
      </x:c>
      <x:c r="D17" s="36" t="str">
        <x:v>logistica@unicafec.com</x:v>
      </x:c>
      <x:c r="E17" s="36" t="str">
        <x:v>Cooperativa Unicafec</x:v>
      </x:c>
      <x:c r="F17" s="36" t="str">
        <x:v>Perú</x:v>
      </x:c>
      <x:c r="G17" s="38" t="n">
        <x:v>95.28</x:v>
      </x:c>
      <x:c r="H17" s="38" t="n">
        <x:v>3</x:v>
      </x:c>
      <x:c r="I17" s="38" t="n">
        <x:f>IF(G17&gt;50,2,IF(G17&gt;30,1,0))</x:f>
        <x:v>2</x:v>
      </x:c>
      <x:c r="J17" s="38" t="n">
        <x:v>0</x:v>
      </x:c>
      <x:c r="K17" s="38" t="n">
        <x:v>0</x:v>
      </x:c>
      <x:c r="L17" s="38" t="n">
        <x:v>0</x:v>
      </x:c>
      <x:c r="M17" s="38" t="n">
        <x:v>0</x:v>
      </x:c>
      <x:c r="N17" s="38" t="n">
        <x:f>SUM(J17:M17)</x:f>
        <x:v>0</x:v>
      </x:c>
      <x:c r="O17" s="38" t="n">
        <x:f>H17+I17+N17</x:f>
        <x:v>5</x:v>
      </x:c>
      <x:c r="P17" s="36" t="str">
        <x:f>IF(A17="Internal - Control Union / Peterson","INTERNAL",IF(O17&gt;=8,"HOT",IF(O17&gt;=5,"WARM","COLD")))</x:f>
        <x:v>WARM</x:v>
      </x:c>
      <x:c r="Q17" s="36" t="str"/>
      <x:c r="R17" s="44" t="n">
        <x:v>46260.469675925924</x:v>
      </x:c>
      <x:c r="S17" s="44" t="n">
        <x:v>46260.535844907405</x:v>
      </x:c>
      <x:c r="T17" s="36" t="str">
        <x:v>1 h 35 min 17s</x:v>
      </x:c>
      <x:c r="U17" s="36" t="str">
        <x:v>Asistente</x:v>
      </x:c>
      <x:c r="V17" s="36" t="str"/>
      <x:c r="W17" s="36" t="str"/>
      <x:c r="X17" s="36" t="str">
        <x:v>Guest/unverified Teams identity.</x:v>
      </x:c>
    </x:row>
    <x:row r="18">
      <x:c r="A18" s="36" t="str">
        <x:v>External</x:v>
      </x:c>
      <x:c r="B18" s="36" t="str">
        <x:v>Fernando Barroso (Externo)</x:v>
      </x:c>
      <x:c r="C18" s="36" t="str">
        <x:v>f.barroso@ecuadorcolat.com</x:v>
      </x:c>
      <x:c r="D18" s="36" t="str">
        <x:v>f.barroso@ecuadorcolat.com</x:v>
      </x:c>
      <x:c r="E18" s="36" t="str">
        <x:v>Ecuadorcolat</x:v>
      </x:c>
      <x:c r="F18" s="36" t="str">
        <x:v>Ecuador</x:v>
      </x:c>
      <x:c r="G18" s="38" t="n">
        <x:v>73.5</x:v>
      </x:c>
      <x:c r="H18" s="38" t="n">
        <x:v>3</x:v>
      </x:c>
      <x:c r="I18" s="38" t="n">
        <x:f>IF(G18&gt;50,2,IF(G18&gt;30,1,0))</x:f>
        <x:v>2</x:v>
      </x:c>
      <x:c r="J18" s="38" t="n">
        <x:v>0</x:v>
      </x:c>
      <x:c r="K18" s="38" t="n">
        <x:v>0</x:v>
      </x:c>
      <x:c r="L18" s="38" t="n">
        <x:v>0</x:v>
      </x:c>
      <x:c r="M18" s="38" t="n">
        <x:v>0</x:v>
      </x:c>
      <x:c r="N18" s="38" t="n">
        <x:f>SUM(J18:M18)</x:f>
        <x:v>0</x:v>
      </x:c>
      <x:c r="O18" s="38" t="n">
        <x:f>H18+I18+N18</x:f>
        <x:v>5</x:v>
      </x:c>
      <x:c r="P18" s="36" t="str">
        <x:f>IF(A18="Internal - Control Union / Peterson","INTERNAL",IF(O18&gt;=8,"HOT",IF(O18&gt;=5,"WARM","COLD")))</x:f>
        <x:v>WARM</x:v>
      </x:c>
      <x:c r="Q18" s="36" t="str"/>
      <x:c r="R18" s="44" t="n">
        <x:v>46260.48510416667</x:v>
      </x:c>
      <x:c r="S18" s="44" t="n">
        <x:v>46260.536145833335</x:v>
      </x:c>
      <x:c r="T18" s="36" t="str">
        <x:v>1 h 13 min 30s</x:v>
      </x:c>
      <x:c r="U18" s="36" t="str">
        <x:v>Asistente</x:v>
      </x:c>
      <x:c r="V18" s="36" t="str">
        <x:v>f.barroso@ecuadorcolat.com</x:v>
      </x:c>
      <x:c r="W18" s="36" t="str">
        <x:v>f.barroso@ecuadorcolat.com</x:v>
      </x:c>
      <x:c r="X18" s="36" t="str"/>
    </x:row>
    <x:row r="19">
      <x:c r="A19" s="36" t="str">
        <x:v>External</x:v>
      </x:c>
      <x:c r="B19" s="36" t="str">
        <x:v>Cristhian Daniel Cespedes Krauspenhar (No comprobado)</x:v>
      </x:c>
      <x:c r="C19" s="36" t="str">
        <x:v>her.fornecimiento@lar.com.py</x:v>
      </x:c>
      <x:c r="D19" s="36" t="str">
        <x:v>her.fornecimiento@lar.com.py</x:v>
      </x:c>
      <x:c r="E19" s="36" t="str">
        <x:v>LAR PY</x:v>
      </x:c>
      <x:c r="F19" s="36" t="str">
        <x:v>Paraguay</x:v>
      </x:c>
      <x:c r="G19" s="38" t="n">
        <x:v>59.33</x:v>
      </x:c>
      <x:c r="H19" s="38" t="n">
        <x:v>3</x:v>
      </x:c>
      <x:c r="I19" s="38" t="n">
        <x:f>IF(G19&gt;50,2,IF(G19&gt;30,1,0))</x:f>
        <x:v>2</x:v>
      </x:c>
      <x:c r="J19" s="38" t="n">
        <x:v>0</x:v>
      </x:c>
      <x:c r="K19" s="38" t="n">
        <x:v>0</x:v>
      </x:c>
      <x:c r="L19" s="38" t="n">
        <x:v>0</x:v>
      </x:c>
      <x:c r="M19" s="38" t="n">
        <x:v>0</x:v>
      </x:c>
      <x:c r="N19" s="38" t="n">
        <x:f>SUM(J19:M19)</x:f>
        <x:v>0</x:v>
      </x:c>
      <x:c r="O19" s="38" t="n">
        <x:f>H19+I19+N19</x:f>
        <x:v>5</x:v>
      </x:c>
      <x:c r="P19" s="36" t="str">
        <x:f>IF(A19="Internal - Control Union / Peterson","INTERNAL",IF(O19&gt;=8,"HOT",IF(O19&gt;=5,"WARM","COLD")))</x:f>
        <x:v>WARM</x:v>
      </x:c>
      <x:c r="Q19" s="36" t="str"/>
      <x:c r="R19" s="44" t="n">
        <x:v>46260.496041666665</x:v>
      </x:c>
      <x:c r="S19" s="44" t="n">
        <x:v>46260.537256944444</x:v>
      </x:c>
      <x:c r="T19" s="36" t="str">
        <x:v>59 min 20s</x:v>
      </x:c>
      <x:c r="U19" s="36" t="str">
        <x:v>Asistente</x:v>
      </x:c>
      <x:c r="V19" s="36" t="str"/>
      <x:c r="W19" s="36" t="str"/>
      <x:c r="X19" s="36" t="str">
        <x:v>Guest/unverified Teams identity.</x:v>
      </x:c>
    </x:row>
    <x:row r="20">
      <x:c r="A20" s="36" t="str">
        <x:v>External</x:v>
      </x:c>
      <x:c r="B20" s="36" t="str">
        <x:v>Fernando Mancheno Abad</x:v>
      </x:c>
      <x:c r="C20" s="36" t="str">
        <x:v>Fernando.Mancheno@interoc.biz</x:v>
      </x:c>
      <x:c r="D20" s="36" t="str">
        <x:v>fernando.mancheno@interoc.biz</x:v>
      </x:c>
      <x:c r="E20" s="36" t="str">
        <x:v>INTEROC S.A.</x:v>
      </x:c>
      <x:c r="F20" s="36" t="str">
        <x:v>Ecuador</x:v>
      </x:c>
      <x:c r="G20" s="38" t="n">
        <x:v>53.43</x:v>
      </x:c>
      <x:c r="H20" s="38" t="n">
        <x:v>3</x:v>
      </x:c>
      <x:c r="I20" s="38" t="n">
        <x:f>IF(G20&gt;50,2,IF(G20&gt;30,1,0))</x:f>
        <x:v>2</x:v>
      </x:c>
      <x:c r="J20" s="38" t="n">
        <x:v>0</x:v>
      </x:c>
      <x:c r="K20" s="38" t="n">
        <x:v>0</x:v>
      </x:c>
      <x:c r="L20" s="38" t="n">
        <x:v>0</x:v>
      </x:c>
      <x:c r="M20" s="38" t="n">
        <x:v>0</x:v>
      </x:c>
      <x:c r="N20" s="38" t="n">
        <x:f>SUM(J20:M20)</x:f>
        <x:v>0</x:v>
      </x:c>
      <x:c r="O20" s="38" t="n">
        <x:f>H20+I20+N20</x:f>
        <x:v>5</x:v>
      </x:c>
      <x:c r="P20" s="36" t="str">
        <x:f>IF(A20="Internal - Control Union / Peterson","INTERNAL",IF(O20&gt;=8,"HOT",IF(O20&gt;=5,"WARM","COLD")))</x:f>
        <x:v>WARM</x:v>
      </x:c>
      <x:c r="Q20" s="36" t="str"/>
      <x:c r="R20" s="44" t="n">
        <x:v>46260.489849537036</x:v>
      </x:c>
      <x:c r="S20" s="44" t="n">
        <x:v>46260.5340162037</x:v>
      </x:c>
      <x:c r="T20" s="36" t="str">
        <x:v>53 min 26s</x:v>
      </x:c>
      <x:c r="U20" s="36" t="str">
        <x:v>Asistente</x:v>
      </x:c>
      <x:c r="V20" s="36" t="str">
        <x:v>Fernando.Mancheno@interoc.biz</x:v>
      </x:c>
      <x:c r="W20" s="36" t="str">
        <x:v>fernando.mancheno@interoc.biz</x:v>
      </x:c>
      <x:c r="X20" s="36" t="str"/>
    </x:row>
    <x:row r="21">
      <x:c r="A21" s="36" t="str">
        <x:v>External</x:v>
      </x:c>
      <x:c r="B21" s="36" t="str">
        <x:v>Maria Paula Salgado (No comprobado)</x:v>
      </x:c>
      <x:c r="C21" s="36" t="str">
        <x:v>maria.salgado@alianzateam.com</x:v>
      </x:c>
      <x:c r="D21" s="36" t="str">
        <x:v>maria.salgado@alianzateam.com</x:v>
      </x:c>
      <x:c r="E21" s="36" t="str">
        <x:v>TEAM FOODS</x:v>
      </x:c>
      <x:c r="F21" s="36" t="str">
        <x:v>Colombia</x:v>
      </x:c>
      <x:c r="G21" s="38" t="n">
        <x:v>51.87</x:v>
      </x:c>
      <x:c r="H21" s="38" t="n">
        <x:v>3</x:v>
      </x:c>
      <x:c r="I21" s="38" t="n">
        <x:f>IF(G21&gt;50,2,IF(G21&gt;30,1,0))</x:f>
        <x:v>2</x:v>
      </x:c>
      <x:c r="J21" s="38" t="n">
        <x:v>0</x:v>
      </x:c>
      <x:c r="K21" s="38" t="n">
        <x:v>0</x:v>
      </x:c>
      <x:c r="L21" s="38" t="n">
        <x:v>0</x:v>
      </x:c>
      <x:c r="M21" s="38" t="n">
        <x:v>0</x:v>
      </x:c>
      <x:c r="N21" s="38" t="n">
        <x:f>SUM(J21:M21)</x:f>
        <x:v>0</x:v>
      </x:c>
      <x:c r="O21" s="38" t="n">
        <x:f>H21+I21+N21</x:f>
        <x:v>5</x:v>
      </x:c>
      <x:c r="P21" s="36" t="str">
        <x:f>IF(A21="Internal - Control Union / Peterson","INTERNAL",IF(O21&gt;=8,"HOT",IF(O21&gt;=5,"WARM","COLD")))</x:f>
        <x:v>WARM</x:v>
      </x:c>
      <x:c r="Q21" s="36" t="str"/>
      <x:c r="R21" s="44" t="n">
        <x:v>46260.50021990741</x:v>
      </x:c>
      <x:c r="S21" s="44" t="n">
        <x:v>46260.53623842593</x:v>
      </x:c>
      <x:c r="T21" s="36" t="str">
        <x:v>51 min 52s</x:v>
      </x:c>
      <x:c r="U21" s="36" t="str">
        <x:v>Asistente</x:v>
      </x:c>
      <x:c r="V21" s="36" t="str"/>
      <x:c r="W21" s="36" t="str"/>
      <x:c r="X21" s="36" t="str">
        <x:v>Guest/unverified Teams identity.</x:v>
      </x:c>
    </x:row>
    <x:row r="22">
      <x:c r="A22" s="36" t="str">
        <x:v>External</x:v>
      </x:c>
      <x:c r="B22" s="36" t="str">
        <x:v>Facundo (No comprobado)</x:v>
      </x:c>
      <x:c r="C22" s="36" t="str">
        <x:v>facuboladeras@gmail.com</x:v>
      </x:c>
      <x:c r="D22" s="36" t="str">
        <x:v>facuboladeras@gmail.com</x:v>
      </x:c>
      <x:c r="E22" s="36" t="str">
        <x:v>Facultad de Ciencia y Tecnología - UADER</x:v>
      </x:c>
      <x:c r="F22" s="36" t="str">
        <x:v>Argentina</x:v>
      </x:c>
      <x:c r="G22" s="38" t="n">
        <x:v>50.78</x:v>
      </x:c>
      <x:c r="H22" s="38" t="n">
        <x:v>3</x:v>
      </x:c>
      <x:c r="I22" s="38" t="n">
        <x:f>IF(G22&gt;50,2,IF(G22&gt;30,1,0))</x:f>
        <x:v>2</x:v>
      </x:c>
      <x:c r="J22" s="38" t="n">
        <x:v>0</x:v>
      </x:c>
      <x:c r="K22" s="38" t="n">
        <x:v>0</x:v>
      </x:c>
      <x:c r="L22" s="38" t="n">
        <x:v>0</x:v>
      </x:c>
      <x:c r="M22" s="38" t="n">
        <x:v>0</x:v>
      </x:c>
      <x:c r="N22" s="38" t="n">
        <x:f>SUM(J22:M22)</x:f>
        <x:v>0</x:v>
      </x:c>
      <x:c r="O22" s="38" t="n">
        <x:f>H22+I22+N22</x:f>
        <x:v>5</x:v>
      </x:c>
      <x:c r="P22" s="36" t="str">
        <x:f>IF(A22="Internal - Control Union / Peterson","INTERNAL",IF(O22&gt;=8,"HOT",IF(O22&gt;=5,"WARM","COLD")))</x:f>
        <x:v>WARM</x:v>
      </x:c>
      <x:c r="Q22" s="36" t="str"/>
      <x:c r="R22" s="44" t="n">
        <x:v>46260.49828703704</x:v>
      </x:c>
      <x:c r="S22" s="44" t="n">
        <x:v>46260.53356481482</x:v>
      </x:c>
      <x:c r="T22" s="36" t="str">
        <x:v>50 min 47s</x:v>
      </x:c>
      <x:c r="U22" s="36" t="str">
        <x:v>Asistente</x:v>
      </x:c>
      <x:c r="V22" s="36" t="str"/>
      <x:c r="W22" s="36" t="str"/>
      <x:c r="X22" s="36" t="str">
        <x:v>Guest/unverified Teams identity.</x:v>
      </x:c>
    </x:row>
    <x:row r="23">
      <x:c r="A23" s="36" t="str">
        <x:v>External</x:v>
      </x:c>
      <x:c r="B23" s="36" t="str">
        <x:v>Netzza De la Cruz</x:v>
      </x:c>
      <x:c r="C23" s="36" t="str">
        <x:v>netzza.delacruz@ofi.com</x:v>
      </x:c>
      <x:c r="D23" s="36" t="str">
        <x:v>netzza.delacruz@ofi.com</x:v>
      </x:c>
      <x:c r="E23" s="36" t="str">
        <x:v>Olam Agro Peru SAC</x:v>
      </x:c>
      <x:c r="F23" s="36" t="str">
        <x:v>Perú</x:v>
      </x:c>
      <x:c r="G23" s="38" t="n">
        <x:v>49.88</x:v>
      </x:c>
      <x:c r="H23" s="38" t="n">
        <x:v>3</x:v>
      </x:c>
      <x:c r="I23" s="38" t="n">
        <x:f>IF(G23&gt;50,2,IF(G23&gt;30,1,0))</x:f>
        <x:v>1</x:v>
      </x:c>
      <x:c r="J23" s="38" t="n">
        <x:v>0</x:v>
      </x:c>
      <x:c r="K23" s="38" t="n">
        <x:v>0</x:v>
      </x:c>
      <x:c r="L23" s="38" t="n">
        <x:v>0</x:v>
      </x:c>
      <x:c r="M23" s="38" t="n">
        <x:v>1</x:v>
      </x:c>
      <x:c r="N23" s="38" t="n">
        <x:f>SUM(J23:M23)</x:f>
        <x:v>1</x:v>
      </x:c>
      <x:c r="O23" s="38" t="n">
        <x:f>H23+I23+N23</x:f>
        <x:v>5</x:v>
      </x:c>
      <x:c r="P23" s="36" t="str">
        <x:f>IF(A23="Internal - Control Union / Peterson","INTERNAL",IF(O23&gt;=8,"HOT",IF(O23&gt;=5,"WARM","COLD")))</x:f>
        <x:v>WARM</x:v>
      </x:c>
      <x:c r="Q23" s="36" t="str"/>
      <x:c r="R23" s="44" t="n">
        <x:v>46260.4991087963</x:v>
      </x:c>
      <x:c r="S23" s="44" t="n">
        <x:v>46260.53376157407</x:v>
      </x:c>
      <x:c r="T23" s="36" t="str">
        <x:v>49 min 53s</x:v>
      </x:c>
      <x:c r="U23" s="36" t="str">
        <x:v>Asistente</x:v>
      </x:c>
      <x:c r="V23" s="36" t="str">
        <x:v>netzza.delacruz@ofi.com</x:v>
      </x:c>
      <x:c r="W23" s="36" t="str">
        <x:v>netzza.delacruz@ofi.com</x:v>
      </x:c>
      <x:c r="X23" s="36" t="str"/>
    </x:row>
    <x:row r="24">
      <x:c r="A24" s="36" t="str">
        <x:v>External</x:v>
      </x:c>
      <x:c r="B24" s="36" t="str">
        <x:v>Luis  Oliva (Externo)</x:v>
      </x:c>
      <x:c r="C24" s="36" t="str">
        <x:v>loliva@palmasdelixcan.com</x:v>
      </x:c>
      <x:c r="D24" s="36" t="str">
        <x:v>loliva@palmasdelixcan.com</x:v>
      </x:c>
      <x:c r="E24" s="36" t="str">
        <x:v>Agroindustria Palmera San Roman</x:v>
      </x:c>
      <x:c r="F24" s="36" t="str">
        <x:v>Guatemala</x:v>
      </x:c>
      <x:c r="G24" s="38" t="n">
        <x:v>48.75</x:v>
      </x:c>
      <x:c r="H24" s="38" t="n">
        <x:v>3</x:v>
      </x:c>
      <x:c r="I24" s="38" t="n">
        <x:f>IF(G24&gt;50,2,IF(G24&gt;30,1,0))</x:f>
        <x:v>1</x:v>
      </x:c>
      <x:c r="J24" s="38" t="n">
        <x:v>0</x:v>
      </x:c>
      <x:c r="K24" s="38" t="n">
        <x:v>0</x:v>
      </x:c>
      <x:c r="L24" s="38" t="n">
        <x:v>0</x:v>
      </x:c>
      <x:c r="M24" s="38" t="n">
        <x:v>1</x:v>
      </x:c>
      <x:c r="N24" s="38" t="n">
        <x:f>SUM(J24:M24)</x:f>
        <x:v>1</x:v>
      </x:c>
      <x:c r="O24" s="38" t="n">
        <x:f>H24+I24+N24</x:f>
        <x:v>5</x:v>
      </x:c>
      <x:c r="P24" s="36" t="str">
        <x:f>IF(A24="Internal - Control Union / Peterson","INTERNAL",IF(O24&gt;=8,"HOT",IF(O24&gt;=5,"WARM","COLD")))</x:f>
        <x:v>WARM</x:v>
      </x:c>
      <x:c r="Q24" s="36" t="str"/>
      <x:c r="R24" s="44" t="n">
        <x:v>46260.49383101852</x:v>
      </x:c>
      <x:c r="S24" s="44" t="n">
        <x:v>46260.53559027778</x:v>
      </x:c>
      <x:c r="T24" s="36" t="str">
        <x:v>48 min 45s</x:v>
      </x:c>
      <x:c r="U24" s="36" t="str">
        <x:v>Asistente</x:v>
      </x:c>
      <x:c r="V24" s="36" t="str">
        <x:v>loliva@palmasdelixcan.com</x:v>
      </x:c>
      <x:c r="W24" s="36" t="str">
        <x:v>loliva@palmasdelixcan.com</x:v>
      </x:c>
      <x:c r="X24" s="36" t="str"/>
    </x:row>
    <x:row r="25">
      <x:c r="A25" s="36" t="str">
        <x:v>External</x:v>
      </x:c>
      <x:c r="B25" s="36" t="str">
        <x:v>SARITA YESICA RIVA INGA (Externo)</x:v>
      </x:c>
      <x:c r="C25" s="36" t="str">
        <x:v>syrivai@epgunheval.edu.pe</x:v>
      </x:c>
      <x:c r="D25" s="36" t="str">
        <x:v>saritarivainga@gmail.com</x:v>
      </x:c>
      <x:c r="E25" s="36" t="str">
        <x:v>Ochosur</x:v>
      </x:c>
      <x:c r="F25" s="36" t="str">
        <x:v>Perú</x:v>
      </x:c>
      <x:c r="G25" s="38" t="n">
        <x:v>47.47</x:v>
      </x:c>
      <x:c r="H25" s="38" t="n">
        <x:v>3</x:v>
      </x:c>
      <x:c r="I25" s="38" t="n">
        <x:f>IF(G25&gt;50,2,IF(G25&gt;30,1,0))</x:f>
        <x:v>1</x:v>
      </x:c>
      <x:c r="J25" s="38" t="n">
        <x:v>0</x:v>
      </x:c>
      <x:c r="K25" s="38" t="n">
        <x:v>0</x:v>
      </x:c>
      <x:c r="L25" s="38" t="n">
        <x:v>0</x:v>
      </x:c>
      <x:c r="M25" s="38" t="n">
        <x:v>1</x:v>
      </x:c>
      <x:c r="N25" s="38" t="n">
        <x:f>SUM(J25:M25)</x:f>
        <x:v>1</x:v>
      </x:c>
      <x:c r="O25" s="38" t="n">
        <x:f>H25+I25+N25</x:f>
        <x:v>5</x:v>
      </x:c>
      <x:c r="P25" s="36" t="str">
        <x:f>IF(A25="Internal - Control Union / Peterson","INTERNAL",IF(O25&gt;=8,"HOT",IF(O25&gt;=5,"WARM","COLD")))</x:f>
        <x:v>WARM</x:v>
      </x:c>
      <x:c r="Q25" s="36" t="str"/>
      <x:c r="R25" s="44" t="n">
        <x:v>46260.50349537037</x:v>
      </x:c>
      <x:c r="S25" s="44" t="n">
        <x:v>46260.536469907405</x:v>
      </x:c>
      <x:c r="T25" s="36" t="str">
        <x:v>47 min 28s</x:v>
      </x:c>
      <x:c r="U25" s="36" t="str">
        <x:v>Asistente</x:v>
      </x:c>
      <x:c r="V25" s="36" t="str">
        <x:v>syrivai@epgunheval.edu.pe</x:v>
      </x:c>
      <x:c r="W25" s="36" t="str">
        <x:v>syrivai@epgunheval.edu.pe</x:v>
      </x:c>
      <x:c r="X25" s="36" t="str">
        <x:v>Teams identity email differs from registration email.</x:v>
      </x:c>
    </x:row>
    <x:row r="26">
      <x:c r="A26" s="36" t="str">
        <x:v>External</x:v>
      </x:c>
      <x:c r="B26" s="36" t="str">
        <x:v>Brayan Escobar (No comprobado)</x:v>
      </x:c>
      <x:c r="C26" s="36" t="str">
        <x:v>analistagranos@cacaohunters.com</x:v>
      </x:c>
      <x:c r="D26" s="36" t="str">
        <x:v>analistagranos@cacaohunters.com</x:v>
      </x:c>
      <x:c r="E26" s="36" t="str">
        <x:v>Cacao de Colombia S.A.S</x:v>
      </x:c>
      <x:c r="F26" s="36" t="str">
        <x:v>Colombia</x:v>
      </x:c>
      <x:c r="G26" s="38" t="n">
        <x:v>46.88</x:v>
      </x:c>
      <x:c r="H26" s="38" t="n">
        <x:v>3</x:v>
      </x:c>
      <x:c r="I26" s="38" t="n">
        <x:f>IF(G26&gt;50,2,IF(G26&gt;30,1,0))</x:f>
        <x:v>1</x:v>
      </x:c>
      <x:c r="J26" s="38" t="n">
        <x:v>0</x:v>
      </x:c>
      <x:c r="K26" s="38" t="n">
        <x:v>0</x:v>
      </x:c>
      <x:c r="L26" s="38" t="n">
        <x:v>1</x:v>
      </x:c>
      <x:c r="M26" s="38" t="n">
        <x:v>0</x:v>
      </x:c>
      <x:c r="N26" s="38" t="n">
        <x:f>SUM(J26:M26)</x:f>
        <x:v>1</x:v>
      </x:c>
      <x:c r="O26" s="38" t="n">
        <x:f>H26+I26+N26</x:f>
        <x:v>5</x:v>
      </x:c>
      <x:c r="P26" s="36" t="str">
        <x:f>IF(A26="Internal - Control Union / Peterson","INTERNAL",IF(O26&gt;=8,"HOT",IF(O26&gt;=5,"WARM","COLD")))</x:f>
        <x:v>WARM</x:v>
      </x:c>
      <x:c r="Q26" s="36" t="str"/>
      <x:c r="R26" s="44" t="n">
        <x:v>46260.50116898148</x:v>
      </x:c>
      <x:c r="S26" s="44" t="n">
        <x:v>46260.533738425926</x:v>
      </x:c>
      <x:c r="T26" s="36" t="str">
        <x:v>46 min 53s</x:v>
      </x:c>
      <x:c r="U26" s="36" t="str">
        <x:v>Asistente</x:v>
      </x:c>
      <x:c r="V26" s="36" t="str"/>
      <x:c r="W26" s="36" t="str"/>
      <x:c r="X26" s="36" t="str">
        <x:v>Guest/unverified Teams identity.</x:v>
      </x:c>
    </x:row>
    <x:row r="27">
      <x:c r="A27" s="36" t="str">
        <x:v>External</x:v>
      </x:c>
      <x:c r="B27" s="36" t="str">
        <x:v>Leonardo (No comprobado)</x:v>
      </x:c>
      <x:c r="C27" s="36" t="str">
        <x:v>leonardo.amarilla@unc.edu.ar</x:v>
      </x:c>
      <x:c r="D27" s="36" t="str">
        <x:v>leonardo.amarilla@unc.edu.ar</x:v>
      </x:c>
      <x:c r="E27" s="36" t="str">
        <x:v>Universidad Nacional de Córdoba</x:v>
      </x:c>
      <x:c r="F27" s="36" t="str">
        <x:v>Argentina</x:v>
      </x:c>
      <x:c r="G27" s="38" t="n">
        <x:v>43.98</x:v>
      </x:c>
      <x:c r="H27" s="38" t="n">
        <x:v>3</x:v>
      </x:c>
      <x:c r="I27" s="38" t="n">
        <x:f>IF(G27&gt;50,2,IF(G27&gt;30,1,0))</x:f>
        <x:v>1</x:v>
      </x:c>
      <x:c r="J27" s="38" t="n">
        <x:v>0</x:v>
      </x:c>
      <x:c r="K27" s="38" t="n">
        <x:v>0</x:v>
      </x:c>
      <x:c r="L27" s="38" t="n">
        <x:v>1</x:v>
      </x:c>
      <x:c r="M27" s="38" t="n">
        <x:v>0</x:v>
      </x:c>
      <x:c r="N27" s="38" t="n">
        <x:f>SUM(J27:M27)</x:f>
        <x:v>1</x:v>
      </x:c>
      <x:c r="O27" s="38" t="n">
        <x:f>H27+I27+N27</x:f>
        <x:v>5</x:v>
      </x:c>
      <x:c r="P27" s="36" t="str">
        <x:f>IF(A27="Internal - Control Union / Peterson","INTERNAL",IF(O27&gt;=8,"HOT",IF(O27&gt;=5,"WARM","COLD")))</x:f>
        <x:v>WARM</x:v>
      </x:c>
      <x:c r="Q27" s="36" t="str"/>
      <x:c r="R27" s="44" t="n">
        <x:v>46260.50319444444</x:v>
      </x:c>
      <x:c r="S27" s="44" t="n">
        <x:v>46260.53375</x:v>
      </x:c>
      <x:c r="T27" s="36" t="str">
        <x:v>43 min 59s</x:v>
      </x:c>
      <x:c r="U27" s="36" t="str">
        <x:v>Asistente</x:v>
      </x:c>
      <x:c r="V27" s="36" t="str"/>
      <x:c r="W27" s="36" t="str"/>
      <x:c r="X27" s="36" t="str">
        <x:v>Guest/unverified Teams identity.</x:v>
      </x:c>
    </x:row>
    <x:row r="28">
      <x:c r="A28" s="36" t="str">
        <x:v>External</x:v>
      </x:c>
      <x:c r="B28" s="36" t="str">
        <x:v>JUAN MONTES (Externo)</x:v>
      </x:c>
      <x:c r="C28" s="36" t="str">
        <x:v>jmontes@daabon.com.co</x:v>
      </x:c>
      <x:c r="D28" s="36" t="str">
        <x:v>jmontes@daabon.com.co</x:v>
      </x:c>
      <x:c r="E28" s="36" t="str">
        <x:v>Daabon</x:v>
      </x:c>
      <x:c r="F28" s="36" t="str">
        <x:v>Colombia</x:v>
      </x:c>
      <x:c r="G28" s="38" t="n">
        <x:v>42.97</x:v>
      </x:c>
      <x:c r="H28" s="38" t="n">
        <x:v>3</x:v>
      </x:c>
      <x:c r="I28" s="38" t="n">
        <x:f>IF(G28&gt;50,2,IF(G28&gt;30,1,0))</x:f>
        <x:v>1</x:v>
      </x:c>
      <x:c r="J28" s="38" t="n">
        <x:v>1</x:v>
      </x:c>
      <x:c r="K28" s="38" t="n">
        <x:v>0</x:v>
      </x:c>
      <x:c r="L28" s="38" t="n">
        <x:v>0</x:v>
      </x:c>
      <x:c r="M28" s="38" t="n">
        <x:v>0</x:v>
      </x:c>
      <x:c r="N28" s="38" t="n">
        <x:f>SUM(J28:M28)</x:f>
        <x:v>1</x:v>
      </x:c>
      <x:c r="O28" s="38" t="n">
        <x:f>H28+I28+N28</x:f>
        <x:v>5</x:v>
      </x:c>
      <x:c r="P28" s="36" t="str">
        <x:f>IF(A28="Internal - Control Union / Peterson","INTERNAL",IF(O28&gt;=8,"HOT",IF(O28&gt;=5,"WARM","COLD")))</x:f>
        <x:v>WARM</x:v>
      </x:c>
      <x:c r="Q28" s="36" t="str">
        <x:v>[12:44] Reply: Desde colombia, para palma, si tengo implementados mis sistemas para recolección de información, puede servirme el protocolo y o el DFS como certificaciones de una verificación por terceros de mi información, como cumplimiento de eudr? me entregarían algun perfil IRF de mi organización? se manejaría como una auditoría anual? que herramienta hace el análisis geoespacial</x:v>
      </x:c>
      <x:c r="R28" s="44" t="n">
        <x:v>46260.49988425926</x:v>
      </x:c>
      <x:c r="S28" s="44" t="n">
        <x:v>46260.533784722225</x:v>
      </x:c>
      <x:c r="T28" s="36" t="str">
        <x:v>42 min 58s</x:v>
      </x:c>
      <x:c r="U28" s="36" t="str">
        <x:v>Asistente</x:v>
      </x:c>
      <x:c r="V28" s="36" t="str">
        <x:v>jmontes@daabon.com.co</x:v>
      </x:c>
      <x:c r="W28" s="36" t="str">
        <x:v>jmontes@daabon.com.co</x:v>
      </x:c>
      <x:c r="X28" s="36" t="str"/>
    </x:row>
    <x:row r="29">
      <x:c r="A29" s="36" t="str">
        <x:v>External</x:v>
      </x:c>
      <x:c r="B29" s="36" t="str">
        <x:v>Diana Rocío Sánchez Infante (Externo)</x:v>
      </x:c>
      <x:c r="C29" s="36" t="str">
        <x:v>asisadministrativa@ecosantana.com</x:v>
      </x:c>
      <x:c r="D29" s="36" t="str"/>
      <x:c r="E29" s="36" t="str"/>
      <x:c r="F29" s="36" t="str"/>
      <x:c r="G29" s="38" t="n">
        <x:v>41.48</x:v>
      </x:c>
      <x:c r="H29" s="38" t="n">
        <x:v>3</x:v>
      </x:c>
      <x:c r="I29" s="38" t="n">
        <x:f>IF(G29&gt;50,2,IF(G29&gt;30,1,0))</x:f>
        <x:v>1</x:v>
      </x:c>
      <x:c r="J29" s="38" t="n">
        <x:v>0</x:v>
      </x:c>
      <x:c r="K29" s="38" t="n">
        <x:v>0</x:v>
      </x:c>
      <x:c r="L29" s="38" t="n">
        <x:v>0</x:v>
      </x:c>
      <x:c r="M29" s="38" t="n">
        <x:v>1</x:v>
      </x:c>
      <x:c r="N29" s="38" t="n">
        <x:f>SUM(J29:M29)</x:f>
        <x:v>1</x:v>
      </x:c>
      <x:c r="O29" s="38" t="n">
        <x:f>H29+I29+N29</x:f>
        <x:v>5</x:v>
      </x:c>
      <x:c r="P29" s="36" t="str">
        <x:f>IF(A29="Internal - Control Union / Peterson","INTERNAL",IF(O29&gt;=8,"HOT",IF(O29&gt;=5,"WARM","COLD")))</x:f>
        <x:v>WARM</x:v>
      </x:c>
      <x:c r="Q29" s="36" t="str"/>
      <x:c r="R29" s="44" t="n">
        <x:v>46260.50707175926</x:v>
      </x:c>
      <x:c r="S29" s="44" t="n">
        <x:v>46260.535891203705</x:v>
      </x:c>
      <x:c r="T29" s="36" t="str">
        <x:v>41 min 29s</x:v>
      </x:c>
      <x:c r="U29" s="36" t="str">
        <x:v>Asistente</x:v>
      </x:c>
      <x:c r="V29" s="36" t="str">
        <x:v>asisadministrativa@ecosantana.com</x:v>
      </x:c>
      <x:c r="W29" s="36" t="str">
        <x:v>asisadministrativa@ecosantana.com</x:v>
      </x:c>
      <x:c r="X29" s="36" t="str"/>
    </x:row>
    <x:row r="30">
      <x:c r="A30" s="36" t="str">
        <x:v>External</x:v>
      </x:c>
      <x:c r="B30" s="36" t="str">
        <x:v>Maiten Castro Alarcon</x:v>
      </x:c>
      <x:c r="C30" s="36" t="str">
        <x:v>maiten.castro@ofi.com</x:v>
      </x:c>
      <x:c r="D30" s="36" t="str">
        <x:v>wilber.g@ofi.com</x:v>
      </x:c>
      <x:c r="E30" s="36" t="str">
        <x:v>Olam Agro Peru SAC</x:v>
      </x:c>
      <x:c r="F30" s="36" t="str">
        <x:v>Peru</x:v>
      </x:c>
      <x:c r="G30" s="38" t="n">
        <x:v>40.83</x:v>
      </x:c>
      <x:c r="H30" s="38" t="n">
        <x:v>3</x:v>
      </x:c>
      <x:c r="I30" s="38" t="n">
        <x:f>IF(G30&gt;50,2,IF(G30&gt;30,1,0))</x:f>
        <x:v>1</x:v>
      </x:c>
      <x:c r="J30" s="38" t="n">
        <x:v>0</x:v>
      </x:c>
      <x:c r="K30" s="38" t="n">
        <x:v>0</x:v>
      </x:c>
      <x:c r="L30" s="38" t="n">
        <x:v>0</x:v>
      </x:c>
      <x:c r="M30" s="38" t="n">
        <x:v>1</x:v>
      </x:c>
      <x:c r="N30" s="38" t="n">
        <x:f>SUM(J30:M30)</x:f>
        <x:v>1</x:v>
      </x:c>
      <x:c r="O30" s="38" t="n">
        <x:f>H30+I30+N30</x:f>
        <x:v>5</x:v>
      </x:c>
      <x:c r="P30" s="36" t="str">
        <x:f>IF(A30="Internal - Control Union / Peterson","INTERNAL",IF(O30&gt;=8,"HOT",IF(O30&gt;=5,"WARM","COLD")))</x:f>
        <x:v>WARM</x:v>
      </x:c>
      <x:c r="Q30" s="36" t="str"/>
      <x:c r="R30" s="44" t="n">
        <x:v>46260.50320601852</x:v>
      </x:c>
      <x:c r="S30" s="44" t="n">
        <x:v>46260.5315625</x:v>
      </x:c>
      <x:c r="T30" s="36" t="str">
        <x:v>40 min 50s</x:v>
      </x:c>
      <x:c r="U30" s="36" t="str">
        <x:v>Asistente</x:v>
      </x:c>
      <x:c r="V30" s="36" t="str">
        <x:v>maiten.castro@ofi.com</x:v>
      </x:c>
      <x:c r="W30" s="36" t="str">
        <x:v>maiten.castro@ofi.com</x:v>
      </x:c>
      <x:c r="X30" s="36" t="str">
        <x:v>Teams identity email differs from registration email.</x:v>
      </x:c>
    </x:row>
    <x:row r="31">
      <x:c r="A31" s="36" t="str">
        <x:v>External</x:v>
      </x:c>
      <x:c r="B31" s="36" t="str">
        <x:v>Ines Collazo (Externo)</x:v>
      </x:c>
      <x:c r="C31" s="36" t="str">
        <x:v>icollazo@cousa.com</x:v>
      </x:c>
      <x:c r="D31" s="36" t="str">
        <x:v>icollazo@cousa.com</x:v>
      </x:c>
      <x:c r="E31" s="36" t="str">
        <x:v>COUSA</x:v>
      </x:c>
      <x:c r="F31" s="36" t="str">
        <x:v>Uruguay</x:v>
      </x:c>
      <x:c r="G31" s="38" t="n">
        <x:v>37.03</x:v>
      </x:c>
      <x:c r="H31" s="38" t="n">
        <x:v>3</x:v>
      </x:c>
      <x:c r="I31" s="38" t="n">
        <x:f>IF(G31&gt;50,2,IF(G31&gt;30,1,0))</x:f>
        <x:v>1</x:v>
      </x:c>
      <x:c r="J31" s="38" t="n">
        <x:v>0</x:v>
      </x:c>
      <x:c r="K31" s="38" t="n">
        <x:v>0</x:v>
      </x:c>
      <x:c r="L31" s="38" t="n">
        <x:v>0</x:v>
      </x:c>
      <x:c r="M31" s="38" t="n">
        <x:v>1</x:v>
      </x:c>
      <x:c r="N31" s="38" t="n">
        <x:f>SUM(J31:M31)</x:f>
        <x:v>1</x:v>
      </x:c>
      <x:c r="O31" s="38" t="n">
        <x:f>H31+I31+N31</x:f>
        <x:v>5</x:v>
      </x:c>
      <x:c r="P31" s="36" t="str">
        <x:f>IF(A31="Internal - Control Union / Peterson","INTERNAL",IF(O31&gt;=8,"HOT",IF(O31&gt;=5,"WARM","COLD")))</x:f>
        <x:v>WARM</x:v>
      </x:c>
      <x:c r="Q31" s="36" t="str"/>
      <x:c r="R31" s="44" t="n">
        <x:v>46260.50270833333</x:v>
      </x:c>
      <x:c r="S31" s="44" t="n">
        <x:v>46260.52842592593</x:v>
      </x:c>
      <x:c r="T31" s="36" t="str">
        <x:v>37 min 2s</x:v>
      </x:c>
      <x:c r="U31" s="36" t="str">
        <x:v>Asistente</x:v>
      </x:c>
      <x:c r="V31" s="36" t="str">
        <x:v>icollazo@cousa.com</x:v>
      </x:c>
      <x:c r="W31" s="36" t="str">
        <x:v>icollazo@cousa.com</x:v>
      </x:c>
      <x:c r="X31" s="36" t="str"/>
    </x:row>
    <x:row r="32">
      <x:c r="A32" s="36" t="str">
        <x:v>External</x:v>
      </x:c>
      <x:c r="B32" s="36" t="str">
        <x:v>Mirta Senovia Madrid Tomé (No comprobado)</x:v>
      </x:c>
      <x:c r="C32" s="36" t="str">
        <x:v>mirtatome@gmail.com</x:v>
      </x:c>
      <x:c r="D32" s="36" t="str">
        <x:v>mirtatome@gmail.com</x:v>
      </x:c>
      <x:c r="E32" s="36" t="str">
        <x:v>PROSERIN</x:v>
      </x:c>
      <x:c r="F32" s="36" t="str">
        <x:v>Honduras</x:v>
      </x:c>
      <x:c r="G32" s="38" t="n">
        <x:v>33.47</x:v>
      </x:c>
      <x:c r="H32" s="38" t="n">
        <x:v>3</x:v>
      </x:c>
      <x:c r="I32" s="38" t="n">
        <x:f>IF(G32&gt;50,2,IF(G32&gt;30,1,0))</x:f>
        <x:v>1</x:v>
      </x:c>
      <x:c r="J32" s="38" t="n">
        <x:v>0</x:v>
      </x:c>
      <x:c r="K32" s="38" t="n">
        <x:v>0</x:v>
      </x:c>
      <x:c r="L32" s="38" t="n">
        <x:v>0</x:v>
      </x:c>
      <x:c r="M32" s="38" t="n">
        <x:v>1</x:v>
      </x:c>
      <x:c r="N32" s="38" t="n">
        <x:f>SUM(J32:M32)</x:f>
        <x:v>1</x:v>
      </x:c>
      <x:c r="O32" s="38" t="n">
        <x:f>H32+I32+N32</x:f>
        <x:v>5</x:v>
      </x:c>
      <x:c r="P32" s="36" t="str">
        <x:f>IF(A32="Internal - Control Union / Peterson","INTERNAL",IF(O32&gt;=8,"HOT",IF(O32&gt;=5,"WARM","COLD")))</x:f>
        <x:v>WARM</x:v>
      </x:c>
      <x:c r="Q32" s="36" t="str"/>
      <x:c r="R32" s="44" t="n">
        <x:v>46260.509201388886</x:v>
      </x:c>
      <x:c r="S32" s="44" t="n">
        <x:v>46260.53244212963</x:v>
      </x:c>
      <x:c r="T32" s="36" t="str">
        <x:v>33 min 28s</x:v>
      </x:c>
      <x:c r="U32" s="36" t="str">
        <x:v>Asistente</x:v>
      </x:c>
      <x:c r="V32" s="36" t="str"/>
      <x:c r="W32" s="36" t="str"/>
      <x:c r="X32" s="36" t="str">
        <x:v>Guest/unverified Teams identity.</x:v>
      </x:c>
    </x:row>
    <x:row r="33">
      <x:c r="A33" s="36" t="str">
        <x:v>External</x:v>
      </x:c>
      <x:c r="B33" s="36" t="str">
        <x:v>Liliana Neyra Roman</x:v>
      </x:c>
      <x:c r="C33" s="36" t="str">
        <x:v>liliana.neyraroman@ofi.com</x:v>
      </x:c>
      <x:c r="D33" s="36" t="str">
        <x:v>liliana.neyraroman@ofi.com</x:v>
      </x:c>
      <x:c r="E33" s="36" t="str">
        <x:v>OLAM</x:v>
      </x:c>
      <x:c r="F33" s="36" t="str">
        <x:v>Perú</x:v>
      </x:c>
      <x:c r="G33" s="38" t="n">
        <x:v>30.83</x:v>
      </x:c>
      <x:c r="H33" s="38" t="n">
        <x:v>3</x:v>
      </x:c>
      <x:c r="I33" s="38" t="n">
        <x:f>IF(G33&gt;50,2,IF(G33&gt;30,1,0))</x:f>
        <x:v>1</x:v>
      </x:c>
      <x:c r="J33" s="38" t="n">
        <x:v>0</x:v>
      </x:c>
      <x:c r="K33" s="38" t="n">
        <x:v>0</x:v>
      </x:c>
      <x:c r="L33" s="38" t="n">
        <x:v>0</x:v>
      </x:c>
      <x:c r="M33" s="38" t="n">
        <x:v>1</x:v>
      </x:c>
      <x:c r="N33" s="38" t="n">
        <x:f>SUM(J33:M33)</x:f>
        <x:v>1</x:v>
      </x:c>
      <x:c r="O33" s="38" t="n">
        <x:f>H33+I33+N33</x:f>
        <x:v>5</x:v>
      </x:c>
      <x:c r="P33" s="36" t="str">
        <x:f>IF(A33="Internal - Control Union / Peterson","INTERNAL",IF(O33&gt;=8,"HOT",IF(O33&gt;=5,"WARM","COLD")))</x:f>
        <x:v>WARM</x:v>
      </x:c>
      <x:c r="Q33" s="36" t="str"/>
      <x:c r="R33" s="44" t="n">
        <x:v>46260.511770833335</x:v>
      </x:c>
      <x:c r="S33" s="44" t="n">
        <x:v>46260.53407407407</x:v>
      </x:c>
      <x:c r="T33" s="36" t="str">
        <x:v>30 min 50s</x:v>
      </x:c>
      <x:c r="U33" s="36" t="str">
        <x:v>Asistente</x:v>
      </x:c>
      <x:c r="V33" s="36" t="str">
        <x:v>liliana.neyraroman@ofi.com</x:v>
      </x:c>
      <x:c r="W33" s="36" t="str">
        <x:v>liliana.neyraroman@ofi.com</x:v>
      </x:c>
      <x:c r="X33" s="36" t="str"/>
    </x:row>
    <x:row r="34">
      <x:c r="A34" s="36" t="str">
        <x:v>External</x:v>
      </x:c>
      <x:c r="B34" s="36" t="str">
        <x:v>Enzo Sitzmann (Externo)</x:v>
      </x:c>
      <x:c r="C34" s="36" t="str">
        <x:v>enzo.sitzmann@somaxagro.com</x:v>
      </x:c>
      <x:c r="D34" s="36" t="str">
        <x:v>enzo.sitzmann@somaxagro.com</x:v>
      </x:c>
      <x:c r="E34" s="36" t="str">
        <x:v>Somax Agro S.A.</x:v>
      </x:c>
      <x:c r="F34" s="36" t="str">
        <x:v>Paraguay</x:v>
      </x:c>
      <x:c r="G34" s="38" t="n">
        <x:v>49.68</x:v>
      </x:c>
      <x:c r="H34" s="38" t="n">
        <x:v>3</x:v>
      </x:c>
      <x:c r="I34" s="38" t="n">
        <x:f>IF(G34&gt;50,2,IF(G34&gt;30,1,0))</x:f>
        <x:v>1</x:v>
      </x:c>
      <x:c r="J34" s="38" t="n">
        <x:v>0</x:v>
      </x:c>
      <x:c r="K34" s="38" t="n">
        <x:v>0</x:v>
      </x:c>
      <x:c r="L34" s="38" t="n">
        <x:v>0</x:v>
      </x:c>
      <x:c r="M34" s="38" t="n">
        <x:v>0</x:v>
      </x:c>
      <x:c r="N34" s="38" t="n">
        <x:f>SUM(J34:M34)</x:f>
        <x:v>0</x:v>
      </x:c>
      <x:c r="O34" s="38" t="n">
        <x:f>H34+I34+N34</x:f>
        <x:v>4</x:v>
      </x:c>
      <x:c r="P34" s="36" t="str">
        <x:f>IF(A34="Internal - Control Union / Peterson","INTERNAL",IF(O34&gt;=8,"HOT",IF(O34&gt;=5,"WARM","COLD")))</x:f>
        <x:v>COLD</x:v>
      </x:c>
      <x:c r="Q34" s="36" t="str"/>
      <x:c r="R34" s="44" t="n">
        <x:v>46260.49925925926</x:v>
      </x:c>
      <x:c r="S34" s="44" t="n">
        <x:v>46260.53377314815</x:v>
      </x:c>
      <x:c r="T34" s="36" t="str">
        <x:v>49 min 41s</x:v>
      </x:c>
      <x:c r="U34" s="36" t="str">
        <x:v>Asistente</x:v>
      </x:c>
      <x:c r="V34" s="36" t="str">
        <x:v>enzo.sitzmann@somaxagro.com</x:v>
      </x:c>
      <x:c r="W34" s="36" t="str">
        <x:v>enzo.sitzmann@somaxagro.com</x:v>
      </x:c>
      <x:c r="X34" s="36" t="str"/>
    </x:row>
    <x:row r="35">
      <x:c r="A35" s="36" t="str">
        <x:v>External</x:v>
      </x:c>
      <x:c r="B35" s="36" t="str">
        <x:v>Maria Teresa Senosiain</x:v>
      </x:c>
      <x:c r="C35" s="36" t="str">
        <x:v>Maria.Senosiain@ar.mcd.com</x:v>
      </x:c>
      <x:c r="D35" s="36" t="str">
        <x:v>maria.senosiain@ar.mcd.com</x:v>
      </x:c>
      <x:c r="E35" s="36" t="str">
        <x:v>Arcos dorados</x:v>
      </x:c>
      <x:c r="F35" s="36" t="str">
        <x:v>Argentina</x:v>
      </x:c>
      <x:c r="G35" s="38" t="n">
        <x:v>49.63</x:v>
      </x:c>
      <x:c r="H35" s="38" t="n">
        <x:v>3</x:v>
      </x:c>
      <x:c r="I35" s="38" t="n">
        <x:f>IF(G35&gt;50,2,IF(G35&gt;30,1,0))</x:f>
        <x:v>1</x:v>
      </x:c>
      <x:c r="J35" s="38" t="n">
        <x:v>0</x:v>
      </x:c>
      <x:c r="K35" s="38" t="n">
        <x:v>0</x:v>
      </x:c>
      <x:c r="L35" s="38" t="n">
        <x:v>0</x:v>
      </x:c>
      <x:c r="M35" s="38" t="n">
        <x:v>0</x:v>
      </x:c>
      <x:c r="N35" s="38" t="n">
        <x:f>SUM(J35:M35)</x:f>
        <x:v>0</x:v>
      </x:c>
      <x:c r="O35" s="38" t="n">
        <x:f>H35+I35+N35</x:f>
        <x:v>4</x:v>
      </x:c>
      <x:c r="P35" s="36" t="str">
        <x:f>IF(A35="Internal - Control Union / Peterson","INTERNAL",IF(O35&gt;=8,"HOT",IF(O35&gt;=5,"WARM","COLD")))</x:f>
        <x:v>COLD</x:v>
      </x:c>
      <x:c r="Q35" s="36" t="str"/>
      <x:c r="R35" s="44" t="n">
        <x:v>46260.49927083333</x:v>
      </x:c>
      <x:c r="S35" s="44" t="n">
        <x:v>46260.53375</x:v>
      </x:c>
      <x:c r="T35" s="36" t="str">
        <x:v>49 min 38s</x:v>
      </x:c>
      <x:c r="U35" s="36" t="str">
        <x:v>Asistente</x:v>
      </x:c>
      <x:c r="V35" s="36" t="str">
        <x:v>Maria.Senosiain@ar.mcd.com</x:v>
      </x:c>
      <x:c r="W35" s="36" t="str">
        <x:v>Maria.Senosiain@ar.mcd.com</x:v>
      </x:c>
      <x:c r="X35" s="36" t="str"/>
    </x:row>
    <x:row r="36">
      <x:c r="A36" s="36" t="str">
        <x:v>External</x:v>
      </x:c>
      <x:c r="B36" s="36" t="str">
        <x:v>LUIS CERVANTES CARBAJAL</x:v>
      </x:c>
      <x:c r="C36" s="36" t="str"/>
      <x:c r="D36" s="36" t="str"/>
      <x:c r="E36" s="36" t="str"/>
      <x:c r="F36" s="36" t="str"/>
      <x:c r="G36" s="38" t="n">
        <x:v>49.05</x:v>
      </x:c>
      <x:c r="H36" s="38" t="n">
        <x:v>3</x:v>
      </x:c>
      <x:c r="I36" s="38" t="n">
        <x:f>IF(G36&gt;50,2,IF(G36&gt;30,1,0))</x:f>
        <x:v>1</x:v>
      </x:c>
      <x:c r="J36" s="38" t="n">
        <x:v>0</x:v>
      </x:c>
      <x:c r="K36" s="38" t="n">
        <x:v>0</x:v>
      </x:c>
      <x:c r="L36" s="38" t="n">
        <x:v>0</x:v>
      </x:c>
      <x:c r="M36" s="38" t="n">
        <x:v>0</x:v>
      </x:c>
      <x:c r="N36" s="38" t="n">
        <x:f>SUM(J36:M36)</x:f>
        <x:v>0</x:v>
      </x:c>
      <x:c r="O36" s="38" t="n">
        <x:f>H36+I36+N36</x:f>
        <x:v>4</x:v>
      </x:c>
      <x:c r="P36" s="36" t="str">
        <x:f>IF(A36="Internal - Control Union / Peterson","INTERNAL",IF(O36&gt;=8,"HOT",IF(O36&gt;=5,"WARM","COLD")))</x:f>
        <x:v>COLD</x:v>
      </x:c>
      <x:c r="Q36" s="36" t="str"/>
      <x:c r="R36" s="44" t="n">
        <x:v>46260.4997337963</x:v>
      </x:c>
      <x:c r="S36" s="44" t="n">
        <x:v>46260.53380787037</x:v>
      </x:c>
      <x:c r="T36" s="36" t="str">
        <x:v>49 min 3s</x:v>
      </x:c>
      <x:c r="U36" s="36" t="str">
        <x:v>Asistente</x:v>
      </x:c>
      <x:c r="V36" s="36" t="str"/>
      <x:c r="W36" s="36" t="str"/>
      <x:c r="X36" s="36" t="str">
        <x:v>Guest/unverified Teams identity.</x:v>
      </x:c>
    </x:row>
    <x:row r="37">
      <x:c r="A37" s="36" t="str">
        <x:v>External</x:v>
      </x:c>
      <x:c r="B37" s="36" t="str">
        <x:v>Víctor Fernández Bracero</x:v>
      </x:c>
      <x:c r="C37" s="36" t="str">
        <x:v>victorfernandezbra@gmail.com</x:v>
      </x:c>
      <x:c r="D37" s="36" t="str">
        <x:v>victorfernandezbra@gmail.com</x:v>
      </x:c>
      <x:c r="E37" s="36" t="str">
        <x:v>PL Abogados SA</x:v>
      </x:c>
      <x:c r="F37" s="36" t="str">
        <x:v>Ecuador</x:v>
      </x:c>
      <x:c r="G37" s="38" t="n">
        <x:v>48.32</x:v>
      </x:c>
      <x:c r="H37" s="38" t="n">
        <x:v>3</x:v>
      </x:c>
      <x:c r="I37" s="38" t="n">
        <x:f>IF(G37&gt;50,2,IF(G37&gt;30,1,0))</x:f>
        <x:v>1</x:v>
      </x:c>
      <x:c r="J37" s="38" t="n">
        <x:v>0</x:v>
      </x:c>
      <x:c r="K37" s="38" t="n">
        <x:v>0</x:v>
      </x:c>
      <x:c r="L37" s="38" t="n">
        <x:v>0</x:v>
      </x:c>
      <x:c r="M37" s="38" t="n">
        <x:v>0</x:v>
      </x:c>
      <x:c r="N37" s="38" t="n">
        <x:f>SUM(J37:M37)</x:f>
        <x:v>0</x:v>
      </x:c>
      <x:c r="O37" s="38" t="n">
        <x:f>H37+I37+N37</x:f>
        <x:v>4</x:v>
      </x:c>
      <x:c r="P37" s="36" t="str">
        <x:f>IF(A37="Internal - Control Union / Peterson","INTERNAL",IF(O37&gt;=8,"HOT",IF(O37&gt;=5,"WARM","COLD")))</x:f>
        <x:v>COLD</x:v>
      </x:c>
      <x:c r="Q37" s="36" t="str"/>
      <x:c r="R37" s="44" t="n">
        <x:v>46260.50034722222</x:v>
      </x:c>
      <x:c r="S37" s="44" t="n">
        <x:v>46260.533900462964</x:v>
      </x:c>
      <x:c r="T37" s="36" t="str">
        <x:v>48 min 19s</x:v>
      </x:c>
      <x:c r="U37" s="36" t="str">
        <x:v>Asistente</x:v>
      </x:c>
      <x:c r="V37" s="36" t="str"/>
      <x:c r="W37" s="36" t="str"/>
      <x:c r="X37" s="36" t="str">
        <x:v>Guest/unverified Teams identity.</x:v>
      </x:c>
    </x:row>
    <x:row r="38">
      <x:c r="A38" s="36" t="str">
        <x:v>External</x:v>
      </x:c>
      <x:c r="B38" s="36" t="str">
        <x:v>Alma Zapata</x:v>
      </x:c>
      <x:c r="C38" s="36" t="str">
        <x:v>alma.zapata@oleofinos.com.mx</x:v>
      </x:c>
      <x:c r="D38" s="36" t="str">
        <x:v>alma.zapata@oleofinos.com.mx</x:v>
      </x:c>
      <x:c r="E38" s="36" t="str">
        <x:v>Privada</x:v>
      </x:c>
      <x:c r="F38" s="36" t="str">
        <x:v>México</x:v>
      </x:c>
      <x:c r="G38" s="38" t="n">
        <x:v>48.18</x:v>
      </x:c>
      <x:c r="H38" s="38" t="n">
        <x:v>3</x:v>
      </x:c>
      <x:c r="I38" s="38" t="n">
        <x:f>IF(G38&gt;50,2,IF(G38&gt;30,1,0))</x:f>
        <x:v>1</x:v>
      </x:c>
      <x:c r="J38" s="38" t="n">
        <x:v>0</x:v>
      </x:c>
      <x:c r="K38" s="38" t="n">
        <x:v>0</x:v>
      </x:c>
      <x:c r="L38" s="38" t="n">
        <x:v>0</x:v>
      </x:c>
      <x:c r="M38" s="38" t="n">
        <x:v>0</x:v>
      </x:c>
      <x:c r="N38" s="38" t="n">
        <x:f>SUM(J38:M38)</x:f>
        <x:v>0</x:v>
      </x:c>
      <x:c r="O38" s="38" t="n">
        <x:f>H38+I38+N38</x:f>
        <x:v>4</x:v>
      </x:c>
      <x:c r="P38" s="36" t="str">
        <x:f>IF(A38="Internal - Control Union / Peterson","INTERNAL",IF(O38&gt;=8,"HOT",IF(O38&gt;=5,"WARM","COLD")))</x:f>
        <x:v>COLD</x:v>
      </x:c>
      <x:c r="Q38" s="36" t="str"/>
      <x:c r="R38" s="44" t="n">
        <x:v>46260.50034722222</x:v>
      </x:c>
      <x:c r="S38" s="44" t="n">
        <x:v>46260.53380787037</x:v>
      </x:c>
      <x:c r="T38" s="36" t="str">
        <x:v>48 min 11s</x:v>
      </x:c>
      <x:c r="U38" s="36" t="str">
        <x:v>Asistente</x:v>
      </x:c>
      <x:c r="V38" s="36" t="str">
        <x:v>alma.zapata@oleofinos.com.mx</x:v>
      </x:c>
      <x:c r="W38" s="36" t="str">
        <x:v>alma.zapata@oleofinos.com.mx</x:v>
      </x:c>
      <x:c r="X38" s="36" t="str"/>
    </x:row>
    <x:row r="39">
      <x:c r="A39" s="36" t="str">
        <x:v>External</x:v>
      </x:c>
      <x:c r="B39" s="36" t="str">
        <x:v>SONIA GOMEZ</x:v>
      </x:c>
      <x:c r="C39" s="36" t="str">
        <x:v>agricolaelrecuerdo@aol.com</x:v>
      </x:c>
      <x:c r="D39" s="36" t="str">
        <x:v>agricolaelrecuerdo@aol.com</x:v>
      </x:c>
      <x:c r="E39" s="36" t="str">
        <x:v>EL RECUERDO</x:v>
      </x:c>
      <x:c r="F39" s="36" t="str">
        <x:v>ECUADOR</x:v>
      </x:c>
      <x:c r="G39" s="38" t="n">
        <x:v>47.75</x:v>
      </x:c>
      <x:c r="H39" s="38" t="n">
        <x:v>3</x:v>
      </x:c>
      <x:c r="I39" s="38" t="n">
        <x:f>IF(G39&gt;50,2,IF(G39&gt;30,1,0))</x:f>
        <x:v>1</x:v>
      </x:c>
      <x:c r="J39" s="38" t="n">
        <x:v>0</x:v>
      </x:c>
      <x:c r="K39" s="38" t="n">
        <x:v>0</x:v>
      </x:c>
      <x:c r="L39" s="38" t="n">
        <x:v>0</x:v>
      </x:c>
      <x:c r="M39" s="38" t="n">
        <x:v>0</x:v>
      </x:c>
      <x:c r="N39" s="38" t="n">
        <x:f>SUM(J39:M39)</x:f>
        <x:v>0</x:v>
      </x:c>
      <x:c r="O39" s="38" t="n">
        <x:f>H39+I39+N39</x:f>
        <x:v>4</x:v>
      </x:c>
      <x:c r="P39" s="36" t="str">
        <x:f>IF(A39="Internal - Control Union / Peterson","INTERNAL",IF(O39&gt;=8,"HOT",IF(O39&gt;=5,"WARM","COLD")))</x:f>
        <x:v>COLD</x:v>
      </x:c>
      <x:c r="Q39" s="36" t="str"/>
      <x:c r="R39" s="44" t="n">
        <x:v>46260.50357638889</x:v>
      </x:c>
      <x:c r="S39" s="44" t="n">
        <x:v>46260.53673611111</x:v>
      </x:c>
      <x:c r="T39" s="36" t="str">
        <x:v>47 min 45s</x:v>
      </x:c>
      <x:c r="U39" s="36" t="str">
        <x:v>Asistente</x:v>
      </x:c>
      <x:c r="V39" s="36" t="str"/>
      <x:c r="W39" s="36" t="str"/>
      <x:c r="X39" s="36" t="str">
        <x:v>Guest/unverified Teams identity.</x:v>
      </x:c>
    </x:row>
    <x:row r="40">
      <x:c r="A40" s="36" t="str">
        <x:v>External</x:v>
      </x:c>
      <x:c r="B40" s="36" t="str">
        <x:v>Sofia Maria Tinari Cotter (Externo)</x:v>
      </x:c>
      <x:c r="C40" s="36" t="str">
        <x:v>61TI31438717@campus.economicas.uba.ar</x:v>
      </x:c>
      <x:c r="D40" s="36" t="str">
        <x:v>sofitinari@hotmail.com</x:v>
      </x:c>
      <x:c r="E40" s="36" t="str">
        <x:v>31438717</x:v>
      </x:c>
      <x:c r="F40" s="36" t="str">
        <x:v>Argentina</x:v>
      </x:c>
      <x:c r="G40" s="38" t="n">
        <x:v>47.45</x:v>
      </x:c>
      <x:c r="H40" s="38" t="n">
        <x:v>3</x:v>
      </x:c>
      <x:c r="I40" s="38" t="n">
        <x:f>IF(G40&gt;50,2,IF(G40&gt;30,1,0))</x:f>
        <x:v>1</x:v>
      </x:c>
      <x:c r="J40" s="38" t="n">
        <x:v>0</x:v>
      </x:c>
      <x:c r="K40" s="38" t="n">
        <x:v>0</x:v>
      </x:c>
      <x:c r="L40" s="38" t="n">
        <x:v>0</x:v>
      </x:c>
      <x:c r="M40" s="38" t="n">
        <x:v>0</x:v>
      </x:c>
      <x:c r="N40" s="38" t="n">
        <x:f>SUM(J40:M40)</x:f>
        <x:v>0</x:v>
      </x:c>
      <x:c r="O40" s="38" t="n">
        <x:f>H40+I40+N40</x:f>
        <x:v>4</x:v>
      </x:c>
      <x:c r="P40" s="36" t="str">
        <x:f>IF(A40="Internal - Control Union / Peterson","INTERNAL",IF(O40&gt;=8,"HOT",IF(O40&gt;=5,"WARM","COLD")))</x:f>
        <x:v>COLD</x:v>
      </x:c>
      <x:c r="Q40" s="36" t="str"/>
      <x:c r="R40" s="44" t="n">
        <x:v>46260.500752314816</x:v>
      </x:c>
      <x:c r="S40" s="44" t="n">
        <x:v>46260.5337037037</x:v>
      </x:c>
      <x:c r="T40" s="36" t="str">
        <x:v>47 min 27s</x:v>
      </x:c>
      <x:c r="U40" s="36" t="str">
        <x:v>Asistente</x:v>
      </x:c>
      <x:c r="V40" s="36" t="str">
        <x:v>61TI31438717@campus.economicas.uba.ar</x:v>
      </x:c>
      <x:c r="W40" s="36" t="str">
        <x:v>61TI31438717@campus.economicas.uba.ar</x:v>
      </x:c>
      <x:c r="X40" s="36" t="str">
        <x:v>Teams identity email differs from registration email.</x:v>
      </x:c>
    </x:row>
    <x:row r="41">
      <x:c r="A41" s="36" t="str">
        <x:v>External</x:v>
      </x:c>
      <x:c r="B41" s="36" t="str">
        <x:v>Mario (No comprobado)</x:v>
      </x:c>
      <x:c r="C41" s="36" t="str">
        <x:v>mariorgaleano@gmail.com</x:v>
      </x:c>
      <x:c r="D41" s="36" t="str">
        <x:v>mariorgaleano@gmail.com</x:v>
      </x:c>
      <x:c r="E41" s="36" t="str">
        <x:v>Independiente</x:v>
      </x:c>
      <x:c r="F41" s="36" t="str">
        <x:v>Argentina</x:v>
      </x:c>
      <x:c r="G41" s="38" t="n">
        <x:v>47.2</x:v>
      </x:c>
      <x:c r="H41" s="38" t="n">
        <x:v>3</x:v>
      </x:c>
      <x:c r="I41" s="38" t="n">
        <x:f>IF(G41&gt;50,2,IF(G41&gt;30,1,0))</x:f>
        <x:v>1</x:v>
      </x:c>
      <x:c r="J41" s="38" t="n">
        <x:v>0</x:v>
      </x:c>
      <x:c r="K41" s="38" t="n">
        <x:v>0</x:v>
      </x:c>
      <x:c r="L41" s="38" t="n">
        <x:v>0</x:v>
      </x:c>
      <x:c r="M41" s="38" t="n">
        <x:v>0</x:v>
      </x:c>
      <x:c r="N41" s="38" t="n">
        <x:f>SUM(J41:M41)</x:f>
        <x:v>0</x:v>
      </x:c>
      <x:c r="O41" s="38" t="n">
        <x:f>H41+I41+N41</x:f>
        <x:v>4</x:v>
      </x:c>
      <x:c r="P41" s="36" t="str">
        <x:f>IF(A41="Internal - Control Union / Peterson","INTERNAL",IF(O41&gt;=8,"HOT",IF(O41&gt;=5,"WARM","COLD")))</x:f>
        <x:v>COLD</x:v>
      </x:c>
      <x:c r="Q41" s="36" t="str"/>
      <x:c r="R41" s="44" t="n">
        <x:v>46260.50098379629</x:v>
      </x:c>
      <x:c r="S41" s="44" t="n">
        <x:v>46260.53377314815</x:v>
      </x:c>
      <x:c r="T41" s="36" t="str">
        <x:v>47 min 12s</x:v>
      </x:c>
      <x:c r="U41" s="36" t="str">
        <x:v>Asistente</x:v>
      </x:c>
      <x:c r="V41" s="36" t="str"/>
      <x:c r="W41" s="36" t="str"/>
      <x:c r="X41" s="36" t="str">
        <x:v>Guest/unverified Teams identity.</x:v>
      </x:c>
    </x:row>
    <x:row r="42">
      <x:c r="A42" s="36" t="str">
        <x:v>External</x:v>
      </x:c>
      <x:c r="B42" s="36" t="str">
        <x:v>Walter Alayo (Externo)</x:v>
      </x:c>
      <x:c r="C42" s="36" t="str">
        <x:v>walter.alayo@carvimsa.com</x:v>
      </x:c>
      <x:c r="D42" s="36" t="str">
        <x:v>walter.alayo@carvimsa.com</x:v>
      </x:c>
      <x:c r="E42" s="36" t="str">
        <x:v>CARVIMSA</x:v>
      </x:c>
      <x:c r="F42" s="36" t="str">
        <x:v>Perú</x:v>
      </x:c>
      <x:c r="G42" s="38" t="n">
        <x:v>47.15</x:v>
      </x:c>
      <x:c r="H42" s="38" t="n">
        <x:v>3</x:v>
      </x:c>
      <x:c r="I42" s="38" t="n">
        <x:f>IF(G42&gt;50,2,IF(G42&gt;30,1,0))</x:f>
        <x:v>1</x:v>
      </x:c>
      <x:c r="J42" s="38" t="n">
        <x:v>0</x:v>
      </x:c>
      <x:c r="K42" s="38" t="n">
        <x:v>0</x:v>
      </x:c>
      <x:c r="L42" s="38" t="n">
        <x:v>0</x:v>
      </x:c>
      <x:c r="M42" s="38" t="n">
        <x:v>0</x:v>
      </x:c>
      <x:c r="N42" s="38" t="n">
        <x:f>SUM(J42:M42)</x:f>
        <x:v>0</x:v>
      </x:c>
      <x:c r="O42" s="38" t="n">
        <x:f>H42+I42+N42</x:f>
        <x:v>4</x:v>
      </x:c>
      <x:c r="P42" s="36" t="str">
        <x:f>IF(A42="Internal - Control Union / Peterson","INTERNAL",IF(O42&gt;=8,"HOT",IF(O42&gt;=5,"WARM","COLD")))</x:f>
        <x:v>COLD</x:v>
      </x:c>
      <x:c r="Q42" s="36" t="str"/>
      <x:c r="R42" s="44" t="n">
        <x:v>46260.50100694445</x:v>
      </x:c>
      <x:c r="S42" s="44" t="n">
        <x:v>46260.53376157407</x:v>
      </x:c>
      <x:c r="T42" s="36" t="str">
        <x:v>47 min 9s</x:v>
      </x:c>
      <x:c r="U42" s="36" t="str">
        <x:v>Asistente</x:v>
      </x:c>
      <x:c r="V42" s="36" t="str">
        <x:v>walter.alayo@carvimsa.com</x:v>
      </x:c>
      <x:c r="W42" s="36" t="str">
        <x:v>walter.alayo@carvimsa.com</x:v>
      </x:c>
      <x:c r="X42" s="36" t="str"/>
    </x:row>
    <x:row r="43">
      <x:c r="A43" s="36" t="str">
        <x:v>External</x:v>
      </x:c>
      <x:c r="B43" s="36" t="str">
        <x:v>Alfredo Fajardo (No comprobado)</x:v>
      </x:c>
      <x:c r="C43" s="36" t="str">
        <x:v>sig.redocelote@bioap.com.co</x:v>
      </x:c>
      <x:c r="D43" s="36" t="str">
        <x:v>sig.redocelote@bioap.com.co</x:v>
      </x:c>
      <x:c r="E43" s="36" t="str">
        <x:v>Biopa</x:v>
      </x:c>
      <x:c r="F43" s="36" t="str">
        <x:v>Colombia</x:v>
      </x:c>
      <x:c r="G43" s="38" t="n">
        <x:v>46.9</x:v>
      </x:c>
      <x:c r="H43" s="38" t="n">
        <x:v>3</x:v>
      </x:c>
      <x:c r="I43" s="38" t="n">
        <x:f>IF(G43&gt;50,2,IF(G43&gt;30,1,0))</x:f>
        <x:v>1</x:v>
      </x:c>
      <x:c r="J43" s="38" t="n">
        <x:v>0</x:v>
      </x:c>
      <x:c r="K43" s="38" t="n">
        <x:v>0</x:v>
      </x:c>
      <x:c r="L43" s="38" t="n">
        <x:v>0</x:v>
      </x:c>
      <x:c r="M43" s="38" t="n">
        <x:v>0</x:v>
      </x:c>
      <x:c r="N43" s="38" t="n">
        <x:f>SUM(J43:M43)</x:f>
        <x:v>0</x:v>
      </x:c>
      <x:c r="O43" s="38" t="n">
        <x:f>H43+I43+N43</x:f>
        <x:v>4</x:v>
      </x:c>
      <x:c r="P43" s="36" t="str">
        <x:f>IF(A43="Internal - Control Union / Peterson","INTERNAL",IF(O43&gt;=8,"HOT",IF(O43&gt;=5,"WARM","COLD")))</x:f>
        <x:v>COLD</x:v>
      </x:c>
      <x:c r="Q43" s="36" t="str"/>
      <x:c r="R43" s="44" t="n">
        <x:v>46260.501180555555</x:v>
      </x:c>
      <x:c r="S43" s="44" t="n">
        <x:v>46260.53376157407</x:v>
      </x:c>
      <x:c r="T43" s="36" t="str">
        <x:v>46 min 54s</x:v>
      </x:c>
      <x:c r="U43" s="36" t="str">
        <x:v>Asistente</x:v>
      </x:c>
      <x:c r="V43" s="36" t="str"/>
      <x:c r="W43" s="36" t="str"/>
      <x:c r="X43" s="36" t="str">
        <x:v>Guest/unverified Teams identity.</x:v>
      </x:c>
    </x:row>
    <x:row r="44">
      <x:c r="A44" s="36" t="str">
        <x:v>External</x:v>
      </x:c>
      <x:c r="B44" s="36" t="str">
        <x:v>María Gabriela Montenegro (Externo)</x:v>
      </x:c>
      <x:c r="C44" s="36" t="str">
        <x:v>gmontenegro@cofcointernational.com</x:v>
      </x:c>
      <x:c r="D44" s="36" t="str">
        <x:v>gmontenegro@cofcointernational.com</x:v>
      </x:c>
      <x:c r="E44" s="36" t="str">
        <x:v>COFCO INTERNATIONAL ARGENTINA S.A.</x:v>
      </x:c>
      <x:c r="F44" s="36" t="str">
        <x:v>Argentina</x:v>
      </x:c>
      <x:c r="G44" s="38" t="n">
        <x:v>46.83</x:v>
      </x:c>
      <x:c r="H44" s="38" t="n">
        <x:v>3</x:v>
      </x:c>
      <x:c r="I44" s="38" t="n">
        <x:f>IF(G44&gt;50,2,IF(G44&gt;30,1,0))</x:f>
        <x:v>1</x:v>
      </x:c>
      <x:c r="J44" s="38" t="n">
        <x:v>0</x:v>
      </x:c>
      <x:c r="K44" s="38" t="n">
        <x:v>0</x:v>
      </x:c>
      <x:c r="L44" s="38" t="n">
        <x:v>0</x:v>
      </x:c>
      <x:c r="M44" s="38" t="n">
        <x:v>0</x:v>
      </x:c>
      <x:c r="N44" s="38" t="n">
        <x:f>SUM(J44:M44)</x:f>
        <x:v>0</x:v>
      </x:c>
      <x:c r="O44" s="38" t="n">
        <x:f>H44+I44+N44</x:f>
        <x:v>4</x:v>
      </x:c>
      <x:c r="P44" s="36" t="str">
        <x:f>IF(A44="Internal - Control Union / Peterson","INTERNAL",IF(O44&gt;=8,"HOT",IF(O44&gt;=5,"WARM","COLD")))</x:f>
        <x:v>COLD</x:v>
      </x:c>
      <x:c r="Q44" s="36" t="str"/>
      <x:c r="R44" s="44" t="n">
        <x:v>46260.50114583333</x:v>
      </x:c>
      <x:c r="S44" s="44" t="n">
        <x:v>46260.533680555556</x:v>
      </x:c>
      <x:c r="T44" s="36" t="str">
        <x:v>46 min 50s</x:v>
      </x:c>
      <x:c r="U44" s="36" t="str">
        <x:v>Asistente</x:v>
      </x:c>
      <x:c r="V44" s="36" t="str">
        <x:v>gmontenegro@cofcointernational.com</x:v>
      </x:c>
      <x:c r="W44" s="36" t="str">
        <x:v>gmo@cofcointernational.com</x:v>
      </x:c>
      <x:c r="X44" s="36" t="str"/>
    </x:row>
    <x:row r="45">
      <x:c r="A45" s="36" t="str">
        <x:v>External</x:v>
      </x:c>
      <x:c r="B45" s="36" t="str">
        <x:v>Adriana Armijos (No comprobado)</x:v>
      </x:c>
      <x:c r="C45" s="36" t="str">
        <x:v>adriana.armijos@unocace.com</x:v>
      </x:c>
      <x:c r="D45" s="36" t="str">
        <x:v>adriana.armijos@unocace.com</x:v>
      </x:c>
      <x:c r="E45" s="36" t="str">
        <x:v>UNOCACE</x:v>
      </x:c>
      <x:c r="F45" s="36" t="str">
        <x:v>Ecuador</x:v>
      </x:c>
      <x:c r="G45" s="38" t="n">
        <x:v>46.78</x:v>
      </x:c>
      <x:c r="H45" s="38" t="n">
        <x:v>3</x:v>
      </x:c>
      <x:c r="I45" s="38" t="n">
        <x:f>IF(G45&gt;50,2,IF(G45&gt;30,1,0))</x:f>
        <x:v>1</x:v>
      </x:c>
      <x:c r="J45" s="38" t="n">
        <x:v>0</x:v>
      </x:c>
      <x:c r="K45" s="38" t="n">
        <x:v>0</x:v>
      </x:c>
      <x:c r="L45" s="38" t="n">
        <x:v>0</x:v>
      </x:c>
      <x:c r="M45" s="38" t="n">
        <x:v>0</x:v>
      </x:c>
      <x:c r="N45" s="38" t="n">
        <x:f>SUM(J45:M45)</x:f>
        <x:v>0</x:v>
      </x:c>
      <x:c r="O45" s="38" t="n">
        <x:f>H45+I45+N45</x:f>
        <x:v>4</x:v>
      </x:c>
      <x:c r="P45" s="36" t="str">
        <x:f>IF(A45="Internal - Control Union / Peterson","INTERNAL",IF(O45&gt;=8,"HOT",IF(O45&gt;=5,"WARM","COLD")))</x:f>
        <x:v>COLD</x:v>
      </x:c>
      <x:c r="Q45" s="36" t="str"/>
      <x:c r="R45" s="44" t="n">
        <x:v>46260.50126157407</x:v>
      </x:c>
      <x:c r="S45" s="44" t="n">
        <x:v>46260.53376157407</x:v>
      </x:c>
      <x:c r="T45" s="36" t="str">
        <x:v>46 min 47s</x:v>
      </x:c>
      <x:c r="U45" s="36" t="str">
        <x:v>Asistente</x:v>
      </x:c>
      <x:c r="V45" s="36" t="str"/>
      <x:c r="W45" s="36" t="str"/>
      <x:c r="X45" s="36" t="str">
        <x:v>Guest/unverified Teams identity.</x:v>
      </x:c>
    </x:row>
    <x:row r="46">
      <x:c r="A46" s="36" t="str">
        <x:v>External</x:v>
      </x:c>
      <x:c r="B46" s="36" t="str">
        <x:v>Leticia López (Externo)</x:v>
      </x:c>
      <x:c r="C46" s="36" t="str">
        <x:v>leticia.lopez@somaxagro.com</x:v>
      </x:c>
      <x:c r="D46" s="36" t="str">
        <x:v>leticia.lopez@somaxagro.com</x:v>
      </x:c>
      <x:c r="E46" s="36" t="str">
        <x:v>SOMAX AGRO S.A</x:v>
      </x:c>
      <x:c r="F46" s="36" t="str">
        <x:v>Paraguay</x:v>
      </x:c>
      <x:c r="G46" s="38" t="n">
        <x:v>46.7</x:v>
      </x:c>
      <x:c r="H46" s="38" t="n">
        <x:v>3</x:v>
      </x:c>
      <x:c r="I46" s="38" t="n">
        <x:f>IF(G46&gt;50,2,IF(G46&gt;30,1,0))</x:f>
        <x:v>1</x:v>
      </x:c>
      <x:c r="J46" s="38" t="n">
        <x:v>0</x:v>
      </x:c>
      <x:c r="K46" s="38" t="n">
        <x:v>0</x:v>
      </x:c>
      <x:c r="L46" s="38" t="n">
        <x:v>0</x:v>
      </x:c>
      <x:c r="M46" s="38" t="n">
        <x:v>0</x:v>
      </x:c>
      <x:c r="N46" s="38" t="n">
        <x:f>SUM(J46:M46)</x:f>
        <x:v>0</x:v>
      </x:c>
      <x:c r="O46" s="38" t="n">
        <x:f>H46+I46+N46</x:f>
        <x:v>4</x:v>
      </x:c>
      <x:c r="P46" s="36" t="str">
        <x:f>IF(A46="Internal - Control Union / Peterson","INTERNAL",IF(O46&gt;=8,"HOT",IF(O46&gt;=5,"WARM","COLD")))</x:f>
        <x:v>COLD</x:v>
      </x:c>
      <x:c r="Q46" s="36" t="str"/>
      <x:c r="R46" s="44" t="n">
        <x:v>46260.501296296294</x:v>
      </x:c>
      <x:c r="S46" s="44" t="n">
        <x:v>46260.533738425926</x:v>
      </x:c>
      <x:c r="T46" s="36" t="str">
        <x:v>46 min 42s</x:v>
      </x:c>
      <x:c r="U46" s="36" t="str">
        <x:v>Asistente</x:v>
      </x:c>
      <x:c r="V46" s="36" t="str">
        <x:v>leticia.lopez@somaxagro.com</x:v>
      </x:c>
      <x:c r="W46" s="36" t="str">
        <x:v>leticia.lopez@somaxagro.com</x:v>
      </x:c>
      <x:c r="X46" s="36" t="str"/>
    </x:row>
    <x:row r="47">
      <x:c r="A47" s="36" t="str">
        <x:v>External</x:v>
      </x:c>
      <x:c r="B47" s="36" t="str">
        <x:v>Juan Pablo (No comprobado)</x:v>
      </x:c>
      <x:c r="C47" s="36" t="str">
        <x:v>juan.zorro@bioap.com.co</x:v>
      </x:c>
      <x:c r="D47" s="36" t="str">
        <x:v>juan.zorro@bioap.com.co</x:v>
      </x:c>
      <x:c r="E47" s="36" t="str">
        <x:v>BioAp</x:v>
      </x:c>
      <x:c r="F47" s="36" t="str">
        <x:v>Colombia</x:v>
      </x:c>
      <x:c r="G47" s="38" t="n">
        <x:v>46.5</x:v>
      </x:c>
      <x:c r="H47" s="38" t="n">
        <x:v>3</x:v>
      </x:c>
      <x:c r="I47" s="38" t="n">
        <x:f>IF(G47&gt;50,2,IF(G47&gt;30,1,0))</x:f>
        <x:v>1</x:v>
      </x:c>
      <x:c r="J47" s="38" t="n">
        <x:v>0</x:v>
      </x:c>
      <x:c r="K47" s="38" t="n">
        <x:v>0</x:v>
      </x:c>
      <x:c r="L47" s="38" t="n">
        <x:v>0</x:v>
      </x:c>
      <x:c r="M47" s="38" t="n">
        <x:v>0</x:v>
      </x:c>
      <x:c r="N47" s="38" t="n">
        <x:f>SUM(J47:M47)</x:f>
        <x:v>0</x:v>
      </x:c>
      <x:c r="O47" s="38" t="n">
        <x:f>H47+I47+N47</x:f>
        <x:v>4</x:v>
      </x:c>
      <x:c r="P47" s="36" t="str">
        <x:f>IF(A47="Internal - Control Union / Peterson","INTERNAL",IF(O47&gt;=8,"HOT",IF(O47&gt;=5,"WARM","COLD")))</x:f>
        <x:v>COLD</x:v>
      </x:c>
      <x:c r="Q47" s="36" t="str"/>
      <x:c r="R47" s="44" t="n">
        <x:v>46260.50140046296</x:v>
      </x:c>
      <x:c r="S47" s="44" t="n">
        <x:v>46260.53369212963</x:v>
      </x:c>
      <x:c r="T47" s="36" t="str">
        <x:v>46 min 30s</x:v>
      </x:c>
      <x:c r="U47" s="36" t="str">
        <x:v>Asistente</x:v>
      </x:c>
      <x:c r="V47" s="36" t="str"/>
      <x:c r="W47" s="36" t="str"/>
      <x:c r="X47" s="36" t="str">
        <x:v>Guest/unverified Teams identity.</x:v>
      </x:c>
    </x:row>
    <x:row r="48">
      <x:c r="A48" s="36" t="str">
        <x:v>External</x:v>
      </x:c>
      <x:c r="B48" s="36" t="str">
        <x:v>Arturo Zaldivar Valer</x:v>
      </x:c>
      <x:c r="C48" s="36" t="str">
        <x:v>Arturo.Zaldivar@dole.com</x:v>
      </x:c>
      <x:c r="D48" s="36" t="str">
        <x:v>arturo.zaldivar@dole.com</x:v>
      </x:c>
      <x:c r="E48" s="36" t="str">
        <x:v>DOLE PERU</x:v>
      </x:c>
      <x:c r="F48" s="36" t="str">
        <x:v>PERU</x:v>
      </x:c>
      <x:c r="G48" s="38" t="n">
        <x:v>46.38</x:v>
      </x:c>
      <x:c r="H48" s="38" t="n">
        <x:v>3</x:v>
      </x:c>
      <x:c r="I48" s="38" t="n">
        <x:f>IF(G48&gt;50,2,IF(G48&gt;30,1,0))</x:f>
        <x:v>1</x:v>
      </x:c>
      <x:c r="J48" s="38" t="n">
        <x:v>0</x:v>
      </x:c>
      <x:c r="K48" s="38" t="n">
        <x:v>0</x:v>
      </x:c>
      <x:c r="L48" s="38" t="n">
        <x:v>0</x:v>
      </x:c>
      <x:c r="M48" s="38" t="n">
        <x:v>0</x:v>
      </x:c>
      <x:c r="N48" s="38" t="n">
        <x:f>SUM(J48:M48)</x:f>
        <x:v>0</x:v>
      </x:c>
      <x:c r="O48" s="38" t="n">
        <x:f>H48+I48+N48</x:f>
        <x:v>4</x:v>
      </x:c>
      <x:c r="P48" s="36" t="str">
        <x:f>IF(A48="Internal - Control Union / Peterson","INTERNAL",IF(O48&gt;=8,"HOT",IF(O48&gt;=5,"WARM","COLD")))</x:f>
        <x:v>COLD</x:v>
      </x:c>
      <x:c r="Q48" s="36" t="str"/>
      <x:c r="R48" s="44" t="n">
        <x:v>46260.504155092596</x:v>
      </x:c>
      <x:c r="S48" s="44" t="n">
        <x:v>46260.53636574074</x:v>
      </x:c>
      <x:c r="T48" s="36" t="str">
        <x:v>46 min 23s</x:v>
      </x:c>
      <x:c r="U48" s="36" t="str">
        <x:v>Asistente</x:v>
      </x:c>
      <x:c r="V48" s="36" t="str">
        <x:v>Arturo.Zaldivar@dole.com</x:v>
      </x:c>
      <x:c r="W48" s="36" t="str">
        <x:v>Arturo.Zaldivar@dole.com</x:v>
      </x:c>
      <x:c r="X48" s="36" t="str"/>
    </x:row>
    <x:row r="49">
      <x:c r="A49" s="36" t="str">
        <x:v>External</x:v>
      </x:c>
      <x:c r="B49" s="36" t="str">
        <x:v>María Victoria Rodríguez (Externo)</x:v>
      </x:c>
      <x:c r="C49" s="36" t="str">
        <x:v>mrodriguez@cousa.com</x:v>
      </x:c>
      <x:c r="D49" s="36" t="str">
        <x:v>mrodriguez@cousa.com</x:v>
      </x:c>
      <x:c r="E49" s="36" t="str">
        <x:v>C.O.U.S.A.</x:v>
      </x:c>
      <x:c r="F49" s="36" t="str">
        <x:v>Uruguay</x:v>
      </x:c>
      <x:c r="G49" s="38" t="n">
        <x:v>46.27</x:v>
      </x:c>
      <x:c r="H49" s="38" t="n">
        <x:v>3</x:v>
      </x:c>
      <x:c r="I49" s="38" t="n">
        <x:f>IF(G49&gt;50,2,IF(G49&gt;30,1,0))</x:f>
        <x:v>1</x:v>
      </x:c>
      <x:c r="J49" s="38" t="n">
        <x:v>0</x:v>
      </x:c>
      <x:c r="K49" s="38" t="n">
        <x:v>0</x:v>
      </x:c>
      <x:c r="L49" s="38" t="n">
        <x:v>0</x:v>
      </x:c>
      <x:c r="M49" s="38" t="n">
        <x:v>0</x:v>
      </x:c>
      <x:c r="N49" s="38" t="n">
        <x:f>SUM(J49:M49)</x:f>
        <x:v>0</x:v>
      </x:c>
      <x:c r="O49" s="38" t="n">
        <x:f>H49+I49+N49</x:f>
        <x:v>4</x:v>
      </x:c>
      <x:c r="P49" s="36" t="str">
        <x:f>IF(A49="Internal - Control Union / Peterson","INTERNAL",IF(O49&gt;=8,"HOT",IF(O49&gt;=5,"WARM","COLD")))</x:f>
        <x:v>COLD</x:v>
      </x:c>
      <x:c r="Q49" s="36" t="str"/>
      <x:c r="R49" s="44" t="n">
        <x:v>46260.50157407407</x:v>
      </x:c>
      <x:c r="S49" s="44" t="n">
        <x:v>46260.53371527778</x:v>
      </x:c>
      <x:c r="T49" s="36" t="str">
        <x:v>46 min 16s</x:v>
      </x:c>
      <x:c r="U49" s="36" t="str">
        <x:v>Asistente</x:v>
      </x:c>
      <x:c r="V49" s="36" t="str">
        <x:v>mrodriguez@cousa.com</x:v>
      </x:c>
      <x:c r="W49" s="36" t="str">
        <x:v>mrodriguez@cousa.com</x:v>
      </x:c>
      <x:c r="X49" s="36" t="str"/>
    </x:row>
    <x:row r="50">
      <x:c r="A50" s="36" t="str">
        <x:v>External</x:v>
      </x:c>
      <x:c r="B50" s="36" t="str">
        <x:v>Daniela Cardona</x:v>
      </x:c>
      <x:c r="C50" s="36" t="str">
        <x:v>daniela.c@localpartners.ch</x:v>
      </x:c>
      <x:c r="D50" s="36" t="str">
        <x:v>david@localpartners.ch</x:v>
      </x:c>
      <x:c r="E50" s="36" t="str">
        <x:v>Fundación Local Partners</x:v>
      </x:c>
      <x:c r="F50" s="36" t="str">
        <x:v>Colombia</x:v>
      </x:c>
      <x:c r="G50" s="38" t="n">
        <x:v>46.03</x:v>
      </x:c>
      <x:c r="H50" s="38" t="n">
        <x:v>3</x:v>
      </x:c>
      <x:c r="I50" s="38" t="n">
        <x:f>IF(G50&gt;50,2,IF(G50&gt;30,1,0))</x:f>
        <x:v>1</x:v>
      </x:c>
      <x:c r="J50" s="38" t="n">
        <x:v>0</x:v>
      </x:c>
      <x:c r="K50" s="38" t="n">
        <x:v>0</x:v>
      </x:c>
      <x:c r="L50" s="38" t="n">
        <x:v>0</x:v>
      </x:c>
      <x:c r="M50" s="38" t="n">
        <x:v>0</x:v>
      </x:c>
      <x:c r="N50" s="38" t="n">
        <x:f>SUM(J50:M50)</x:f>
        <x:v>0</x:v>
      </x:c>
      <x:c r="O50" s="38" t="n">
        <x:f>H50+I50+N50</x:f>
        <x:v>4</x:v>
      </x:c>
      <x:c r="P50" s="36" t="str">
        <x:f>IF(A50="Internal - Control Union / Peterson","INTERNAL",IF(O50&gt;=8,"HOT",IF(O50&gt;=5,"WARM","COLD")))</x:f>
        <x:v>COLD</x:v>
      </x:c>
      <x:c r="Q50" s="36" t="str"/>
      <x:c r="R50" s="44" t="n">
        <x:v>46260.50177083333</x:v>
      </x:c>
      <x:c r="S50" s="44" t="n">
        <x:v>46260.533738425926</x:v>
      </x:c>
      <x:c r="T50" s="36" t="str">
        <x:v>46 min 2s</x:v>
      </x:c>
      <x:c r="U50" s="36" t="str">
        <x:v>Asistente</x:v>
      </x:c>
      <x:c r="V50" s="36" t="str">
        <x:v>daniela.c@localpartners.ch</x:v>
      </x:c>
      <x:c r="W50" s="36" t="str">
        <x:v>daniela.c@localpartners.ch</x:v>
      </x:c>
      <x:c r="X50" s="36" t="str">
        <x:v>Teams identity email differs from registration email.</x:v>
      </x:c>
    </x:row>
    <x:row r="51">
      <x:c r="A51" s="36" t="str">
        <x:v>External</x:v>
      </x:c>
      <x:c r="B51" s="36" t="str">
        <x:v>Daniel Oliveira</x:v>
      </x:c>
      <x:c r="C51" s="36" t="str">
        <x:v>daniel.mag.oliveira@gmail.com</x:v>
      </x:c>
      <x:c r="D51" s="36" t="str">
        <x:v>daniel.mag.oliveira@gmail.com</x:v>
      </x:c>
      <x:c r="E51" s="36" t="str">
        <x:v>Biocertus</x:v>
      </x:c>
      <x:c r="F51" s="36" t="str">
        <x:v>Brasil</x:v>
      </x:c>
      <x:c r="G51" s="38" t="n">
        <x:v>45.88</x:v>
      </x:c>
      <x:c r="H51" s="38" t="n">
        <x:v>3</x:v>
      </x:c>
      <x:c r="I51" s="38" t="n">
        <x:f>IF(G51&gt;50,2,IF(G51&gt;30,1,0))</x:f>
        <x:v>1</x:v>
      </x:c>
      <x:c r="J51" s="38" t="n">
        <x:v>0</x:v>
      </x:c>
      <x:c r="K51" s="38" t="n">
        <x:v>0</x:v>
      </x:c>
      <x:c r="L51" s="38" t="n">
        <x:v>0</x:v>
      </x:c>
      <x:c r="M51" s="38" t="n">
        <x:v>0</x:v>
      </x:c>
      <x:c r="N51" s="38" t="n">
        <x:f>SUM(J51:M51)</x:f>
        <x:v>0</x:v>
      </x:c>
      <x:c r="O51" s="38" t="n">
        <x:f>H51+I51+N51</x:f>
        <x:v>4</x:v>
      </x:c>
      <x:c r="P51" s="36" t="str">
        <x:f>IF(A51="Internal - Control Union / Peterson","INTERNAL",IF(O51&gt;=8,"HOT",IF(O51&gt;=5,"WARM","COLD")))</x:f>
        <x:v>COLD</x:v>
      </x:c>
      <x:c r="Q51" s="36" t="str"/>
      <x:c r="R51" s="44" t="n">
        <x:v>46260.50193287037</x:v>
      </x:c>
      <x:c r="S51" s="44" t="n">
        <x:v>46260.533796296295</x:v>
      </x:c>
      <x:c r="T51" s="36" t="str">
        <x:v>45 min 53s</x:v>
      </x:c>
      <x:c r="U51" s="36" t="str">
        <x:v>Asistente</x:v>
      </x:c>
      <x:c r="V51" s="36" t="str"/>
      <x:c r="W51" s="36" t="str"/>
      <x:c r="X51" s="36" t="str">
        <x:v>Guest/unverified Teams identity.</x:v>
      </x:c>
    </x:row>
    <x:row r="52">
      <x:c r="A52" s="36" t="str">
        <x:v>External</x:v>
      </x:c>
      <x:c r="B52" s="36" t="str">
        <x:v>Mario Arauz Rojas</x:v>
      </x:c>
      <x:c r="C52" s="36" t="str">
        <x:v>marauz@coopeagri.co.cr</x:v>
      </x:c>
      <x:c r="D52" s="36" t="str">
        <x:v>marauz@coopeagri.co.cr</x:v>
      </x:c>
      <x:c r="E52" s="36" t="str">
        <x:v>COOPEAGRI R.L.</x:v>
      </x:c>
      <x:c r="F52" s="36" t="str">
        <x:v>COSTA RICA</x:v>
      </x:c>
      <x:c r="G52" s="38" t="n">
        <x:v>45.87</x:v>
      </x:c>
      <x:c r="H52" s="38" t="n">
        <x:v>3</x:v>
      </x:c>
      <x:c r="I52" s="38" t="n">
        <x:f>IF(G52&gt;50,2,IF(G52&gt;30,1,0))</x:f>
        <x:v>1</x:v>
      </x:c>
      <x:c r="J52" s="38" t="n">
        <x:v>0</x:v>
      </x:c>
      <x:c r="K52" s="38" t="n">
        <x:v>0</x:v>
      </x:c>
      <x:c r="L52" s="38" t="n">
        <x:v>0</x:v>
      </x:c>
      <x:c r="M52" s="38" t="n">
        <x:v>0</x:v>
      </x:c>
      <x:c r="N52" s="38" t="n">
        <x:f>SUM(J52:M52)</x:f>
        <x:v>0</x:v>
      </x:c>
      <x:c r="O52" s="38" t="n">
        <x:f>H52+I52+N52</x:f>
        <x:v>4</x:v>
      </x:c>
      <x:c r="P52" s="36" t="str">
        <x:f>IF(A52="Internal - Control Union / Peterson","INTERNAL",IF(O52&gt;=8,"HOT",IF(O52&gt;=5,"WARM","COLD")))</x:f>
        <x:v>COLD</x:v>
      </x:c>
      <x:c r="Q52" s="36" t="str"/>
      <x:c r="R52" s="44" t="n">
        <x:v>46260.501875</x:v>
      </x:c>
      <x:c r="S52" s="44" t="n">
        <x:v>46260.533738425926</x:v>
      </x:c>
      <x:c r="T52" s="36" t="str">
        <x:v>45 min 52s</x:v>
      </x:c>
      <x:c r="U52" s="36" t="str">
        <x:v>Asistente</x:v>
      </x:c>
      <x:c r="V52" s="36" t="str"/>
      <x:c r="W52" s="36" t="str"/>
      <x:c r="X52" s="36" t="str">
        <x:v>Guest/unverified Teams identity.</x:v>
      </x:c>
    </x:row>
    <x:row r="53">
      <x:c r="A53" s="36" t="str">
        <x:v>External</x:v>
      </x:c>
      <x:c r="B53" s="36" t="str">
        <x:v>Data Science (Externo)</x:v>
      </x:c>
      <x:c r="C53" s="36" t="str">
        <x:v>ds@simasoftware.onmicrosoft.com</x:v>
      </x:c>
      <x:c r="D53" s="36" t="str">
        <x:v>pedro@sima.ag</x:v>
      </x:c>
      <x:c r="E53" s="36" t="str">
        <x:v>SIMA</x:v>
      </x:c>
      <x:c r="F53" s="36" t="str">
        <x:v>Argentina</x:v>
      </x:c>
      <x:c r="G53" s="38" t="n">
        <x:v>45.6</x:v>
      </x:c>
      <x:c r="H53" s="38" t="n">
        <x:v>3</x:v>
      </x:c>
      <x:c r="I53" s="38" t="n">
        <x:f>IF(G53&gt;50,2,IF(G53&gt;30,1,0))</x:f>
        <x:v>1</x:v>
      </x:c>
      <x:c r="J53" s="38" t="n">
        <x:v>0</x:v>
      </x:c>
      <x:c r="K53" s="38" t="n">
        <x:v>0</x:v>
      </x:c>
      <x:c r="L53" s="38" t="n">
        <x:v>0</x:v>
      </x:c>
      <x:c r="M53" s="38" t="n">
        <x:v>0</x:v>
      </x:c>
      <x:c r="N53" s="38" t="n">
        <x:f>SUM(J53:M53)</x:f>
        <x:v>0</x:v>
      </x:c>
      <x:c r="O53" s="38" t="n">
        <x:f>H53+I53+N53</x:f>
        <x:v>4</x:v>
      </x:c>
      <x:c r="P53" s="36" t="str">
        <x:f>IF(A53="Internal - Control Union / Peterson","INTERNAL",IF(O53&gt;=8,"HOT",IF(O53&gt;=5,"WARM","COLD")))</x:f>
        <x:v>COLD</x:v>
      </x:c>
      <x:c r="Q53" s="36" t="str"/>
      <x:c r="R53" s="44" t="n">
        <x:v>46260.500925925924</x:v>
      </x:c>
      <x:c r="S53" s="44" t="n">
        <x:v>46260.5337037037</x:v>
      </x:c>
      <x:c r="T53" s="36" t="str">
        <x:v>45 min 36s</x:v>
      </x:c>
      <x:c r="U53" s="36" t="str">
        <x:v>Asistente</x:v>
      </x:c>
      <x:c r="V53" s="36" t="str">
        <x:v>ds@simasoftware.onmicrosoft.com</x:v>
      </x:c>
      <x:c r="W53" s="36" t="str">
        <x:v>ds@simasoftware.onmicrosoft.com</x:v>
      </x:c>
      <x:c r="X53" s="36" t="str">
        <x:v>Teams identity email differs from registration email.</x:v>
      </x:c>
    </x:row>
    <x:row r="54">
      <x:c r="A54" s="36" t="str">
        <x:v>External</x:v>
      </x:c>
      <x:c r="B54" s="36" t="str">
        <x:v>Jorge Ochante (Externo)</x:v>
      </x:c>
      <x:c r="C54" s="36" t="str">
        <x:v>jorge.ochante@ecomgroup.com</x:v>
      </x:c>
      <x:c r="D54" s="36" t="str">
        <x:v>jorge.ochante@ecomgroup.com</x:v>
      </x:c>
      <x:c r="E54" s="36" t="str">
        <x:v>CAMSA</x:v>
      </x:c>
      <x:c r="F54" s="36" t="str">
        <x:v>Perú</x:v>
      </x:c>
      <x:c r="G54" s="38" t="n">
        <x:v>44.73</x:v>
      </x:c>
      <x:c r="H54" s="38" t="n">
        <x:v>3</x:v>
      </x:c>
      <x:c r="I54" s="38" t="n">
        <x:f>IF(G54&gt;50,2,IF(G54&gt;30,1,0))</x:f>
        <x:v>1</x:v>
      </x:c>
      <x:c r="J54" s="38" t="n">
        <x:v>0</x:v>
      </x:c>
      <x:c r="K54" s="38" t="n">
        <x:v>0</x:v>
      </x:c>
      <x:c r="L54" s="38" t="n">
        <x:v>0</x:v>
      </x:c>
      <x:c r="M54" s="38" t="n">
        <x:v>0</x:v>
      </x:c>
      <x:c r="N54" s="38" t="n">
        <x:f>SUM(J54:M54)</x:f>
        <x:v>0</x:v>
      </x:c>
      <x:c r="O54" s="38" t="n">
        <x:f>H54+I54+N54</x:f>
        <x:v>4</x:v>
      </x:c>
      <x:c r="P54" s="36" t="str">
        <x:f>IF(A54="Internal - Control Union / Peterson","INTERNAL",IF(O54&gt;=8,"HOT",IF(O54&gt;=5,"WARM","COLD")))</x:f>
        <x:v>COLD</x:v>
      </x:c>
      <x:c r="Q54" s="36" t="str"/>
      <x:c r="R54" s="44" t="n">
        <x:v>46260.501435185186</x:v>
      </x:c>
      <x:c r="S54" s="44" t="n">
        <x:v>46260.5325</x:v>
      </x:c>
      <x:c r="T54" s="36" t="str">
        <x:v>44 min 44s</x:v>
      </x:c>
      <x:c r="U54" s="36" t="str">
        <x:v>Asistente</x:v>
      </x:c>
      <x:c r="V54" s="36" t="str">
        <x:v>jorge.ochante@ecomgroup.com</x:v>
      </x:c>
      <x:c r="W54" s="36" t="str">
        <x:v>jorge.ochante@ecomgroup.com</x:v>
      </x:c>
      <x:c r="X54" s="36" t="str"/>
    </x:row>
    <x:row r="55">
      <x:c r="A55" s="36" t="str">
        <x:v>External</x:v>
      </x:c>
      <x:c r="B55" s="36" t="str">
        <x:v>Gabriela Cárdenas</x:v>
      </x:c>
      <x:c r="C55" s="36" t="str">
        <x:v>gabriela.cardenas@interoc.biz</x:v>
      </x:c>
      <x:c r="D55" s="36" t="str">
        <x:v>gabriela.cardenas@interoc.biz</x:v>
      </x:c>
      <x:c r="E55" s="36" t="str">
        <x:v>Interoc S.A.</x:v>
      </x:c>
      <x:c r="F55" s="36" t="str">
        <x:v>Ecuador</x:v>
      </x:c>
      <x:c r="G55" s="38" t="n">
        <x:v>44.6</x:v>
      </x:c>
      <x:c r="H55" s="38" t="n">
        <x:v>3</x:v>
      </x:c>
      <x:c r="I55" s="38" t="n">
        <x:f>IF(G55&gt;50,2,IF(G55&gt;30,1,0))</x:f>
        <x:v>1</x:v>
      </x:c>
      <x:c r="J55" s="38" t="n">
        <x:v>0</x:v>
      </x:c>
      <x:c r="K55" s="38" t="n">
        <x:v>0</x:v>
      </x:c>
      <x:c r="L55" s="38" t="n">
        <x:v>0</x:v>
      </x:c>
      <x:c r="M55" s="38" t="n">
        <x:v>0</x:v>
      </x:c>
      <x:c r="N55" s="38" t="n">
        <x:f>SUM(J55:M55)</x:f>
        <x:v>0</x:v>
      </x:c>
      <x:c r="O55" s="38" t="n">
        <x:f>H55+I55+N55</x:f>
        <x:v>4</x:v>
      </x:c>
      <x:c r="P55" s="36" t="str">
        <x:f>IF(A55="Internal - Control Union / Peterson","INTERNAL",IF(O55&gt;=8,"HOT",IF(O55&gt;=5,"WARM","COLD")))</x:f>
        <x:v>COLD</x:v>
      </x:c>
      <x:c r="Q55" s="36" t="str"/>
      <x:c r="R55" s="44" t="n">
        <x:v>46260.50270833333</x:v>
      </x:c>
      <x:c r="S55" s="44" t="n">
        <x:v>46260.533680555556</x:v>
      </x:c>
      <x:c r="T55" s="36" t="str">
        <x:v>44 min 36s</x:v>
      </x:c>
      <x:c r="U55" s="36" t="str">
        <x:v>Asistente</x:v>
      </x:c>
      <x:c r="V55" s="36" t="str">
        <x:v>gabriela.cardenas@interoc.biz</x:v>
      </x:c>
      <x:c r="W55" s="36" t="str">
        <x:v>gabriela.cardenas@interoc.biz</x:v>
      </x:c>
      <x:c r="X55" s="36" t="str"/>
    </x:row>
    <x:row r="56">
      <x:c r="A56" s="36" t="str">
        <x:v>External</x:v>
      </x:c>
      <x:c r="B56" s="36" t="str">
        <x:v>Agustín Quiroga</x:v>
      </x:c>
      <x:c r="C56" s="36" t="str">
        <x:v>Agustin.Quiroga@interoc.biz</x:v>
      </x:c>
      <x:c r="D56" s="36" t="str">
        <x:v>agustin.quiroga@interoc.biz</x:v>
      </x:c>
      <x:c r="E56" s="36" t="str">
        <x:v>Interoc</x:v>
      </x:c>
      <x:c r="F56" s="36" t="str">
        <x:v>Ecuador</x:v>
      </x:c>
      <x:c r="G56" s="38" t="n">
        <x:v>44.17</x:v>
      </x:c>
      <x:c r="H56" s="38" t="n">
        <x:v>3</x:v>
      </x:c>
      <x:c r="I56" s="38" t="n">
        <x:f>IF(G56&gt;50,2,IF(G56&gt;30,1,0))</x:f>
        <x:v>1</x:v>
      </x:c>
      <x:c r="J56" s="38" t="n">
        <x:v>0</x:v>
      </x:c>
      <x:c r="K56" s="38" t="n">
        <x:v>0</x:v>
      </x:c>
      <x:c r="L56" s="38" t="n">
        <x:v>0</x:v>
      </x:c>
      <x:c r="M56" s="38" t="n">
        <x:v>0</x:v>
      </x:c>
      <x:c r="N56" s="38" t="n">
        <x:f>SUM(J56:M56)</x:f>
        <x:v>0</x:v>
      </x:c>
      <x:c r="O56" s="38" t="n">
        <x:f>H56+I56+N56</x:f>
        <x:v>4</x:v>
      </x:c>
      <x:c r="P56" s="36" t="str">
        <x:f>IF(A56="Internal - Control Union / Peterson","INTERNAL",IF(O56&gt;=8,"HOT",IF(O56&gt;=5,"WARM","COLD")))</x:f>
        <x:v>COLD</x:v>
      </x:c>
      <x:c r="Q56" s="36" t="str"/>
      <x:c r="R56" s="44" t="n">
        <x:v>46260.50319444444</x:v>
      </x:c>
      <x:c r="S56" s="44" t="n">
        <x:v>46260.53386574074</x:v>
      </x:c>
      <x:c r="T56" s="36" t="str">
        <x:v>44 min 10s</x:v>
      </x:c>
      <x:c r="U56" s="36" t="str">
        <x:v>Asistente</x:v>
      </x:c>
      <x:c r="V56" s="36" t="str">
        <x:v>Agustin.Quiroga@interoc.biz</x:v>
      </x:c>
      <x:c r="W56" s="36" t="str">
        <x:v>Agustin.Quiroga@interoc.biz</x:v>
      </x:c>
      <x:c r="X56" s="36" t="str"/>
    </x:row>
    <x:row r="57">
      <x:c r="A57" s="36" t="str">
        <x:v>External</x:v>
      </x:c>
      <x:c r="B57" s="36" t="str">
        <x:v>Darline Coraima Paucar Mallque</x:v>
      </x:c>
      <x:c r="C57" s="36" t="str">
        <x:v>darline.pmallque@ofi.com</x:v>
      </x:c>
      <x:c r="D57" s="36" t="str">
        <x:v>wilber.g@ofi.com</x:v>
      </x:c>
      <x:c r="E57" s="36" t="str">
        <x:v>Olam Agro Peru SAC</x:v>
      </x:c>
      <x:c r="F57" s="36" t="str">
        <x:v>Peru</x:v>
      </x:c>
      <x:c r="G57" s="38" t="n">
        <x:v>43.93</x:v>
      </x:c>
      <x:c r="H57" s="38" t="n">
        <x:v>3</x:v>
      </x:c>
      <x:c r="I57" s="38" t="n">
        <x:f>IF(G57&gt;50,2,IF(G57&gt;30,1,0))</x:f>
        <x:v>1</x:v>
      </x:c>
      <x:c r="J57" s="38" t="n">
        <x:v>0</x:v>
      </x:c>
      <x:c r="K57" s="38" t="n">
        <x:v>0</x:v>
      </x:c>
      <x:c r="L57" s="38" t="n">
        <x:v>0</x:v>
      </x:c>
      <x:c r="M57" s="38" t="n">
        <x:v>0</x:v>
      </x:c>
      <x:c r="N57" s="38" t="n">
        <x:f>SUM(J57:M57)</x:f>
        <x:v>0</x:v>
      </x:c>
      <x:c r="O57" s="38" t="n">
        <x:f>H57+I57+N57</x:f>
        <x:v>4</x:v>
      </x:c>
      <x:c r="P57" s="36" t="str">
        <x:f>IF(A57="Internal - Control Union / Peterson","INTERNAL",IF(O57&gt;=8,"HOT",IF(O57&gt;=5,"WARM","COLD")))</x:f>
        <x:v>COLD</x:v>
      </x:c>
      <x:c r="Q57" s="36" t="str"/>
      <x:c r="R57" s="44" t="n">
        <x:v>46260.50324074074</x:v>
      </x:c>
      <x:c r="S57" s="44" t="n">
        <x:v>46260.53375</x:v>
      </x:c>
      <x:c r="T57" s="36" t="str">
        <x:v>43 min 56s</x:v>
      </x:c>
      <x:c r="U57" s="36" t="str">
        <x:v>Asistente</x:v>
      </x:c>
      <x:c r="V57" s="36" t="str">
        <x:v>darline.pmallque@ofi.com</x:v>
      </x:c>
      <x:c r="W57" s="36" t="str">
        <x:v>darline.pmallque@ofi.com</x:v>
      </x:c>
      <x:c r="X57" s="36" t="str">
        <x:v>Teams identity email differs from registration email.</x:v>
      </x:c>
    </x:row>
    <x:row r="58">
      <x:c r="A58" s="36" t="str">
        <x:v>External</x:v>
      </x:c>
      <x:c r="B58" s="36" t="str">
        <x:v>Diana Liliana Quintin Escobar (Externo)</x:v>
      </x:c>
      <x:c r="C58" s="36" t="str">
        <x:v>diana.quintin@proforest.net</x:v>
      </x:c>
      <x:c r="D58" s="36" t="str">
        <x:v>diana.quintin@proforest.net</x:v>
      </x:c>
      <x:c r="E58" s="36" t="str">
        <x:v>Proforest Latinoamérica S.A.S</x:v>
      </x:c>
      <x:c r="F58" s="36" t="str">
        <x:v>Colombia</x:v>
      </x:c>
      <x:c r="G58" s="38" t="n">
        <x:v>43.82</x:v>
      </x:c>
      <x:c r="H58" s="38" t="n">
        <x:v>3</x:v>
      </x:c>
      <x:c r="I58" s="38" t="n">
        <x:f>IF(G58&gt;50,2,IF(G58&gt;30,1,0))</x:f>
        <x:v>1</x:v>
      </x:c>
      <x:c r="J58" s="38" t="n">
        <x:v>0</x:v>
      </x:c>
      <x:c r="K58" s="38" t="n">
        <x:v>0</x:v>
      </x:c>
      <x:c r="L58" s="38" t="n">
        <x:v>0</x:v>
      </x:c>
      <x:c r="M58" s="38" t="n">
        <x:v>0</x:v>
      </x:c>
      <x:c r="N58" s="38" t="n">
        <x:f>SUM(J58:M58)</x:f>
        <x:v>0</x:v>
      </x:c>
      <x:c r="O58" s="38" t="n">
        <x:f>H58+I58+N58</x:f>
        <x:v>4</x:v>
      </x:c>
      <x:c r="P58" s="36" t="str">
        <x:f>IF(A58="Internal - Control Union / Peterson","INTERNAL",IF(O58&gt;=8,"HOT",IF(O58&gt;=5,"WARM","COLD")))</x:f>
        <x:v>COLD</x:v>
      </x:c>
      <x:c r="Q58" s="36" t="str"/>
      <x:c r="R58" s="44" t="n">
        <x:v>46260.50332175926</x:v>
      </x:c>
      <x:c r="S58" s="44" t="n">
        <x:v>46260.53375</x:v>
      </x:c>
      <x:c r="T58" s="36" t="str">
        <x:v>43 min 49s</x:v>
      </x:c>
      <x:c r="U58" s="36" t="str">
        <x:v>Asistente</x:v>
      </x:c>
      <x:c r="V58" s="36" t="str">
        <x:v>diana.quintin@proforest.net</x:v>
      </x:c>
      <x:c r="W58" s="36" t="str">
        <x:v>diana.quintin@proforest.net</x:v>
      </x:c>
      <x:c r="X58" s="36" t="str"/>
    </x:row>
    <x:row r="59">
      <x:c r="A59" s="36" t="str">
        <x:v>External</x:v>
      </x:c>
      <x:c r="B59" s="36" t="str">
        <x:v>Palmira Arnaz Duran (Externo)</x:v>
      </x:c>
      <x:c r="C59" s="36" t="str">
        <x:v>p.arnazduran@fsc.org</x:v>
      </x:c>
      <x:c r="D59" s="36" t="str">
        <x:v>p.arnazduran@fsc.org</x:v>
      </x:c>
      <x:c r="E59" s="36" t="str">
        <x:v>FSC Mexico</x:v>
      </x:c>
      <x:c r="F59" s="36" t="str">
        <x:v>Mexico</x:v>
      </x:c>
      <x:c r="G59" s="38" t="n">
        <x:v>42.72</x:v>
      </x:c>
      <x:c r="H59" s="38" t="n">
        <x:v>3</x:v>
      </x:c>
      <x:c r="I59" s="38" t="n">
        <x:f>IF(G59&gt;50,2,IF(G59&gt;30,1,0))</x:f>
        <x:v>1</x:v>
      </x:c>
      <x:c r="J59" s="38" t="n">
        <x:v>0</x:v>
      </x:c>
      <x:c r="K59" s="38" t="n">
        <x:v>0</x:v>
      </x:c>
      <x:c r="L59" s="38" t="n">
        <x:v>0</x:v>
      </x:c>
      <x:c r="M59" s="38" t="n">
        <x:v>0</x:v>
      </x:c>
      <x:c r="N59" s="38" t="n">
        <x:f>SUM(J59:M59)</x:f>
        <x:v>0</x:v>
      </x:c>
      <x:c r="O59" s="38" t="n">
        <x:f>H59+I59+N59</x:f>
        <x:v>4</x:v>
      </x:c>
      <x:c r="P59" s="36" t="str">
        <x:f>IF(A59="Internal - Control Union / Peterson","INTERNAL",IF(O59&gt;=8,"HOT",IF(O59&gt;=5,"WARM","COLD")))</x:f>
        <x:v>COLD</x:v>
      </x:c>
      <x:c r="Q59" s="36" t="str"/>
      <x:c r="R59" s="44" t="n">
        <x:v>46260.50105324074</x:v>
      </x:c>
      <x:c r="S59" s="44" t="n">
        <x:v>46260.53072916667</x:v>
      </x:c>
      <x:c r="T59" s="36" t="str">
        <x:v>42 min 43s</x:v>
      </x:c>
      <x:c r="U59" s="36" t="str">
        <x:v>Asistente</x:v>
      </x:c>
      <x:c r="V59" s="36" t="str">
        <x:v>p.arnazduran@fsc.org</x:v>
      </x:c>
      <x:c r="W59" s="36" t="str">
        <x:v>p.arnazduran@fsc.org</x:v>
      </x:c>
      <x:c r="X59" s="36" t="str"/>
    </x:row>
    <x:row r="60">
      <x:c r="A60" s="36" t="str">
        <x:v>External</x:v>
      </x:c>
      <x:c r="B60" s="36" t="str">
        <x:v>Gonzalo Ghiringhelli</x:v>
      </x:c>
      <x:c r="C60" s="36" t="str">
        <x:v>gonzalo.ghiringhelli@evid-ai.com</x:v>
      </x:c>
      <x:c r="D60" s="36" t="str">
        <x:v>gonzalo.ghiringhelli@evid-ai.com</x:v>
      </x:c>
      <x:c r="E60" s="36" t="str">
        <x:v>Evid-AI</x:v>
      </x:c>
      <x:c r="F60" s="36" t="str">
        <x:v>Argentina</x:v>
      </x:c>
      <x:c r="G60" s="38" t="n">
        <x:v>42.17</x:v>
      </x:c>
      <x:c r="H60" s="38" t="n">
        <x:v>3</x:v>
      </x:c>
      <x:c r="I60" s="38" t="n">
        <x:f>IF(G60&gt;50,2,IF(G60&gt;30,1,0))</x:f>
        <x:v>1</x:v>
      </x:c>
      <x:c r="J60" s="38" t="n">
        <x:v>0</x:v>
      </x:c>
      <x:c r="K60" s="38" t="n">
        <x:v>0</x:v>
      </x:c>
      <x:c r="L60" s="38" t="n">
        <x:v>0</x:v>
      </x:c>
      <x:c r="M60" s="38" t="n">
        <x:v>0</x:v>
      </x:c>
      <x:c r="N60" s="38" t="n">
        <x:f>SUM(J60:M60)</x:f>
        <x:v>0</x:v>
      </x:c>
      <x:c r="O60" s="38" t="n">
        <x:f>H60+I60+N60</x:f>
        <x:v>4</x:v>
      </x:c>
      <x:c r="P60" s="36" t="str">
        <x:f>IF(A60="Internal - Control Union / Peterson","INTERNAL",IF(O60&gt;=8,"HOT",IF(O60&gt;=5,"WARM","COLD")))</x:f>
        <x:v>COLD</x:v>
      </x:c>
      <x:c r="Q60" s="36" t="str"/>
      <x:c r="R60" s="44" t="n">
        <x:v>46260.508125</x:v>
      </x:c>
      <x:c r="S60" s="44" t="n">
        <x:v>46260.537407407406</x:v>
      </x:c>
      <x:c r="T60" s="36" t="str">
        <x:v>42 min 10s</x:v>
      </x:c>
      <x:c r="U60" s="36" t="str">
        <x:v>Asistente</x:v>
      </x:c>
      <x:c r="V60" s="36" t="str"/>
      <x:c r="W60" s="36" t="str"/>
      <x:c r="X60" s="36" t="str">
        <x:v>Guest/unverified Teams identity.</x:v>
      </x:c>
    </x:row>
    <x:row r="61">
      <x:c r="A61" s="36" t="str">
        <x:v>External</x:v>
      </x:c>
      <x:c r="B61" s="36" t="str">
        <x:v>miguelyanguac@gmail.com (No comprobado)</x:v>
      </x:c>
      <x:c r="C61" s="36" t="str">
        <x:v>miguelyanguac@gmail.com</x:v>
      </x:c>
      <x:c r="D61" s="36" t="str">
        <x:v>miguelyanguac@gmail.com</x:v>
      </x:c>
      <x:c r="E61" s="36" t="str">
        <x:v>Independiente</x:v>
      </x:c>
      <x:c r="F61" s="36" t="str">
        <x:v>Perú</x:v>
      </x:c>
      <x:c r="G61" s="38" t="n">
        <x:v>41.37</x:v>
      </x:c>
      <x:c r="H61" s="38" t="n">
        <x:v>3</x:v>
      </x:c>
      <x:c r="I61" s="38" t="n">
        <x:f>IF(G61&gt;50,2,IF(G61&gt;30,1,0))</x:f>
        <x:v>1</x:v>
      </x:c>
      <x:c r="J61" s="38" t="n">
        <x:v>0</x:v>
      </x:c>
      <x:c r="K61" s="38" t="n">
        <x:v>0</x:v>
      </x:c>
      <x:c r="L61" s="38" t="n">
        <x:v>0</x:v>
      </x:c>
      <x:c r="M61" s="38" t="n">
        <x:v>0</x:v>
      </x:c>
      <x:c r="N61" s="38" t="n">
        <x:f>SUM(J61:M61)</x:f>
        <x:v>0</x:v>
      </x:c>
      <x:c r="O61" s="38" t="n">
        <x:f>H61+I61+N61</x:f>
        <x:v>4</x:v>
      </x:c>
      <x:c r="P61" s="36" t="str">
        <x:f>IF(A61="Internal - Control Union / Peterson","INTERNAL",IF(O61&gt;=8,"HOT",IF(O61&gt;=5,"WARM","COLD")))</x:f>
        <x:v>COLD</x:v>
      </x:c>
      <x:c r="Q61" s="36" t="str"/>
      <x:c r="R61" s="44" t="n">
        <x:v>46260.507256944446</x:v>
      </x:c>
      <x:c r="S61" s="44" t="n">
        <x:v>46260.5359837963</x:v>
      </x:c>
      <x:c r="T61" s="36" t="str">
        <x:v>41 min 22s</x:v>
      </x:c>
      <x:c r="U61" s="36" t="str">
        <x:v>Asistente</x:v>
      </x:c>
      <x:c r="V61" s="36" t="str"/>
      <x:c r="W61" s="36" t="str"/>
      <x:c r="X61" s="36" t="str">
        <x:v>Guest/unverified Teams identity.</x:v>
      </x:c>
    </x:row>
    <x:row r="62">
      <x:c r="A62" s="36" t="str">
        <x:v>External</x:v>
      </x:c>
      <x:c r="B62" s="36" t="str">
        <x:v>Diego Carranza (No comprobado)</x:v>
      </x:c>
      <x:c r="C62" s="36" t="str">
        <x:v>diego@cumbres.com.co</x:v>
      </x:c>
      <x:c r="D62" s="36" t="str">
        <x:v>diego@cumbres.com.co</x:v>
      </x:c>
      <x:c r="E62" s="36" t="str">
        <x:v>Comercializadora Cumbres SAS</x:v>
      </x:c>
      <x:c r="F62" s="36" t="str">
        <x:v>Colombia</x:v>
      </x:c>
      <x:c r="G62" s="38" t="n">
        <x:v>41.1</x:v>
      </x:c>
      <x:c r="H62" s="38" t="n">
        <x:v>3</x:v>
      </x:c>
      <x:c r="I62" s="38" t="n">
        <x:f>IF(G62&gt;50,2,IF(G62&gt;30,1,0))</x:f>
        <x:v>1</x:v>
      </x:c>
      <x:c r="J62" s="38" t="n">
        <x:v>0</x:v>
      </x:c>
      <x:c r="K62" s="38" t="n">
        <x:v>0</x:v>
      </x:c>
      <x:c r="L62" s="38" t="n">
        <x:v>0</x:v>
      </x:c>
      <x:c r="M62" s="38" t="n">
        <x:v>0</x:v>
      </x:c>
      <x:c r="N62" s="38" t="n">
        <x:f>SUM(J62:M62)</x:f>
        <x:v>0</x:v>
      </x:c>
      <x:c r="O62" s="38" t="n">
        <x:f>H62+I62+N62</x:f>
        <x:v>4</x:v>
      </x:c>
      <x:c r="P62" s="36" t="str">
        <x:f>IF(A62="Internal - Control Union / Peterson","INTERNAL",IF(O62&gt;=8,"HOT",IF(O62&gt;=5,"WARM","COLD")))</x:f>
        <x:v>COLD</x:v>
      </x:c>
      <x:c r="Q62" s="36" t="str"/>
      <x:c r="R62" s="44" t="n">
        <x:v>46260.50568287037</x:v>
      </x:c>
      <x:c r="S62" s="44" t="n">
        <x:v>46260.53423611111</x:v>
      </x:c>
      <x:c r="T62" s="36" t="str">
        <x:v>41 min 6s</x:v>
      </x:c>
      <x:c r="U62" s="36" t="str">
        <x:v>Asistente</x:v>
      </x:c>
      <x:c r="V62" s="36" t="str"/>
      <x:c r="W62" s="36" t="str"/>
      <x:c r="X62" s="36" t="str">
        <x:v>Guest/unverified Teams identity.</x:v>
      </x:c>
    </x:row>
    <x:row r="63">
      <x:c r="A63" s="36" t="str">
        <x:v>External</x:v>
      </x:c>
      <x:c r="B63" s="36" t="str">
        <x:v>Ana Maria Novoa Granados (Externo)</x:v>
      </x:c>
      <x:c r="C63" s="36" t="str">
        <x:v>ana_novoa@javeriana.edu.co</x:v>
      </x:c>
      <x:c r="D63" s="36" t="str">
        <x:v>ananovoa7@gmail.com</x:v>
      </x:c>
      <x:c r="E63" s="36" t="str">
        <x:v>Independiente</x:v>
      </x:c>
      <x:c r="F63" s="36" t="str">
        <x:v>Colombia</x:v>
      </x:c>
      <x:c r="G63" s="38" t="n">
        <x:v>40.83</x:v>
      </x:c>
      <x:c r="H63" s="38" t="n">
        <x:v>3</x:v>
      </x:c>
      <x:c r="I63" s="38" t="n">
        <x:f>IF(G63&gt;50,2,IF(G63&gt;30,1,0))</x:f>
        <x:v>1</x:v>
      </x:c>
      <x:c r="J63" s="38" t="n">
        <x:v>0</x:v>
      </x:c>
      <x:c r="K63" s="38" t="n">
        <x:v>0</x:v>
      </x:c>
      <x:c r="L63" s="38" t="n">
        <x:v>0</x:v>
      </x:c>
      <x:c r="M63" s="38" t="n">
        <x:v>0</x:v>
      </x:c>
      <x:c r="N63" s="38" t="n">
        <x:f>SUM(J63:M63)</x:f>
        <x:v>0</x:v>
      </x:c>
      <x:c r="O63" s="38" t="n">
        <x:f>H63+I63+N63</x:f>
        <x:v>4</x:v>
      </x:c>
      <x:c r="P63" s="36" t="str">
        <x:f>IF(A63="Internal - Control Union / Peterson","INTERNAL",IF(O63&gt;=8,"HOT",IF(O63&gt;=5,"WARM","COLD")))</x:f>
        <x:v>COLD</x:v>
      </x:c>
      <x:c r="Q63" s="36" t="str"/>
      <x:c r="R63" s="44" t="n">
        <x:v>46260.505324074074</x:v>
      </x:c>
      <x:c r="S63" s="44" t="n">
        <x:v>46260.53369212963</x:v>
      </x:c>
      <x:c r="T63" s="36" t="str">
        <x:v>40 min 50s</x:v>
      </x:c>
      <x:c r="U63" s="36" t="str">
        <x:v>Asistente</x:v>
      </x:c>
      <x:c r="V63" s="36" t="str">
        <x:v>ana_novoa@javeriana.edu.co</x:v>
      </x:c>
      <x:c r="W63" s="36" t="str">
        <x:v>ana_novoa@javeriana.edu.co</x:v>
      </x:c>
      <x:c r="X63" s="36" t="str">
        <x:v>Teams identity email differs from registration email.</x:v>
      </x:c>
    </x:row>
    <x:row r="64">
      <x:c r="A64" s="36" t="str">
        <x:v>External</x:v>
      </x:c>
      <x:c r="B64" s="36" t="str">
        <x:v>Flavia Natalia Meza Mansilla (Externo)</x:v>
      </x:c>
      <x:c r="C64" s="36" t="str">
        <x:v>flavia.meza@carvimsa.com</x:v>
      </x:c>
      <x:c r="D64" s="36" t="str">
        <x:v>flavia.meza@carvimsa.com</x:v>
      </x:c>
      <x:c r="E64" s="36" t="str">
        <x:v>CARVIMSA</x:v>
      </x:c>
      <x:c r="F64" s="36" t="str">
        <x:v>Perú</x:v>
      </x:c>
      <x:c r="G64" s="38" t="n">
        <x:v>40.18</x:v>
      </x:c>
      <x:c r="H64" s="38" t="n">
        <x:v>3</x:v>
      </x:c>
      <x:c r="I64" s="38" t="n">
        <x:f>IF(G64&gt;50,2,IF(G64&gt;30,1,0))</x:f>
        <x:v>1</x:v>
      </x:c>
      <x:c r="J64" s="38" t="n">
        <x:v>0</x:v>
      </x:c>
      <x:c r="K64" s="38" t="n">
        <x:v>0</x:v>
      </x:c>
      <x:c r="L64" s="38" t="n">
        <x:v>0</x:v>
      </x:c>
      <x:c r="M64" s="38" t="n">
        <x:v>0</x:v>
      </x:c>
      <x:c r="N64" s="38" t="n">
        <x:f>SUM(J64:M64)</x:f>
        <x:v>0</x:v>
      </x:c>
      <x:c r="O64" s="38" t="n">
        <x:f>H64+I64+N64</x:f>
        <x:v>4</x:v>
      </x:c>
      <x:c r="P64" s="36" t="str">
        <x:f>IF(A64="Internal - Control Union / Peterson","INTERNAL",IF(O64&gt;=8,"HOT",IF(O64&gt;=5,"WARM","COLD")))</x:f>
        <x:v>COLD</x:v>
      </x:c>
      <x:c r="Q64" s="36" t="str"/>
      <x:c r="R64" s="44" t="n">
        <x:v>46260.50633101852</x:v>
      </x:c>
      <x:c r="S64" s="44" t="n">
        <x:v>46260.53423611111</x:v>
      </x:c>
      <x:c r="T64" s="36" t="str">
        <x:v>40 min 11s</x:v>
      </x:c>
      <x:c r="U64" s="36" t="str">
        <x:v>Asistente</x:v>
      </x:c>
      <x:c r="V64" s="36" t="str">
        <x:v>flavia.meza@carvimsa.com</x:v>
      </x:c>
      <x:c r="W64" s="36" t="str">
        <x:v>flavia.meza@carvimsa.com</x:v>
      </x:c>
      <x:c r="X64" s="36" t="str"/>
    </x:row>
    <x:row r="65">
      <x:c r="A65" s="36" t="str">
        <x:v>External</x:v>
      </x:c>
      <x:c r="B65" s="36" t="str">
        <x:v>Fernanda Cardozo (No comprobado)</x:v>
      </x:c>
      <x:c r="C65" s="36" t="str">
        <x:v>fercardozo23@gmail.com</x:v>
      </x:c>
      <x:c r="D65" s="36" t="str">
        <x:v>fercardozo23@gmail.com</x:v>
      </x:c>
      <x:c r="E65" s="36" t="str">
        <x:v>PUMA by Regrow</x:v>
      </x:c>
      <x:c r="F65" s="36" t="str">
        <x:v>Argentina</x:v>
      </x:c>
      <x:c r="G65" s="38" t="n">
        <x:v>39.83</x:v>
      </x:c>
      <x:c r="H65" s="38" t="n">
        <x:v>3</x:v>
      </x:c>
      <x:c r="I65" s="38" t="n">
        <x:f>IF(G65&gt;50,2,IF(G65&gt;30,1,0))</x:f>
        <x:v>1</x:v>
      </x:c>
      <x:c r="J65" s="38" t="n">
        <x:v>0</x:v>
      </x:c>
      <x:c r="K65" s="38" t="n">
        <x:v>0</x:v>
      </x:c>
      <x:c r="L65" s="38" t="n">
        <x:v>0</x:v>
      </x:c>
      <x:c r="M65" s="38" t="n">
        <x:v>0</x:v>
      </x:c>
      <x:c r="N65" s="38" t="n">
        <x:f>SUM(J65:M65)</x:f>
        <x:v>0</x:v>
      </x:c>
      <x:c r="O65" s="38" t="n">
        <x:f>H65+I65+N65</x:f>
        <x:v>4</x:v>
      </x:c>
      <x:c r="P65" s="36" t="str">
        <x:f>IF(A65="Internal - Control Union / Peterson","INTERNAL",IF(O65&gt;=8,"HOT",IF(O65&gt;=5,"WARM","COLD")))</x:f>
        <x:v>COLD</x:v>
      </x:c>
      <x:c r="Q65" s="36" t="str"/>
      <x:c r="R65" s="44" t="n">
        <x:v>46260.498506944445</x:v>
      </x:c>
      <x:c r="S65" s="44" t="n">
        <x:v>46260.52618055556</x:v>
      </x:c>
      <x:c r="T65" s="36" t="str">
        <x:v>39 min 50s</x:v>
      </x:c>
      <x:c r="U65" s="36" t="str">
        <x:v>Asistente</x:v>
      </x:c>
      <x:c r="V65" s="36" t="str"/>
      <x:c r="W65" s="36" t="str"/>
      <x:c r="X65" s="36" t="str">
        <x:v>Guest/unverified Teams identity.</x:v>
      </x:c>
    </x:row>
    <x:row r="66">
      <x:c r="A66" s="36" t="str">
        <x:v>External</x:v>
      </x:c>
      <x:c r="B66" s="36" t="str">
        <x:v>Angelo Abad (Externo)</x:v>
      </x:c>
      <x:c r="C66" s="36" t="str">
        <x:v>sig1@carvimsa.com</x:v>
      </x:c>
      <x:c r="D66" s="36" t="str">
        <x:v>sig1@carvimsa.com</x:v>
      </x:c>
      <x:c r="E66" s="36" t="str">
        <x:v>Carvimsa</x:v>
      </x:c>
      <x:c r="F66" s="36" t="str">
        <x:v>Peru</x:v>
      </x:c>
      <x:c r="G66" s="38" t="n">
        <x:v>39.03</x:v>
      </x:c>
      <x:c r="H66" s="38" t="n">
        <x:v>3</x:v>
      </x:c>
      <x:c r="I66" s="38" t="n">
        <x:f>IF(G66&gt;50,2,IF(G66&gt;30,1,0))</x:f>
        <x:v>1</x:v>
      </x:c>
      <x:c r="J66" s="38" t="n">
        <x:v>0</x:v>
      </x:c>
      <x:c r="K66" s="38" t="n">
        <x:v>0</x:v>
      </x:c>
      <x:c r="L66" s="38" t="n">
        <x:v>0</x:v>
      </x:c>
      <x:c r="M66" s="38" t="n">
        <x:v>0</x:v>
      </x:c>
      <x:c r="N66" s="38" t="n">
        <x:f>SUM(J66:M66)</x:f>
        <x:v>0</x:v>
      </x:c>
      <x:c r="O66" s="38" t="n">
        <x:f>H66+I66+N66</x:f>
        <x:v>4</x:v>
      </x:c>
      <x:c r="P66" s="36" t="str">
        <x:f>IF(A66="Internal - Control Union / Peterson","INTERNAL",IF(O66&gt;=8,"HOT",IF(O66&gt;=5,"WARM","COLD")))</x:f>
        <x:v>COLD</x:v>
      </x:c>
      <x:c r="Q66" s="36" t="str"/>
      <x:c r="R66" s="44" t="n">
        <x:v>46260.5069212963</x:v>
      </x:c>
      <x:c r="S66" s="44" t="n">
        <x:v>46260.53402777778</x:v>
      </x:c>
      <x:c r="T66" s="36" t="str">
        <x:v>39 min 2s</x:v>
      </x:c>
      <x:c r="U66" s="36" t="str">
        <x:v>Asistente</x:v>
      </x:c>
      <x:c r="V66" s="36" t="str">
        <x:v>sig1@carvimsa.com</x:v>
      </x:c>
      <x:c r="W66" s="36" t="str">
        <x:v>sig1@carvimsa.com</x:v>
      </x:c>
      <x:c r="X66" s="36" t="str"/>
    </x:row>
    <x:row r="67">
      <x:c r="A67" s="36" t="str">
        <x:v>External</x:v>
      </x:c>
      <x:c r="B67" s="36" t="str">
        <x:v>Emilio Benítez (Externo)</x:v>
      </x:c>
      <x:c r="C67" s="36" t="str">
        <x:v>ebenitez@cousa.com</x:v>
      </x:c>
      <x:c r="D67" s="36" t="str">
        <x:v>ebenitez@cousa.com</x:v>
      </x:c>
      <x:c r="E67" s="36" t="str">
        <x:v>COUSA</x:v>
      </x:c>
      <x:c r="F67" s="36" t="str">
        <x:v>Uruguay</x:v>
      </x:c>
      <x:c r="G67" s="38" t="n">
        <x:v>38.37</x:v>
      </x:c>
      <x:c r="H67" s="38" t="n">
        <x:v>3</x:v>
      </x:c>
      <x:c r="I67" s="38" t="n">
        <x:f>IF(G67&gt;50,2,IF(G67&gt;30,1,0))</x:f>
        <x:v>1</x:v>
      </x:c>
      <x:c r="J67" s="38" t="n">
        <x:v>0</x:v>
      </x:c>
      <x:c r="K67" s="38" t="n">
        <x:v>0</x:v>
      </x:c>
      <x:c r="L67" s="38" t="n">
        <x:v>0</x:v>
      </x:c>
      <x:c r="M67" s="38" t="n">
        <x:v>0</x:v>
      </x:c>
      <x:c r="N67" s="38" t="n">
        <x:f>SUM(J67:M67)</x:f>
        <x:v>0</x:v>
      </x:c>
      <x:c r="O67" s="38" t="n">
        <x:f>H67+I67+N67</x:f>
        <x:v>4</x:v>
      </x:c>
      <x:c r="P67" s="36" t="str">
        <x:f>IF(A67="Internal - Control Union / Peterson","INTERNAL",IF(O67&gt;=8,"HOT",IF(O67&gt;=5,"WARM","COLD")))</x:f>
        <x:v>COLD</x:v>
      </x:c>
      <x:c r="Q67" s="36" t="str"/>
      <x:c r="R67" s="44" t="n">
        <x:v>46260.50270833333</x:v>
      </x:c>
      <x:c r="S67" s="44" t="n">
        <x:v>46260.52936342593</x:v>
      </x:c>
      <x:c r="T67" s="36" t="str">
        <x:v>38 min 22s</x:v>
      </x:c>
      <x:c r="U67" s="36" t="str">
        <x:v>Asistente</x:v>
      </x:c>
      <x:c r="V67" s="36" t="str">
        <x:v>ebenitez@cousa.com</x:v>
      </x:c>
      <x:c r="W67" s="36" t="str">
        <x:v>ebenitez@cousa.com</x:v>
      </x:c>
      <x:c r="X67" s="36" t="str"/>
    </x:row>
    <x:row r="68">
      <x:c r="A68" s="36" t="str">
        <x:v>External</x:v>
      </x:c>
      <x:c r="B68" s="36" t="str">
        <x:v>Ezequiel Kiener</x:v>
      </x:c>
      <x:c r="C68" s="36" t="str">
        <x:v>ezequiel.kiener@amaggi.com.ar</x:v>
      </x:c>
      <x:c r="D68" s="36" t="str">
        <x:v>ezequiel.kiener@amaggi.com.ar</x:v>
      </x:c>
      <x:c r="E68" s="36" t="str">
        <x:v>AMAGGI</x:v>
      </x:c>
      <x:c r="F68" s="36" t="str">
        <x:v>Argentina</x:v>
      </x:c>
      <x:c r="G68" s="38" t="n">
        <x:v>38.22</x:v>
      </x:c>
      <x:c r="H68" s="38" t="n">
        <x:v>3</x:v>
      </x:c>
      <x:c r="I68" s="38" t="n">
        <x:f>IF(G68&gt;50,2,IF(G68&gt;30,1,0))</x:f>
        <x:v>1</x:v>
      </x:c>
      <x:c r="J68" s="38" t="n">
        <x:v>0</x:v>
      </x:c>
      <x:c r="K68" s="38" t="n">
        <x:v>0</x:v>
      </x:c>
      <x:c r="L68" s="38" t="n">
        <x:v>0</x:v>
      </x:c>
      <x:c r="M68" s="38" t="n">
        <x:v>0</x:v>
      </x:c>
      <x:c r="N68" s="38" t="n">
        <x:f>SUM(J68:M68)</x:f>
        <x:v>0</x:v>
      </x:c>
      <x:c r="O68" s="38" t="n">
        <x:f>H68+I68+N68</x:f>
        <x:v>4</x:v>
      </x:c>
      <x:c r="P68" s="36" t="str">
        <x:f>IF(A68="Internal - Control Union / Peterson","INTERNAL",IF(O68&gt;=8,"HOT",IF(O68&gt;=5,"WARM","COLD")))</x:f>
        <x:v>COLD</x:v>
      </x:c>
      <x:c r="Q68" s="36" t="str"/>
      <x:c r="R68" s="44" t="n">
        <x:v>46260.507210648146</x:v>
      </x:c>
      <x:c r="S68" s="44" t="n">
        <x:v>46260.53376157407</x:v>
      </x:c>
      <x:c r="T68" s="36" t="str">
        <x:v>38 min 13s</x:v>
      </x:c>
      <x:c r="U68" s="36" t="str">
        <x:v>Asistente</x:v>
      </x:c>
      <x:c r="V68" s="36" t="str">
        <x:v>ezequiel.kiener@amaggi.com.ar</x:v>
      </x:c>
      <x:c r="W68" s="36" t="str">
        <x:v>ezequiel.kiener@amaggi.com.ar</x:v>
      </x:c>
      <x:c r="X68" s="36" t="str"/>
    </x:row>
    <x:row r="69">
      <x:c r="A69" s="36" t="str">
        <x:v>External</x:v>
      </x:c>
      <x:c r="B69" s="36" t="str">
        <x:v>David Quintero</x:v>
      </x:c>
      <x:c r="C69" s="36" t="str">
        <x:v>david@localpartners.ch</x:v>
      </x:c>
      <x:c r="D69" s="36" t="str">
        <x:v>david@localpartners.ch</x:v>
      </x:c>
      <x:c r="E69" s="36" t="str">
        <x:v>Fundación Local Partners</x:v>
      </x:c>
      <x:c r="F69" s="36" t="str">
        <x:v>Colombia</x:v>
      </x:c>
      <x:c r="G69" s="38" t="n">
        <x:v>38.08</x:v>
      </x:c>
      <x:c r="H69" s="38" t="n">
        <x:v>3</x:v>
      </x:c>
      <x:c r="I69" s="38" t="n">
        <x:f>IF(G69&gt;50,2,IF(G69&gt;30,1,0))</x:f>
        <x:v>1</x:v>
      </x:c>
      <x:c r="J69" s="38" t="n">
        <x:v>0</x:v>
      </x:c>
      <x:c r="K69" s="38" t="n">
        <x:v>0</x:v>
      </x:c>
      <x:c r="L69" s="38" t="n">
        <x:v>0</x:v>
      </x:c>
      <x:c r="M69" s="38" t="n">
        <x:v>0</x:v>
      </x:c>
      <x:c r="N69" s="38" t="n">
        <x:f>SUM(J69:M69)</x:f>
        <x:v>0</x:v>
      </x:c>
      <x:c r="O69" s="38" t="n">
        <x:f>H69+I69+N69</x:f>
        <x:v>4</x:v>
      </x:c>
      <x:c r="P69" s="36" t="str">
        <x:f>IF(A69="Internal - Control Union / Peterson","INTERNAL",IF(O69&gt;=8,"HOT",IF(O69&gt;=5,"WARM","COLD")))</x:f>
        <x:v>COLD</x:v>
      </x:c>
      <x:c r="Q69" s="36" t="str"/>
      <x:c r="R69" s="44" t="n">
        <x:v>46260.50409722222</x:v>
      </x:c>
      <x:c r="S69" s="44" t="n">
        <x:v>46260.530543981484</x:v>
      </x:c>
      <x:c r="T69" s="36" t="str">
        <x:v>38 min 5s</x:v>
      </x:c>
      <x:c r="U69" s="36" t="str">
        <x:v>Asistente</x:v>
      </x:c>
      <x:c r="V69" s="36" t="str">
        <x:v>david@localpartners.ch</x:v>
      </x:c>
      <x:c r="W69" s="36" t="str">
        <x:v>david@localpartners.ch</x:v>
      </x:c>
      <x:c r="X69" s="36" t="str"/>
    </x:row>
    <x:row r="70">
      <x:c r="A70" s="36" t="str">
        <x:v>External</x:v>
      </x:c>
      <x:c r="B70" s="36" t="str">
        <x:v>Camila Giron (Externo)</x:v>
      </x:c>
      <x:c r="C70" s="36" t="str">
        <x:v>camila.giron@proforest.net</x:v>
      </x:c>
      <x:c r="D70" s="36" t="str">
        <x:v>camila.giron@proforest.net</x:v>
      </x:c>
      <x:c r="E70" s="36" t="str">
        <x:v>Proforest</x:v>
      </x:c>
      <x:c r="F70" s="36" t="str">
        <x:v>Colombia</x:v>
      </x:c>
      <x:c r="G70" s="38" t="n">
        <x:v>37.3</x:v>
      </x:c>
      <x:c r="H70" s="38" t="n">
        <x:v>3</x:v>
      </x:c>
      <x:c r="I70" s="38" t="n">
        <x:f>IF(G70&gt;50,2,IF(G70&gt;30,1,0))</x:f>
        <x:v>1</x:v>
      </x:c>
      <x:c r="J70" s="38" t="n">
        <x:v>0</x:v>
      </x:c>
      <x:c r="K70" s="38" t="n">
        <x:v>0</x:v>
      </x:c>
      <x:c r="L70" s="38" t="n">
        <x:v>0</x:v>
      </x:c>
      <x:c r="M70" s="38" t="n">
        <x:v>0</x:v>
      </x:c>
      <x:c r="N70" s="38" t="n">
        <x:f>SUM(J70:M70)</x:f>
        <x:v>0</x:v>
      </x:c>
      <x:c r="O70" s="38" t="n">
        <x:f>H70+I70+N70</x:f>
        <x:v>4</x:v>
      </x:c>
      <x:c r="P70" s="36" t="str">
        <x:f>IF(A70="Internal - Control Union / Peterson","INTERNAL",IF(O70&gt;=8,"HOT",IF(O70&gt;=5,"WARM","COLD")))</x:f>
        <x:v>COLD</x:v>
      </x:c>
      <x:c r="Q70" s="36" t="str"/>
      <x:c r="R70" s="44" t="n">
        <x:v>46260.511458333334</x:v>
      </x:c>
      <x:c r="S70" s="44" t="n">
        <x:v>46260.53736111111</x:v>
      </x:c>
      <x:c r="T70" s="36" t="str">
        <x:v>37 min 18s</x:v>
      </x:c>
      <x:c r="U70" s="36" t="str">
        <x:v>Asistente</x:v>
      </x:c>
      <x:c r="V70" s="36" t="str">
        <x:v>camila.giron@proforest.net</x:v>
      </x:c>
      <x:c r="W70" s="36" t="str">
        <x:v>camila.giron@proforest.net</x:v>
      </x:c>
      <x:c r="X70" s="36" t="str"/>
    </x:row>
    <x:row r="71">
      <x:c r="A71" s="36" t="str">
        <x:v>External</x:v>
      </x:c>
      <x:c r="B71" s="36" t="str">
        <x:v>Alejandra Sanchez</x:v>
      </x:c>
      <x:c r="C71" s="36" t="str">
        <x:v>sanchezveraalejandra@gmail.com</x:v>
      </x:c>
      <x:c r="D71" s="36" t="str">
        <x:v>sanchezveraalejandra@gmail.com</x:v>
      </x:c>
      <x:c r="E71" s="36" t="str">
        <x:v>Asociación Rural del Paraguay</x:v>
      </x:c>
      <x:c r="F71" s="36" t="str">
        <x:v>Paraguay</x:v>
      </x:c>
      <x:c r="G71" s="38" t="n">
        <x:v>34.32</x:v>
      </x:c>
      <x:c r="H71" s="38" t="n">
        <x:v>3</x:v>
      </x:c>
      <x:c r="I71" s="38" t="n">
        <x:f>IF(G71&gt;50,2,IF(G71&gt;30,1,0))</x:f>
        <x:v>1</x:v>
      </x:c>
      <x:c r="J71" s="38" t="n">
        <x:v>0</x:v>
      </x:c>
      <x:c r="K71" s="38" t="n">
        <x:v>0</x:v>
      </x:c>
      <x:c r="L71" s="38" t="n">
        <x:v>0</x:v>
      </x:c>
      <x:c r="M71" s="38" t="n">
        <x:v>0</x:v>
      </x:c>
      <x:c r="N71" s="38" t="n">
        <x:f>SUM(J71:M71)</x:f>
        <x:v>0</x:v>
      </x:c>
      <x:c r="O71" s="38" t="n">
        <x:f>H71+I71+N71</x:f>
        <x:v>4</x:v>
      </x:c>
      <x:c r="P71" s="36" t="str">
        <x:f>IF(A71="Internal - Control Union / Peterson","INTERNAL",IF(O71&gt;=8,"HOT",IF(O71&gt;=5,"WARM","COLD")))</x:f>
        <x:v>COLD</x:v>
      </x:c>
      <x:c r="Q71" s="36" t="str"/>
      <x:c r="R71" s="44" t="n">
        <x:v>46260.51158564815</x:v>
      </x:c>
      <x:c r="S71" s="44" t="n">
        <x:v>46260.535416666666</x:v>
      </x:c>
      <x:c r="T71" s="36" t="str">
        <x:v>34 min 19s</x:v>
      </x:c>
      <x:c r="U71" s="36" t="str">
        <x:v>Asistente</x:v>
      </x:c>
      <x:c r="V71" s="36" t="str"/>
      <x:c r="W71" s="36" t="str"/>
      <x:c r="X71" s="36" t="str">
        <x:v>Guest/unverified Teams identity.</x:v>
      </x:c>
    </x:row>
    <x:row r="72">
      <x:c r="A72" s="36" t="str">
        <x:v>External</x:v>
      </x:c>
      <x:c r="B72" s="36" t="str">
        <x:v>Mercedes Rivas (No comprobado)</x:v>
      </x:c>
      <x:c r="C72" s="36" t="str">
        <x:v>mlrivas.n@gmail.com</x:v>
      </x:c>
      <x:c r="D72" s="36" t="str">
        <x:v>mlrivas.n@gmail.com</x:v>
      </x:c>
      <x:c r="E72" s="36" t="str">
        <x:v>Independiente</x:v>
      </x:c>
      <x:c r="F72" s="36" t="str">
        <x:v>Perú</x:v>
      </x:c>
      <x:c r="G72" s="38" t="n">
        <x:v>33.4</x:v>
      </x:c>
      <x:c r="H72" s="38" t="n">
        <x:v>3</x:v>
      </x:c>
      <x:c r="I72" s="38" t="n">
        <x:f>IF(G72&gt;50,2,IF(G72&gt;30,1,0))</x:f>
        <x:v>1</x:v>
      </x:c>
      <x:c r="J72" s="38" t="n">
        <x:v>0</x:v>
      </x:c>
      <x:c r="K72" s="38" t="n">
        <x:v>0</x:v>
      </x:c>
      <x:c r="L72" s="38" t="n">
        <x:v>0</x:v>
      </x:c>
      <x:c r="M72" s="38" t="n">
        <x:v>0</x:v>
      </x:c>
      <x:c r="N72" s="38" t="n">
        <x:f>SUM(J72:M72)</x:f>
        <x:v>0</x:v>
      </x:c>
      <x:c r="O72" s="38" t="n">
        <x:f>H72+I72+N72</x:f>
        <x:v>4</x:v>
      </x:c>
      <x:c r="P72" s="36" t="str">
        <x:f>IF(A72="Internal - Control Union / Peterson","INTERNAL",IF(O72&gt;=8,"HOT",IF(O72&gt;=5,"WARM","COLD")))</x:f>
        <x:v>COLD</x:v>
      </x:c>
      <x:c r="Q72" s="36" t="str"/>
      <x:c r="R72" s="44" t="n">
        <x:v>46260.5</x:v>
      </x:c>
      <x:c r="S72" s="44" t="n">
        <x:v>46260.523194444446</x:v>
      </x:c>
      <x:c r="T72" s="36" t="str">
        <x:v>33 min 24s</x:v>
      </x:c>
      <x:c r="U72" s="36" t="str">
        <x:v>Asistente</x:v>
      </x:c>
      <x:c r="V72" s="36" t="str"/>
      <x:c r="W72" s="36" t="str"/>
      <x:c r="X72" s="36" t="str">
        <x:v>Guest/unverified Teams identity.</x:v>
      </x:c>
    </x:row>
    <x:row r="73">
      <x:c r="A73" s="36" t="str">
        <x:v>External</x:v>
      </x:c>
      <x:c r="B73" s="36" t="str">
        <x:v>Claudia Viviana Medina Gutierrez (Externo)</x:v>
      </x:c>
      <x:c r="C73" s="36" t="str">
        <x:v>coordfinanciera@ecosantana.com</x:v>
      </x:c>
      <x:c r="D73" s="36" t="str"/>
      <x:c r="E73" s="36" t="str"/>
      <x:c r="F73" s="36" t="str"/>
      <x:c r="G73" s="38" t="n">
        <x:v>32.15</x:v>
      </x:c>
      <x:c r="H73" s="38" t="n">
        <x:v>3</x:v>
      </x:c>
      <x:c r="I73" s="38" t="n">
        <x:f>IF(G73&gt;50,2,IF(G73&gt;30,1,0))</x:f>
        <x:v>1</x:v>
      </x:c>
      <x:c r="J73" s="38" t="n">
        <x:v>0</x:v>
      </x:c>
      <x:c r="K73" s="38" t="n">
        <x:v>0</x:v>
      </x:c>
      <x:c r="L73" s="38" t="n">
        <x:v>0</x:v>
      </x:c>
      <x:c r="M73" s="38" t="n">
        <x:v>0</x:v>
      </x:c>
      <x:c r="N73" s="38" t="n">
        <x:f>SUM(J73:M73)</x:f>
        <x:v>0</x:v>
      </x:c>
      <x:c r="O73" s="38" t="n">
        <x:f>H73+I73+N73</x:f>
        <x:v>4</x:v>
      </x:c>
      <x:c r="P73" s="36" t="str">
        <x:f>IF(A73="Internal - Control Union / Peterson","INTERNAL",IF(O73&gt;=8,"HOT",IF(O73&gt;=5,"WARM","COLD")))</x:f>
        <x:v>COLD</x:v>
      </x:c>
      <x:c r="Q73" s="36" t="str"/>
      <x:c r="R73" s="44" t="n">
        <x:v>46260.510659722226</x:v>
      </x:c>
      <x:c r="S73" s="44" t="n">
        <x:v>46260.53298611111</x:v>
      </x:c>
      <x:c r="T73" s="36" t="str">
        <x:v>32 min 9s</x:v>
      </x:c>
      <x:c r="U73" s="36" t="str">
        <x:v>Asistente</x:v>
      </x:c>
      <x:c r="V73" s="36" t="str">
        <x:v>coordfinanciera@ecosantana.com</x:v>
      </x:c>
      <x:c r="W73" s="36" t="str">
        <x:v>coordfinanciera@ecosantana.com</x:v>
      </x:c>
      <x:c r="X73" s="36" t="str"/>
    </x:row>
    <x:row r="74">
      <x:c r="A74" s="36" t="str">
        <x:v>External</x:v>
      </x:c>
      <x:c r="B74" s="36" t="str">
        <x:v>Jeremi Celio - ATP (No comprobado)</x:v>
      </x:c>
      <x:c r="C74" s="36" t="str">
        <x:v>sostenibilidad@amazonastrading.com</x:v>
      </x:c>
      <x:c r="D74" s="36" t="str">
        <x:v>sostenibilidad@amazonastrading.com</x:v>
      </x:c>
      <x:c r="E74" s="36" t="str">
        <x:v>AMAZONAS TRADING PERU S.A.C</x:v>
      </x:c>
      <x:c r="F74" s="36" t="str">
        <x:v>Perú</x:v>
      </x:c>
      <x:c r="G74" s="38" t="n">
        <x:v>31.07</x:v>
      </x:c>
      <x:c r="H74" s="38" t="n">
        <x:v>3</x:v>
      </x:c>
      <x:c r="I74" s="38" t="n">
        <x:f>IF(G74&gt;50,2,IF(G74&gt;30,1,0))</x:f>
        <x:v>1</x:v>
      </x:c>
      <x:c r="J74" s="38" t="n">
        <x:v>0</x:v>
      </x:c>
      <x:c r="K74" s="38" t="n">
        <x:v>0</x:v>
      </x:c>
      <x:c r="L74" s="38" t="n">
        <x:v>0</x:v>
      </x:c>
      <x:c r="M74" s="38" t="n">
        <x:v>0</x:v>
      </x:c>
      <x:c r="N74" s="38" t="n">
        <x:f>SUM(J74:M74)</x:f>
        <x:v>0</x:v>
      </x:c>
      <x:c r="O74" s="38" t="n">
        <x:f>H74+I74+N74</x:f>
        <x:v>4</x:v>
      </x:c>
      <x:c r="P74" s="36" t="str">
        <x:f>IF(A74="Internal - Control Union / Peterson","INTERNAL",IF(O74&gt;=8,"HOT",IF(O74&gt;=5,"WARM","COLD")))</x:f>
        <x:v>COLD</x:v>
      </x:c>
      <x:c r="Q74" s="36" t="str"/>
      <x:c r="R74" s="44" t="n">
        <x:v>46260.50163194445</x:v>
      </x:c>
      <x:c r="S74" s="44" t="n">
        <x:v>46260.523206018515</x:v>
      </x:c>
      <x:c r="T74" s="36" t="str">
        <x:v>31 min 4s</x:v>
      </x:c>
      <x:c r="U74" s="36" t="str">
        <x:v>Asistente</x:v>
      </x:c>
      <x:c r="V74" s="36" t="str"/>
      <x:c r="W74" s="36" t="str"/>
      <x:c r="X74" s="36" t="str">
        <x:v>Guest/unverified Teams identity.</x:v>
      </x:c>
    </x:row>
    <x:row r="75">
      <x:c r="A75" s="36" t="str">
        <x:v>External</x:v>
      </x:c>
      <x:c r="B75" s="36" t="str">
        <x:v>Victor Hugo Romero Segovia (Externo)</x:v>
      </x:c>
      <x:c r="C75" s="36" t="str">
        <x:v>vromero@biomar.com</x:v>
      </x:c>
      <x:c r="D75" s="36" t="str">
        <x:v>vromero@biomar.com</x:v>
      </x:c>
      <x:c r="E75" s="36" t="str">
        <x:v>Biomar</x:v>
      </x:c>
      <x:c r="F75" s="36" t="str">
        <x:v>chile</x:v>
      </x:c>
      <x:c r="G75" s="38" t="n">
        <x:v>30.85</x:v>
      </x:c>
      <x:c r="H75" s="38" t="n">
        <x:v>3</x:v>
      </x:c>
      <x:c r="I75" s="38" t="n">
        <x:f>IF(G75&gt;50,2,IF(G75&gt;30,1,0))</x:f>
        <x:v>1</x:v>
      </x:c>
      <x:c r="J75" s="38" t="n">
        <x:v>0</x:v>
      </x:c>
      <x:c r="K75" s="38" t="n">
        <x:v>0</x:v>
      </x:c>
      <x:c r="L75" s="38" t="n">
        <x:v>0</x:v>
      </x:c>
      <x:c r="M75" s="38" t="n">
        <x:v>0</x:v>
      </x:c>
      <x:c r="N75" s="38" t="n">
        <x:f>SUM(J75:M75)</x:f>
        <x:v>0</x:v>
      </x:c>
      <x:c r="O75" s="38" t="n">
        <x:f>H75+I75+N75</x:f>
        <x:v>4</x:v>
      </x:c>
      <x:c r="P75" s="36" t="str">
        <x:f>IF(A75="Internal - Control Union / Peterson","INTERNAL",IF(O75&gt;=8,"HOT",IF(O75&gt;=5,"WARM","COLD")))</x:f>
        <x:v>COLD</x:v>
      </x:c>
      <x:c r="Q75" s="36" t="str"/>
      <x:c r="R75" s="44" t="n">
        <x:v>46260.50770833333</x:v>
      </x:c>
      <x:c r="S75" s="44" t="n">
        <x:v>46260.52914351852</x:v>
      </x:c>
      <x:c r="T75" s="36" t="str">
        <x:v>30 min 51s</x:v>
      </x:c>
      <x:c r="U75" s="36" t="str">
        <x:v>Asistente</x:v>
      </x:c>
      <x:c r="V75" s="36" t="str">
        <x:v>vromero@biomar.com</x:v>
      </x:c>
      <x:c r="W75" s="36" t="str">
        <x:v>vromero@biomar.com</x:v>
      </x:c>
      <x:c r="X75" s="36" t="str"/>
    </x:row>
    <x:row r="76">
      <x:c r="A76" s="36" t="str">
        <x:v>External</x:v>
      </x:c>
      <x:c r="B76" s="36" t="str">
        <x:v>Ani Cobo</x:v>
      </x:c>
      <x:c r="C76" s="36" t="str"/>
      <x:c r="D76" s="36" t="str"/>
      <x:c r="E76" s="36" t="str"/>
      <x:c r="F76" s="36" t="str"/>
      <x:c r="G76" s="38" t="n">
        <x:v>30.32</x:v>
      </x:c>
      <x:c r="H76" s="38" t="n">
        <x:v>3</x:v>
      </x:c>
      <x:c r="I76" s="38" t="n">
        <x:f>IF(G76&gt;50,2,IF(G76&gt;30,1,0))</x:f>
        <x:v>1</x:v>
      </x:c>
      <x:c r="J76" s="38" t="n">
        <x:v>0</x:v>
      </x:c>
      <x:c r="K76" s="38" t="n">
        <x:v>0</x:v>
      </x:c>
      <x:c r="L76" s="38" t="n">
        <x:v>0</x:v>
      </x:c>
      <x:c r="M76" s="38" t="n">
        <x:v>0</x:v>
      </x:c>
      <x:c r="N76" s="38" t="n">
        <x:f>SUM(J76:M76)</x:f>
        <x:v>0</x:v>
      </x:c>
      <x:c r="O76" s="38" t="n">
        <x:f>H76+I76+N76</x:f>
        <x:v>4</x:v>
      </x:c>
      <x:c r="P76" s="36" t="str">
        <x:f>IF(A76="Internal - Control Union / Peterson","INTERNAL",IF(O76&gt;=8,"HOT",IF(O76&gt;=5,"WARM","COLD")))</x:f>
        <x:v>COLD</x:v>
      </x:c>
      <x:c r="Q76" s="36" t="str"/>
      <x:c r="R76" s="44" t="n">
        <x:v>46260.51275462963</x:v>
      </x:c>
      <x:c r="S76" s="44" t="n">
        <x:v>46260.53381944444</x:v>
      </x:c>
      <x:c r="T76" s="36" t="str">
        <x:v>30 min 19s</x:v>
      </x:c>
      <x:c r="U76" s="36" t="str">
        <x:v>Asistente</x:v>
      </x:c>
      <x:c r="V76" s="36" t="str"/>
      <x:c r="W76" s="36" t="str"/>
      <x:c r="X76" s="36" t="str">
        <x:v>Guest/unverified Teams identity.</x:v>
      </x:c>
    </x:row>
    <x:row r="77">
      <x:c r="A77" s="36" t="str">
        <x:v>External</x:v>
      </x:c>
      <x:c r="B77" s="36" t="str">
        <x:v>Roa, Silvia (Externo)</x:v>
      </x:c>
      <x:c r="C77" s="36" t="str">
        <x:v>silvia.roa@adm.com</x:v>
      </x:c>
      <x:c r="D77" s="36" t="str">
        <x:v>silvia.roa@adm.com</x:v>
      </x:c>
      <x:c r="E77" s="36" t="str">
        <x:v>ADM Paraguay</x:v>
      </x:c>
      <x:c r="F77" s="36" t="str">
        <x:v>Paraguay</x:v>
      </x:c>
      <x:c r="G77" s="38" t="n">
        <x:v>24.98</x:v>
      </x:c>
      <x:c r="H77" s="38" t="n">
        <x:v>3</x:v>
      </x:c>
      <x:c r="I77" s="38" t="n">
        <x:f>IF(G77&gt;50,2,IF(G77&gt;30,1,0))</x:f>
        <x:v>0</x:v>
      </x:c>
      <x:c r="J77" s="38" t="n">
        <x:v>0</x:v>
      </x:c>
      <x:c r="K77" s="38" t="n">
        <x:v>0</x:v>
      </x:c>
      <x:c r="L77" s="38" t="n">
        <x:v>0</x:v>
      </x:c>
      <x:c r="M77" s="38" t="n">
        <x:v>1</x:v>
      </x:c>
      <x:c r="N77" s="38" t="n">
        <x:f>SUM(J77:M77)</x:f>
        <x:v>1</x:v>
      </x:c>
      <x:c r="O77" s="38" t="n">
        <x:f>H77+I77+N77</x:f>
        <x:v>4</x:v>
      </x:c>
      <x:c r="P77" s="36" t="str">
        <x:f>IF(A77="Internal - Control Union / Peterson","INTERNAL",IF(O77&gt;=8,"HOT",IF(O77&gt;=5,"WARM","COLD")))</x:f>
        <x:v>COLD</x:v>
      </x:c>
      <x:c r="Q77" s="36" t="str"/>
      <x:c r="R77" s="44" t="n">
        <x:v>46260.50270833333</x:v>
      </x:c>
      <x:c r="S77" s="44" t="n">
        <x:v>46260.52005787037</x:v>
      </x:c>
      <x:c r="T77" s="36" t="str">
        <x:v>24 min 59s</x:v>
      </x:c>
      <x:c r="U77" s="36" t="str">
        <x:v>Asistente</x:v>
      </x:c>
      <x:c r="V77" s="36" t="str">
        <x:v>silvia.roa@adm.com</x:v>
      </x:c>
      <x:c r="W77" s="36" t="str">
        <x:v>silvia.roa@adm.com</x:v>
      </x:c>
      <x:c r="X77" s="36" t="str"/>
    </x:row>
    <x:row r="78">
      <x:c r="A78" s="36" t="str">
        <x:v>External</x:v>
      </x:c>
      <x:c r="B78" s="36" t="str">
        <x:v>Juan Pablo (No comprobado)</x:v>
      </x:c>
      <x:c r="C78" s="36" t="str">
        <x:v>jupgiraldoqu@unal.edu.co</x:v>
      </x:c>
      <x:c r="D78" s="36" t="str">
        <x:v>jupgiraldoqu@unal.edu.co</x:v>
      </x:c>
      <x:c r="E78" s="36" t="str">
        <x:v>Fundacion Solidaridad</x:v>
      </x:c>
      <x:c r="F78" s="36" t="str">
        <x:v>Colombia</x:v>
      </x:c>
      <x:c r="G78" s="38" t="n">
        <x:v>23.28</x:v>
      </x:c>
      <x:c r="H78" s="38" t="n">
        <x:v>3</x:v>
      </x:c>
      <x:c r="I78" s="38" t="n">
        <x:f>IF(G78&gt;50,2,IF(G78&gt;30,1,0))</x:f>
        <x:v>0</x:v>
      </x:c>
      <x:c r="J78" s="38" t="n">
        <x:v>0</x:v>
      </x:c>
      <x:c r="K78" s="38" t="n">
        <x:v>0</x:v>
      </x:c>
      <x:c r="L78" s="38" t="n">
        <x:v>0</x:v>
      </x:c>
      <x:c r="M78" s="38" t="n">
        <x:v>1</x:v>
      </x:c>
      <x:c r="N78" s="38" t="n">
        <x:f>SUM(J78:M78)</x:f>
        <x:v>1</x:v>
      </x:c>
      <x:c r="O78" s="38" t="n">
        <x:f>H78+I78+N78</x:f>
        <x:v>4</x:v>
      </x:c>
      <x:c r="P78" s="36" t="str">
        <x:f>IF(A78="Internal - Control Union / Peterson","INTERNAL",IF(O78&gt;=8,"HOT",IF(O78&gt;=5,"WARM","COLD")))</x:f>
        <x:v>COLD</x:v>
      </x:c>
      <x:c r="Q78" s="36" t="str"/>
      <x:c r="R78" s="44" t="n">
        <x:v>46260.50293981482</x:v>
      </x:c>
      <x:c r="S78" s="44" t="n">
        <x:v>46260.51912037037</x:v>
      </x:c>
      <x:c r="T78" s="36" t="str">
        <x:v>23 min 17s</x:v>
      </x:c>
      <x:c r="U78" s="36" t="str">
        <x:v>Asistente</x:v>
      </x:c>
      <x:c r="V78" s="36" t="str"/>
      <x:c r="W78" s="36" t="str"/>
      <x:c r="X78" s="36" t="str">
        <x:v>Guest/unverified Teams identity.</x:v>
      </x:c>
    </x:row>
    <x:row r="79">
      <x:c r="A79" s="36" t="str">
        <x:v>External</x:v>
      </x:c>
      <x:c r="B79" s="36" t="str">
        <x:v>Luis Heller  (No comprobado)</x:v>
      </x:c>
      <x:c r="C79" s="36" t="str">
        <x:v>luisheller@allpa.com.pe</x:v>
      </x:c>
      <x:c r="D79" s="36" t="str">
        <x:v>luisheller@allpa.com.pe</x:v>
      </x:c>
      <x:c r="E79" s="36" t="str">
        <x:v>ALLPA SAC</x:v>
      </x:c>
      <x:c r="F79" s="36" t="str">
        <x:v>Perú</x:v>
      </x:c>
      <x:c r="G79" s="38" t="n">
        <x:v>2.63</x:v>
      </x:c>
      <x:c r="H79" s="38" t="n">
        <x:v>3</x:v>
      </x:c>
      <x:c r="I79" s="38" t="n">
        <x:f>IF(G79&gt;50,2,IF(G79&gt;30,1,0))</x:f>
        <x:v>0</x:v>
      </x:c>
      <x:c r="J79" s="38" t="n">
        <x:v>0</x:v>
      </x:c>
      <x:c r="K79" s="38" t="n">
        <x:v>0</x:v>
      </x:c>
      <x:c r="L79" s="38" t="n">
        <x:v>0</x:v>
      </x:c>
      <x:c r="M79" s="38" t="n">
        <x:v>1</x:v>
      </x:c>
      <x:c r="N79" s="38" t="n">
        <x:f>SUM(J79:M79)</x:f>
        <x:v>1</x:v>
      </x:c>
      <x:c r="O79" s="38" t="n">
        <x:f>H79+I79+N79</x:f>
        <x:v>4</x:v>
      </x:c>
      <x:c r="P79" s="36" t="str">
        <x:f>IF(A79="Internal - Control Union / Peterson","INTERNAL",IF(O79&gt;=8,"HOT",IF(O79&gt;=5,"WARM","COLD")))</x:f>
        <x:v>COLD</x:v>
      </x:c>
      <x:c r="Q79" s="36" t="str"/>
      <x:c r="R79" s="44" t="n">
        <x:v>46260.5046875</x:v>
      </x:c>
      <x:c r="S79" s="44" t="n">
        <x:v>46260.506527777776</x:v>
      </x:c>
      <x:c r="T79" s="36" t="str">
        <x:v>2 min 38s</x:v>
      </x:c>
      <x:c r="U79" s="36" t="str">
        <x:v>Asistente</x:v>
      </x:c>
      <x:c r="V79" s="36" t="str"/>
      <x:c r="W79" s="36" t="str"/>
      <x:c r="X79" s="36" t="str">
        <x:v>Guest/unverified Teams identity.</x:v>
      </x:c>
    </x:row>
    <x:row r="80">
      <x:c r="A80" s="36" t="str">
        <x:v>External</x:v>
      </x:c>
      <x:c r="B80" s="36" t="str">
        <x:v>Senovia Madrid (No comprobado)</x:v>
      </x:c>
      <x:c r="C80" s="36" t="str">
        <x:v>mirtatome@gmail.com</x:v>
      </x:c>
      <x:c r="D80" s="36" t="str">
        <x:v>mirtatome@gmail.com</x:v>
      </x:c>
      <x:c r="E80" s="36" t="str">
        <x:v>PROSERIN</x:v>
      </x:c>
      <x:c r="F80" s="36" t="str">
        <x:v>Honduras</x:v>
      </x:c>
      <x:c r="G80" s="38" t="n">
        <x:v>0.45</x:v>
      </x:c>
      <x:c r="H80" s="38" t="n">
        <x:v>3</x:v>
      </x:c>
      <x:c r="I80" s="38" t="n">
        <x:f>IF(G80&gt;50,2,IF(G80&gt;30,1,0))</x:f>
        <x:v>0</x:v>
      </x:c>
      <x:c r="J80" s="38" t="n">
        <x:v>0</x:v>
      </x:c>
      <x:c r="K80" s="38" t="n">
        <x:v>0</x:v>
      </x:c>
      <x:c r="L80" s="38" t="n">
        <x:v>0</x:v>
      </x:c>
      <x:c r="M80" s="38" t="n">
        <x:v>1</x:v>
      </x:c>
      <x:c r="N80" s="38" t="n">
        <x:f>SUM(J80:M80)</x:f>
        <x:v>1</x:v>
      </x:c>
      <x:c r="O80" s="38" t="n">
        <x:f>H80+I80+N80</x:f>
        <x:v>4</x:v>
      </x:c>
      <x:c r="P80" s="36" t="str">
        <x:f>IF(A80="Internal - Control Union / Peterson","INTERNAL",IF(O80&gt;=8,"HOT",IF(O80&gt;=5,"WARM","COLD")))</x:f>
        <x:v>COLD</x:v>
      </x:c>
      <x:c r="Q80" s="36" t="str"/>
      <x:c r="R80" s="44" t="n">
        <x:v>46260.460752314815</x:v>
      </x:c>
      <x:c r="S80" s="44" t="n">
        <x:v>46260.461064814815</x:v>
      </x:c>
      <x:c r="T80" s="36" t="str">
        <x:v>27s</x:v>
      </x:c>
      <x:c r="U80" s="36" t="str">
        <x:v>Asistente</x:v>
      </x:c>
      <x:c r="V80" s="36" t="str"/>
      <x:c r="W80" s="36" t="str"/>
      <x:c r="X80" s="36" t="str">
        <x:v>Guest/unverified Teams identity.</x:v>
      </x:c>
    </x:row>
    <x:row r="81">
      <x:c r="A81" s="36" t="str">
        <x:v>External</x:v>
      </x:c>
      <x:c r="B81" s="36" t="str">
        <x:v>HENRY (No comprobado)</x:v>
      </x:c>
      <x:c r="C81" s="36" t="str">
        <x:v>ucertificacion@actu.com.pe</x:v>
      </x:c>
      <x:c r="D81" s="36" t="str">
        <x:v>ucertificacion@actu.com.pe</x:v>
      </x:c>
      <x:c r="E81" s="36" t="str">
        <x:v>ASOCIACION DE CACAOTEROS TECNIFICADOS  DEL UCAYALI</x:v>
      </x:c>
      <x:c r="F81" s="36" t="str">
        <x:v>Perú</x:v>
      </x:c>
      <x:c r="G81" s="38" t="n">
        <x:v>28.18</x:v>
      </x:c>
      <x:c r="H81" s="38" t="n">
        <x:v>3</x:v>
      </x:c>
      <x:c r="I81" s="38" t="n">
        <x:f>IF(G81&gt;50,2,IF(G81&gt;30,1,0))</x:f>
        <x:v>0</x:v>
      </x:c>
      <x:c r="J81" s="38" t="n">
        <x:v>0</x:v>
      </x:c>
      <x:c r="K81" s="38" t="n">
        <x:v>0</x:v>
      </x:c>
      <x:c r="L81" s="38" t="n">
        <x:v>0</x:v>
      </x:c>
      <x:c r="M81" s="38" t="n">
        <x:v>0</x:v>
      </x:c>
      <x:c r="N81" s="38" t="n">
        <x:f>SUM(J81:M81)</x:f>
        <x:v>0</x:v>
      </x:c>
      <x:c r="O81" s="38" t="n">
        <x:f>H81+I81+N81</x:f>
        <x:v>3</x:v>
      </x:c>
      <x:c r="P81" s="36" t="str">
        <x:f>IF(A81="Internal - Control Union / Peterson","INTERNAL",IF(O81&gt;=8,"HOT",IF(O81&gt;=5,"WARM","COLD")))</x:f>
        <x:v>COLD</x:v>
      </x:c>
      <x:c r="Q81" s="36" t="str"/>
      <x:c r="R81" s="44" t="n">
        <x:v>46260.51775462963</x:v>
      </x:c>
      <x:c r="S81" s="44" t="n">
        <x:v>46260.53732638889</x:v>
      </x:c>
      <x:c r="T81" s="36" t="str">
        <x:v>28 min 11s</x:v>
      </x:c>
      <x:c r="U81" s="36" t="str">
        <x:v>Asistente</x:v>
      </x:c>
      <x:c r="V81" s="36" t="str"/>
      <x:c r="W81" s="36" t="str"/>
      <x:c r="X81" s="36" t="str">
        <x:v>Guest/unverified Teams identity.</x:v>
      </x:c>
    </x:row>
    <x:row r="82">
      <x:c r="A82" s="36" t="str">
        <x:v>External</x:v>
      </x:c>
      <x:c r="B82" s="36" t="str">
        <x:v>SCS (No comprobado)</x:v>
      </x:c>
      <x:c r="C82" s="36" t="str">
        <x:v>juanpablo@qualabs.com</x:v>
      </x:c>
      <x:c r="D82" s="36" t="str">
        <x:v>juanpablo@qualabs.com</x:v>
      </x:c>
      <x:c r="E82" s="36" t="str">
        <x:v>Qualabs</x:v>
      </x:c>
      <x:c r="F82" s="36" t="str">
        <x:v>Uruguay</x:v>
      </x:c>
      <x:c r="G82" s="38" t="n">
        <x:v>25.77</x:v>
      </x:c>
      <x:c r="H82" s="38" t="n">
        <x:v>3</x:v>
      </x:c>
      <x:c r="I82" s="38" t="n">
        <x:f>IF(G82&gt;50,2,IF(G82&gt;30,1,0))</x:f>
        <x:v>0</x:v>
      </x:c>
      <x:c r="J82" s="38" t="n">
        <x:v>0</x:v>
      </x:c>
      <x:c r="K82" s="38" t="n">
        <x:v>0</x:v>
      </x:c>
      <x:c r="L82" s="38" t="n">
        <x:v>0</x:v>
      </x:c>
      <x:c r="M82" s="38" t="n">
        <x:v>0</x:v>
      </x:c>
      <x:c r="N82" s="38" t="n">
        <x:f>SUM(J82:M82)</x:f>
        <x:v>0</x:v>
      </x:c>
      <x:c r="O82" s="38" t="n">
        <x:f>H82+I82+N82</x:f>
        <x:v>3</x:v>
      </x:c>
      <x:c r="P82" s="36" t="str">
        <x:f>IF(A82="Internal - Control Union / Peterson","INTERNAL",IF(O82&gt;=8,"HOT",IF(O82&gt;=5,"WARM","COLD")))</x:f>
        <x:v>COLD</x:v>
      </x:c>
      <x:c r="Q82" s="36" t="str"/>
      <x:c r="R82" s="44" t="n">
        <x:v>46260.51578703704</x:v>
      </x:c>
      <x:c r="S82" s="44" t="n">
        <x:v>46260.53369212963</x:v>
      </x:c>
      <x:c r="T82" s="36" t="str">
        <x:v>25 min 46s</x:v>
      </x:c>
      <x:c r="U82" s="36" t="str">
        <x:v>Asistente</x:v>
      </x:c>
      <x:c r="V82" s="36" t="str"/>
      <x:c r="W82" s="36" t="str"/>
      <x:c r="X82" s="36" t="str">
        <x:v>Guest/unverified Teams identity.</x:v>
      </x:c>
    </x:row>
    <x:row r="83">
      <x:c r="A83" s="36" t="str">
        <x:v>External</x:v>
      </x:c>
      <x:c r="B83" s="36" t="str">
        <x:v>Cristobal Antonio Rodriguez Montano (Externo)</x:v>
      </x:c>
      <x:c r="C83" s="36" t="str">
        <x:v>jefeadministrativo@ecosantana.com</x:v>
      </x:c>
      <x:c r="D83" s="36" t="str">
        <x:v>dircalidad@siesas.com.co</x:v>
      </x:c>
      <x:c r="E83" s="36" t="str">
        <x:v>Oleaginosas San Marcos S.A</x:v>
      </x:c>
      <x:c r="F83" s="36" t="str">
        <x:v>Colombia</x:v>
      </x:c>
      <x:c r="G83" s="38" t="n">
        <x:v>24.88</x:v>
      </x:c>
      <x:c r="H83" s="38" t="n">
        <x:v>3</x:v>
      </x:c>
      <x:c r="I83" s="38" t="n">
        <x:f>IF(G83&gt;50,2,IF(G83&gt;30,1,0))</x:f>
        <x:v>0</x:v>
      </x:c>
      <x:c r="J83" s="38" t="n">
        <x:v>0</x:v>
      </x:c>
      <x:c r="K83" s="38" t="n">
        <x:v>0</x:v>
      </x:c>
      <x:c r="L83" s="38" t="n">
        <x:v>0</x:v>
      </x:c>
      <x:c r="M83" s="38" t="n">
        <x:v>0</x:v>
      </x:c>
      <x:c r="N83" s="38" t="n">
        <x:f>SUM(J83:M83)</x:f>
        <x:v>0</x:v>
      </x:c>
      <x:c r="O83" s="38" t="n">
        <x:f>H83+I83+N83</x:f>
        <x:v>3</x:v>
      </x:c>
      <x:c r="P83" s="36" t="str">
        <x:f>IF(A83="Internal - Control Union / Peterson","INTERNAL",IF(O83&gt;=8,"HOT",IF(O83&gt;=5,"WARM","COLD")))</x:f>
        <x:v>COLD</x:v>
      </x:c>
      <x:c r="Q83" s="36" t="str"/>
      <x:c r="R83" s="44" t="n">
        <x:v>46260.506006944444</x:v>
      </x:c>
      <x:c r="S83" s="44" t="n">
        <x:v>46260.52328703704</x:v>
      </x:c>
      <x:c r="T83" s="36" t="str">
        <x:v>24 min 53s</x:v>
      </x:c>
      <x:c r="U83" s="36" t="str">
        <x:v>Asistente</x:v>
      </x:c>
      <x:c r="V83" s="36" t="str">
        <x:v>jefeadministrativo@ecosantana.com</x:v>
      </x:c>
      <x:c r="W83" s="36" t="str">
        <x:v>jefeadministrativo@ecosantana.com</x:v>
      </x:c>
      <x:c r="X83" s="36" t="str">
        <x:v>Teams identity email differs from registration email.</x:v>
      </x:c>
    </x:row>
    <x:row r="84">
      <x:c r="A84" s="36" t="str">
        <x:v>External</x:v>
      </x:c>
      <x:c r="B84" s="36" t="str">
        <x:v>Baez, Gabriela (Externo)</x:v>
      </x:c>
      <x:c r="C84" s="36" t="str">
        <x:v>Gabriela.Baez@adm.com</x:v>
      </x:c>
      <x:c r="D84" s="36" t="str">
        <x:v>gabriela.baez@adm.com</x:v>
      </x:c>
      <x:c r="E84" s="36" t="str">
        <x:v>ADM PARAGUAY SRL</x:v>
      </x:c>
      <x:c r="F84" s="36" t="str">
        <x:v>PARAGUAY</x:v>
      </x:c>
      <x:c r="G84" s="38" t="n">
        <x:v>24.32</x:v>
      </x:c>
      <x:c r="H84" s="38" t="n">
        <x:v>3</x:v>
      </x:c>
      <x:c r="I84" s="38" t="n">
        <x:f>IF(G84&gt;50,2,IF(G84&gt;30,1,0))</x:f>
        <x:v>0</x:v>
      </x:c>
      <x:c r="J84" s="38" t="n">
        <x:v>0</x:v>
      </x:c>
      <x:c r="K84" s="38" t="n">
        <x:v>0</x:v>
      </x:c>
      <x:c r="L84" s="38" t="n">
        <x:v>0</x:v>
      </x:c>
      <x:c r="M84" s="38" t="n">
        <x:v>0</x:v>
      </x:c>
      <x:c r="N84" s="38" t="n">
        <x:f>SUM(J84:M84)</x:f>
        <x:v>0</x:v>
      </x:c>
      <x:c r="O84" s="38" t="n">
        <x:f>H84+I84+N84</x:f>
        <x:v>3</x:v>
      </x:c>
      <x:c r="P84" s="36" t="str">
        <x:f>IF(A84="Internal - Control Union / Peterson","INTERNAL",IF(O84&gt;=8,"HOT",IF(O84&gt;=5,"WARM","COLD")))</x:f>
        <x:v>COLD</x:v>
      </x:c>
      <x:c r="Q84" s="36" t="str"/>
      <x:c r="R84" s="44" t="n">
        <x:v>46260.512141203704</x:v>
      </x:c>
      <x:c r="S84" s="44" t="n">
        <x:v>46260.52903935185</x:v>
      </x:c>
      <x:c r="T84" s="36" t="str">
        <x:v>24 min 19s</x:v>
      </x:c>
      <x:c r="U84" s="36" t="str">
        <x:v>Asistente</x:v>
      </x:c>
      <x:c r="V84" s="36" t="str">
        <x:v>Gabriela.Baez@adm.com</x:v>
      </x:c>
      <x:c r="W84" s="36" t="str">
        <x:v>Gabriela.Baez@adm.com</x:v>
      </x:c>
      <x:c r="X84" s="36" t="str"/>
    </x:row>
    <x:row r="85">
      <x:c r="A85" s="36" t="str">
        <x:v>External</x:v>
      </x:c>
      <x:c r="B85" s="36" t="str">
        <x:v>Silmar Czezaniak</x:v>
      </x:c>
      <x:c r="C85" s="36" t="str">
        <x:v>silmar.farmsgroup@hotmail.com</x:v>
      </x:c>
      <x:c r="D85" s="36" t="str">
        <x:v>silmar.farmsgroup@hotmail.com</x:v>
      </x:c>
      <x:c r="E85" s="36" t="str">
        <x:v>Farms Group S.A.</x:v>
      </x:c>
      <x:c r="F85" s="36" t="str">
        <x:v>paraguay</x:v>
      </x:c>
      <x:c r="G85" s="38" t="n">
        <x:v>21.73</x:v>
      </x:c>
      <x:c r="H85" s="38" t="n">
        <x:v>3</x:v>
      </x:c>
      <x:c r="I85" s="38" t="n">
        <x:f>IF(G85&gt;50,2,IF(G85&gt;30,1,0))</x:f>
        <x:v>0</x:v>
      </x:c>
      <x:c r="J85" s="38" t="n">
        <x:v>0</x:v>
      </x:c>
      <x:c r="K85" s="38" t="n">
        <x:v>0</x:v>
      </x:c>
      <x:c r="L85" s="38" t="n">
        <x:v>0</x:v>
      </x:c>
      <x:c r="M85" s="38" t="n">
        <x:v>0</x:v>
      </x:c>
      <x:c r="N85" s="38" t="n">
        <x:f>SUM(J85:M85)</x:f>
        <x:v>0</x:v>
      </x:c>
      <x:c r="O85" s="38" t="n">
        <x:f>H85+I85+N85</x:f>
        <x:v>3</x:v>
      </x:c>
      <x:c r="P85" s="36" t="str">
        <x:f>IF(A85="Internal - Control Union / Peterson","INTERNAL",IF(O85&gt;=8,"HOT",IF(O85&gt;=5,"WARM","COLD")))</x:f>
        <x:v>COLD</x:v>
      </x:c>
      <x:c r="Q85" s="36" t="str"/>
      <x:c r="R85" s="44" t="n">
        <x:v>46260.51174768519</x:v>
      </x:c>
      <x:c r="S85" s="44" t="n">
        <x:v>46260.533680555556</x:v>
      </x:c>
      <x:c r="T85" s="36" t="str">
        <x:v>21 min 44s</x:v>
      </x:c>
      <x:c r="U85" s="36" t="str">
        <x:v>Asistente</x:v>
      </x:c>
      <x:c r="V85" s="36" t="str"/>
      <x:c r="W85" s="36" t="str"/>
      <x:c r="X85" s="36" t="str">
        <x:v>Guest/unverified Teams identity.</x:v>
      </x:c>
    </x:row>
    <x:row r="86">
      <x:c r="A86" s="36" t="str">
        <x:v>External</x:v>
      </x:c>
      <x:c r="B86" s="36" t="str">
        <x:v>Mercedes Rivas  (No comprobado)</x:v>
      </x:c>
      <x:c r="C86" s="36" t="str">
        <x:v>mlrivas.n@gmail.com</x:v>
      </x:c>
      <x:c r="D86" s="36" t="str">
        <x:v>mlrivas.n@gmail.com</x:v>
      </x:c>
      <x:c r="E86" s="36" t="str">
        <x:v>Independiente</x:v>
      </x:c>
      <x:c r="F86" s="36" t="str">
        <x:v>Perú</x:v>
      </x:c>
      <x:c r="G86" s="38" t="n">
        <x:v>20.98</x:v>
      </x:c>
      <x:c r="H86" s="38" t="n">
        <x:v>3</x:v>
      </x:c>
      <x:c r="I86" s="38" t="n">
        <x:f>IF(G86&gt;50,2,IF(G86&gt;30,1,0))</x:f>
        <x:v>0</x:v>
      </x:c>
      <x:c r="J86" s="38" t="n">
        <x:v>0</x:v>
      </x:c>
      <x:c r="K86" s="38" t="n">
        <x:v>0</x:v>
      </x:c>
      <x:c r="L86" s="38" t="n">
        <x:v>0</x:v>
      </x:c>
      <x:c r="M86" s="38" t="n">
        <x:v>0</x:v>
      </x:c>
      <x:c r="N86" s="38" t="n">
        <x:f>SUM(J86:M86)</x:f>
        <x:v>0</x:v>
      </x:c>
      <x:c r="O86" s="38" t="n">
        <x:f>H86+I86+N86</x:f>
        <x:v>3</x:v>
      </x:c>
      <x:c r="P86" s="36" t="str">
        <x:f>IF(A86="Internal - Control Union / Peterson","INTERNAL",IF(O86&gt;=8,"HOT",IF(O86&gt;=5,"WARM","COLD")))</x:f>
        <x:v>COLD</x:v>
      </x:c>
      <x:c r="Q86" s="36" t="str"/>
      <x:c r="R86" s="44" t="n">
        <x:v>46260.459398148145</x:v>
      </x:c>
      <x:c r="S86" s="44" t="n">
        <x:v>46260.473969907405</x:v>
      </x:c>
      <x:c r="T86" s="36" t="str">
        <x:v>20 min 59s</x:v>
      </x:c>
      <x:c r="U86" s="36" t="str">
        <x:v>Asistente</x:v>
      </x:c>
      <x:c r="V86" s="36" t="str"/>
      <x:c r="W86" s="36" t="str"/>
      <x:c r="X86" s="36" t="str">
        <x:v>Guest/unverified Teams identity.</x:v>
      </x:c>
    </x:row>
    <x:row r="87">
      <x:c r="A87" s="36" t="str">
        <x:v>External</x:v>
      </x:c>
      <x:c r="B87" s="36" t="str">
        <x:v>Andrea (No comprobado)</x:v>
      </x:c>
      <x:c r="C87" s="36" t="str">
        <x:v>andrucosta91@gmail.com</x:v>
      </x:c>
      <x:c r="D87" s="36" t="str">
        <x:v>andrucosta91@gmail.com</x:v>
      </x:c>
      <x:c r="E87" s="36" t="str">
        <x:v>Dos Beta SA</x:v>
      </x:c>
      <x:c r="F87" s="36" t="str">
        <x:v>Paraguay</x:v>
      </x:c>
      <x:c r="G87" s="38" t="n">
        <x:v>20.78</x:v>
      </x:c>
      <x:c r="H87" s="38" t="n">
        <x:v>3</x:v>
      </x:c>
      <x:c r="I87" s="38" t="n">
        <x:f>IF(G87&gt;50,2,IF(G87&gt;30,1,0))</x:f>
        <x:v>0</x:v>
      </x:c>
      <x:c r="J87" s="38" t="n">
        <x:v>0</x:v>
      </x:c>
      <x:c r="K87" s="38" t="n">
        <x:v>0</x:v>
      </x:c>
      <x:c r="L87" s="38" t="n">
        <x:v>0</x:v>
      </x:c>
      <x:c r="M87" s="38" t="n">
        <x:v>0</x:v>
      </x:c>
      <x:c r="N87" s="38" t="n">
        <x:f>SUM(J87:M87)</x:f>
        <x:v>0</x:v>
      </x:c>
      <x:c r="O87" s="38" t="n">
        <x:f>H87+I87+N87</x:f>
        <x:v>3</x:v>
      </x:c>
      <x:c r="P87" s="36" t="str">
        <x:f>IF(A87="Internal - Control Union / Peterson","INTERNAL",IF(O87&gt;=8,"HOT",IF(O87&gt;=5,"WARM","COLD")))</x:f>
        <x:v>COLD</x:v>
      </x:c>
      <x:c r="Q87" s="36" t="str"/>
      <x:c r="R87" s="44" t="n">
        <x:v>46260.51635416667</x:v>
      </x:c>
      <x:c r="S87" s="44" t="n">
        <x:v>46260.53078703704</x:v>
      </x:c>
      <x:c r="T87" s="36" t="str">
        <x:v>20 min 47s</x:v>
      </x:c>
      <x:c r="U87" s="36" t="str">
        <x:v>Asistente</x:v>
      </x:c>
      <x:c r="V87" s="36" t="str"/>
      <x:c r="W87" s="36" t="str"/>
      <x:c r="X87" s="36" t="str">
        <x:v>Guest/unverified Teams identity.</x:v>
      </x:c>
    </x:row>
    <x:row r="88">
      <x:c r="A88" s="36" t="str">
        <x:v>External</x:v>
      </x:c>
      <x:c r="B88" s="36" t="str">
        <x:v>Santiago Capote Saá (No comprobado)</x:v>
      </x:c>
      <x:c r="C88" s="36" t="str">
        <x:v>juanpablo@qualabs.com</x:v>
      </x:c>
      <x:c r="D88" s="36" t="str">
        <x:v>juanpablo@qualabs.com</x:v>
      </x:c>
      <x:c r="E88" s="36" t="str">
        <x:v>Qualabs</x:v>
      </x:c>
      <x:c r="F88" s="36" t="str">
        <x:v>Uruguay</x:v>
      </x:c>
      <x:c r="G88" s="38" t="n">
        <x:v>20.05</x:v>
      </x:c>
      <x:c r="H88" s="38" t="n">
        <x:v>3</x:v>
      </x:c>
      <x:c r="I88" s="38" t="n">
        <x:f>IF(G88&gt;50,2,IF(G88&gt;30,1,0))</x:f>
        <x:v>0</x:v>
      </x:c>
      <x:c r="J88" s="38" t="n">
        <x:v>0</x:v>
      </x:c>
      <x:c r="K88" s="38" t="n">
        <x:v>0</x:v>
      </x:c>
      <x:c r="L88" s="38" t="n">
        <x:v>0</x:v>
      </x:c>
      <x:c r="M88" s="38" t="n">
        <x:v>0</x:v>
      </x:c>
      <x:c r="N88" s="38" t="n">
        <x:f>SUM(J88:M88)</x:f>
        <x:v>0</x:v>
      </x:c>
      <x:c r="O88" s="38" t="n">
        <x:f>H88+I88+N88</x:f>
        <x:v>3</x:v>
      </x:c>
      <x:c r="P88" s="36" t="str">
        <x:f>IF(A88="Internal - Control Union / Peterson","INTERNAL",IF(O88&gt;=8,"HOT",IF(O88&gt;=5,"WARM","COLD")))</x:f>
        <x:v>COLD</x:v>
      </x:c>
      <x:c r="Q88" s="36" t="str"/>
      <x:c r="R88" s="44" t="n">
        <x:v>46260.5015162037</x:v>
      </x:c>
      <x:c r="S88" s="44" t="n">
        <x:v>46260.515439814815</x:v>
      </x:c>
      <x:c r="T88" s="36" t="str">
        <x:v>20 min 3s</x:v>
      </x:c>
      <x:c r="U88" s="36" t="str">
        <x:v>Asistente</x:v>
      </x:c>
      <x:c r="V88" s="36" t="str"/>
      <x:c r="W88" s="36" t="str"/>
      <x:c r="X88" s="36" t="str">
        <x:v>Guest/unverified Teams identity.</x:v>
      </x:c>
    </x:row>
    <x:row r="89">
      <x:c r="A89" s="36" t="str">
        <x:v>External</x:v>
      </x:c>
      <x:c r="B89" s="36" t="str">
        <x:v>Liliana Nole (No comprobado)</x:v>
      </x:c>
      <x:c r="C89" s="36" t="str">
        <x:v>mlrivas.n@gmail.com</x:v>
      </x:c>
      <x:c r="D89" s="36" t="str">
        <x:v>mlrivas.n@gmail.com</x:v>
      </x:c>
      <x:c r="E89" s="36" t="str">
        <x:v>Independiente</x:v>
      </x:c>
      <x:c r="F89" s="36" t="str">
        <x:v>Perú</x:v>
      </x:c>
      <x:c r="G89" s="38" t="n">
        <x:v>17.28</x:v>
      </x:c>
      <x:c r="H89" s="38" t="n">
        <x:v>3</x:v>
      </x:c>
      <x:c r="I89" s="38" t="n">
        <x:f>IF(G89&gt;50,2,IF(G89&gt;30,1,0))</x:f>
        <x:v>0</x:v>
      </x:c>
      <x:c r="J89" s="38" t="n">
        <x:v>0</x:v>
      </x:c>
      <x:c r="K89" s="38" t="n">
        <x:v>0</x:v>
      </x:c>
      <x:c r="L89" s="38" t="n">
        <x:v>0</x:v>
      </x:c>
      <x:c r="M89" s="38" t="n">
        <x:v>0</x:v>
      </x:c>
      <x:c r="N89" s="38" t="n">
        <x:f>SUM(J89:M89)</x:f>
        <x:v>0</x:v>
      </x:c>
      <x:c r="O89" s="38" t="n">
        <x:f>H89+I89+N89</x:f>
        <x:v>3</x:v>
      </x:c>
      <x:c r="P89" s="36" t="str">
        <x:f>IF(A89="Internal - Control Union / Peterson","INTERNAL",IF(O89&gt;=8,"HOT",IF(O89&gt;=5,"WARM","COLD")))</x:f>
        <x:v>COLD</x:v>
      </x:c>
      <x:c r="Q89" s="36" t="str"/>
      <x:c r="R89" s="44" t="n">
        <x:v>46260.511412037034</x:v>
      </x:c>
      <x:c r="S89" s="44" t="n">
        <x:v>46260.523414351854</x:v>
      </x:c>
      <x:c r="T89" s="36" t="str">
        <x:v>17 min 17s</x:v>
      </x:c>
      <x:c r="U89" s="36" t="str">
        <x:v>Asistente</x:v>
      </x:c>
      <x:c r="V89" s="36" t="str"/>
      <x:c r="W89" s="36" t="str"/>
      <x:c r="X89" s="36" t="str">
        <x:v>Guest/unverified Teams identity.</x:v>
      </x:c>
    </x:row>
    <x:row r="90">
      <x:c r="A90" s="36" t="str">
        <x:v>External</x:v>
      </x:c>
      <x:c r="B90" s="36" t="str">
        <x:v>Viviana Lopez (Externo)</x:v>
      </x:c>
      <x:c r="C90" s="36" t="str">
        <x:v>viviana.lopez@agricolahimalaya.com</x:v>
      </x:c>
      <x:c r="D90" s="36" t="str">
        <x:v>viviana.lopez@agricolahimalaya.com</x:v>
      </x:c>
      <x:c r="E90" s="36" t="str">
        <x:v>AH</x:v>
      </x:c>
      <x:c r="F90" s="36" t="str">
        <x:v>Colombia</x:v>
      </x:c>
      <x:c r="G90" s="38" t="n">
        <x:v>16.18</x:v>
      </x:c>
      <x:c r="H90" s="38" t="n">
        <x:v>3</x:v>
      </x:c>
      <x:c r="I90" s="38" t="n">
        <x:f>IF(G90&gt;50,2,IF(G90&gt;30,1,0))</x:f>
        <x:v>0</x:v>
      </x:c>
      <x:c r="J90" s="38" t="n">
        <x:v>0</x:v>
      </x:c>
      <x:c r="K90" s="38" t="n">
        <x:v>0</x:v>
      </x:c>
      <x:c r="L90" s="38" t="n">
        <x:v>0</x:v>
      </x:c>
      <x:c r="M90" s="38" t="n">
        <x:v>0</x:v>
      </x:c>
      <x:c r="N90" s="38" t="n">
        <x:f>SUM(J90:M90)</x:f>
        <x:v>0</x:v>
      </x:c>
      <x:c r="O90" s="38" t="n">
        <x:f>H90+I90+N90</x:f>
        <x:v>3</x:v>
      </x:c>
      <x:c r="P90" s="36" t="str">
        <x:f>IF(A90="Internal - Control Union / Peterson","INTERNAL",IF(O90&gt;=8,"HOT",IF(O90&gt;=5,"WARM","COLD")))</x:f>
        <x:v>COLD</x:v>
      </x:c>
      <x:c r="Q90" s="36" t="str"/>
      <x:c r="R90" s="44" t="n">
        <x:v>46260.50269675926</x:v>
      </x:c>
      <x:c r="S90" s="44" t="n">
        <x:v>46260.51394675926</x:v>
      </x:c>
      <x:c r="T90" s="36" t="str">
        <x:v>16 min 11s</x:v>
      </x:c>
      <x:c r="U90" s="36" t="str">
        <x:v>Asistente</x:v>
      </x:c>
      <x:c r="V90" s="36" t="str">
        <x:v>viviana.lopez@agricolahimalaya.com</x:v>
      </x:c>
      <x:c r="W90" s="36" t="str">
        <x:v>viviana.lopez@agricolahimalaya.com</x:v>
      </x:c>
      <x:c r="X90" s="36" t="str"/>
    </x:row>
    <x:row r="91">
      <x:c r="A91" s="36" t="str">
        <x:v>External</x:v>
      </x:c>
      <x:c r="B91" s="36" t="str">
        <x:v>Benjamin Sandoval (Externo)</x:v>
      </x:c>
      <x:c r="C91" s="36" t="str">
        <x:v>benjamin.sandoval@proterrafoundation.org</x:v>
      </x:c>
      <x:c r="D91" s="36" t="str">
        <x:v>benjamin.sandoval@proterrafoundation.org</x:v>
      </x:c>
      <x:c r="E91" s="36" t="str">
        <x:v>proterra</x:v>
      </x:c>
      <x:c r="F91" s="36" t="str">
        <x:v>latam</x:v>
      </x:c>
      <x:c r="G91" s="38" t="n">
        <x:v>16.15</x:v>
      </x:c>
      <x:c r="H91" s="38" t="n">
        <x:v>3</x:v>
      </x:c>
      <x:c r="I91" s="38" t="n">
        <x:f>IF(G91&gt;50,2,IF(G91&gt;30,1,0))</x:f>
        <x:v>0</x:v>
      </x:c>
      <x:c r="J91" s="38" t="n">
        <x:v>0</x:v>
      </x:c>
      <x:c r="K91" s="38" t="n">
        <x:v>0</x:v>
      </x:c>
      <x:c r="L91" s="38" t="n">
        <x:v>0</x:v>
      </x:c>
      <x:c r="M91" s="38" t="n">
        <x:v>0</x:v>
      </x:c>
      <x:c r="N91" s="38" t="n">
        <x:f>SUM(J91:M91)</x:f>
        <x:v>0</x:v>
      </x:c>
      <x:c r="O91" s="38" t="n">
        <x:f>H91+I91+N91</x:f>
        <x:v>3</x:v>
      </x:c>
      <x:c r="P91" s="36" t="str">
        <x:f>IF(A91="Internal - Control Union / Peterson","INTERNAL",IF(O91&gt;=8,"HOT",IF(O91&gt;=5,"WARM","COLD")))</x:f>
        <x:v>COLD</x:v>
      </x:c>
      <x:c r="Q91" s="36" t="str"/>
      <x:c r="R91" s="44" t="n">
        <x:v>46260.5225462963</x:v>
      </x:c>
      <x:c r="S91" s="44" t="n">
        <x:v>46260.53376157407</x:v>
      </x:c>
      <x:c r="T91" s="36" t="str">
        <x:v>16 min 9s</x:v>
      </x:c>
      <x:c r="U91" s="36" t="str">
        <x:v>Asistente</x:v>
      </x:c>
      <x:c r="V91" s="36" t="str">
        <x:v>benjamin.sandoval@proterrafoundation.org</x:v>
      </x:c>
      <x:c r="W91" s="36" t="str">
        <x:v>benjamin.sandoval@proterrafoundation.org</x:v>
      </x:c>
      <x:c r="X91" s="36" t="str"/>
    </x:row>
    <x:row r="92">
      <x:c r="A92" s="36" t="str">
        <x:v>External</x:v>
      </x:c>
      <x:c r="B92" s="36" t="str">
        <x:v>Gerardo Linares</x:v>
      </x:c>
      <x:c r="C92" s="36" t="str">
        <x:v>gerardo_linares@barry-callebaut.com</x:v>
      </x:c>
      <x:c r="D92" s="36" t="str">
        <x:v>gerardo_linares@barry-callebaut.com</x:v>
      </x:c>
      <x:c r="E92" s="36" t="str">
        <x:v>Barry Callebaut</x:v>
      </x:c>
      <x:c r="F92" s="36" t="str">
        <x:v>México</x:v>
      </x:c>
      <x:c r="G92" s="38" t="n">
        <x:v>15.5</x:v>
      </x:c>
      <x:c r="H92" s="38" t="n">
        <x:v>3</x:v>
      </x:c>
      <x:c r="I92" s="38" t="n">
        <x:f>IF(G92&gt;50,2,IF(G92&gt;30,1,0))</x:f>
        <x:v>0</x:v>
      </x:c>
      <x:c r="J92" s="38" t="n">
        <x:v>0</x:v>
      </x:c>
      <x:c r="K92" s="38" t="n">
        <x:v>0</x:v>
      </x:c>
      <x:c r="L92" s="38" t="n">
        <x:v>0</x:v>
      </x:c>
      <x:c r="M92" s="38" t="n">
        <x:v>0</x:v>
      </x:c>
      <x:c r="N92" s="38" t="n">
        <x:f>SUM(J92:M92)</x:f>
        <x:v>0</x:v>
      </x:c>
      <x:c r="O92" s="38" t="n">
        <x:f>H92+I92+N92</x:f>
        <x:v>3</x:v>
      </x:c>
      <x:c r="P92" s="36" t="str">
        <x:f>IF(A92="Internal - Control Union / Peterson","INTERNAL",IF(O92&gt;=8,"HOT",IF(O92&gt;=5,"WARM","COLD")))</x:f>
        <x:v>COLD</x:v>
      </x:c>
      <x:c r="Q92" s="36" t="str"/>
      <x:c r="R92" s="44" t="n">
        <x:v>46260.52296296296</x:v>
      </x:c>
      <x:c r="S92" s="44" t="n">
        <x:v>46260.53372685185</x:v>
      </x:c>
      <x:c r="T92" s="36" t="str">
        <x:v>15 min 30s</x:v>
      </x:c>
      <x:c r="U92" s="36" t="str">
        <x:v>Asistente</x:v>
      </x:c>
      <x:c r="V92" s="36" t="str">
        <x:v>gerardo_linares@barry-callebaut.com</x:v>
      </x:c>
      <x:c r="W92" s="36" t="str">
        <x:v>BC121094@Barry-Callebaut.com</x:v>
      </x:c>
      <x:c r="X92" s="36" t="str"/>
    </x:row>
    <x:row r="93">
      <x:c r="A93" s="36" t="str">
        <x:v>External</x:v>
      </x:c>
      <x:c r="B93" s="36" t="str">
        <x:v>Andrea (No comprobado)</x:v>
      </x:c>
      <x:c r="C93" s="36" t="str">
        <x:v>andrucosta91@gmail.com</x:v>
      </x:c>
      <x:c r="D93" s="36" t="str">
        <x:v>andrucosta91@gmail.com</x:v>
      </x:c>
      <x:c r="E93" s="36" t="str">
        <x:v>Dos Beta SA</x:v>
      </x:c>
      <x:c r="F93" s="36" t="str">
        <x:v>Paraguay</x:v>
      </x:c>
      <x:c r="G93" s="38" t="n">
        <x:v>13.82</x:v>
      </x:c>
      <x:c r="H93" s="38" t="n">
        <x:v>3</x:v>
      </x:c>
      <x:c r="I93" s="38" t="n">
        <x:f>IF(G93&gt;50,2,IF(G93&gt;30,1,0))</x:f>
        <x:v>0</x:v>
      </x:c>
      <x:c r="J93" s="38" t="n">
        <x:v>0</x:v>
      </x:c>
      <x:c r="K93" s="38" t="n">
        <x:v>0</x:v>
      </x:c>
      <x:c r="L93" s="38" t="n">
        <x:v>0</x:v>
      </x:c>
      <x:c r="M93" s="38" t="n">
        <x:v>0</x:v>
      </x:c>
      <x:c r="N93" s="38" t="n">
        <x:f>SUM(J93:M93)</x:f>
        <x:v>0</x:v>
      </x:c>
      <x:c r="O93" s="38" t="n">
        <x:f>H93+I93+N93</x:f>
        <x:v>3</x:v>
      </x:c>
      <x:c r="P93" s="36" t="str">
        <x:f>IF(A93="Internal - Control Union / Peterson","INTERNAL",IF(O93&gt;=8,"HOT",IF(O93&gt;=5,"WARM","COLD")))</x:f>
        <x:v>COLD</x:v>
      </x:c>
      <x:c r="Q93" s="36" t="str"/>
      <x:c r="R93" s="44" t="n">
        <x:v>46260.50681712963</x:v>
      </x:c>
      <x:c r="S93" s="44" t="n">
        <x:v>46260.51641203704</x:v>
      </x:c>
      <x:c r="T93" s="36" t="str">
        <x:v>13 min 49s</x:v>
      </x:c>
      <x:c r="U93" s="36" t="str">
        <x:v>Asistente</x:v>
      </x:c>
      <x:c r="V93" s="36" t="str"/>
      <x:c r="W93" s="36" t="str"/>
      <x:c r="X93" s="36" t="str">
        <x:v>Guest/unverified Teams identity.</x:v>
      </x:c>
    </x:row>
    <x:row r="94">
      <x:c r="A94" s="36" t="str">
        <x:v>External</x:v>
      </x:c>
      <x:c r="B94" s="36" t="str">
        <x:v>Mercedes Mateos (No comprobado)</x:v>
      </x:c>
      <x:c r="C94" s="36" t="str">
        <x:v>mercemateos96@gmail.com</x:v>
      </x:c>
      <x:c r="D94" s="36" t="str">
        <x:v>mercemateos96@gmail.com</x:v>
      </x:c>
      <x:c r="E94" s="36" t="str">
        <x:v>'-</x:v>
      </x:c>
      <x:c r="F94" s="36" t="str">
        <x:v>Argentina</x:v>
      </x:c>
      <x:c r="G94" s="38" t="n">
        <x:v>13.45</x:v>
      </x:c>
      <x:c r="H94" s="38" t="n">
        <x:v>3</x:v>
      </x:c>
      <x:c r="I94" s="38" t="n">
        <x:f>IF(G94&gt;50,2,IF(G94&gt;30,1,0))</x:f>
        <x:v>0</x:v>
      </x:c>
      <x:c r="J94" s="38" t="n">
        <x:v>0</x:v>
      </x:c>
      <x:c r="K94" s="38" t="n">
        <x:v>0</x:v>
      </x:c>
      <x:c r="L94" s="38" t="n">
        <x:v>0</x:v>
      </x:c>
      <x:c r="M94" s="38" t="n">
        <x:v>0</x:v>
      </x:c>
      <x:c r="N94" s="38" t="n">
        <x:f>SUM(J94:M94)</x:f>
        <x:v>0</x:v>
      </x:c>
      <x:c r="O94" s="38" t="n">
        <x:f>H94+I94+N94</x:f>
        <x:v>3</x:v>
      </x:c>
      <x:c r="P94" s="36" t="str">
        <x:f>IF(A94="Internal - Control Union / Peterson","INTERNAL",IF(O94&gt;=8,"HOT",IF(O94&gt;=5,"WARM","COLD")))</x:f>
        <x:v>COLD</x:v>
      </x:c>
      <x:c r="Q94" s="36" t="str"/>
      <x:c r="R94" s="44" t="n">
        <x:v>46260.501493055555</x:v>
      </x:c>
      <x:c r="S94" s="44" t="n">
        <x:v>46260.510833333334</x:v>
      </x:c>
      <x:c r="T94" s="36" t="str">
        <x:v>13 min 27s</x:v>
      </x:c>
      <x:c r="U94" s="36" t="str">
        <x:v>Asistente</x:v>
      </x:c>
      <x:c r="V94" s="36" t="str"/>
      <x:c r="W94" s="36" t="str"/>
      <x:c r="X94" s="36" t="str">
        <x:v>Guest/unverified Teams identity.</x:v>
      </x:c>
    </x:row>
    <x:row r="95">
      <x:c r="A95" s="36" t="str">
        <x:v>External</x:v>
      </x:c>
      <x:c r="B95" s="36" t="str">
        <x:v>Geraldine Sulkin (No comprobado)</x:v>
      </x:c>
      <x:c r="C95" s="36" t="str">
        <x:v>geraldine.sulkin@solidaridadnetwork.org</x:v>
      </x:c>
      <x:c r="D95" s="36" t="str">
        <x:v>geraldine.sulkin@solidaridadnetwork.org</x:v>
      </x:c>
      <x:c r="E95" s="36" t="str">
        <x:v>Solidaridad</x:v>
      </x:c>
      <x:c r="F95" s="36" t="str">
        <x:v>Argentina</x:v>
      </x:c>
      <x:c r="G95" s="38" t="n">
        <x:v>12.57</x:v>
      </x:c>
      <x:c r="H95" s="38" t="n">
        <x:v>3</x:v>
      </x:c>
      <x:c r="I95" s="38" t="n">
        <x:f>IF(G95&gt;50,2,IF(G95&gt;30,1,0))</x:f>
        <x:v>0</x:v>
      </x:c>
      <x:c r="J95" s="38" t="n">
        <x:v>0</x:v>
      </x:c>
      <x:c r="K95" s="38" t="n">
        <x:v>0</x:v>
      </x:c>
      <x:c r="L95" s="38" t="n">
        <x:v>0</x:v>
      </x:c>
      <x:c r="M95" s="38" t="n">
        <x:v>0</x:v>
      </x:c>
      <x:c r="N95" s="38" t="n">
        <x:f>SUM(J95:M95)</x:f>
        <x:v>0</x:v>
      </x:c>
      <x:c r="O95" s="38" t="n">
        <x:f>H95+I95+N95</x:f>
        <x:v>3</x:v>
      </x:c>
      <x:c r="P95" s="36" t="str">
        <x:f>IF(A95="Internal - Control Union / Peterson","INTERNAL",IF(O95&gt;=8,"HOT",IF(O95&gt;=5,"WARM","COLD")))</x:f>
        <x:v>COLD</x:v>
      </x:c>
      <x:c r="Q95" s="36" t="str"/>
      <x:c r="R95" s="44" t="n">
        <x:v>46260.507581018515</x:v>
      </x:c>
      <x:c r="S95" s="44" t="n">
        <x:v>46260.51631944445</x:v>
      </x:c>
      <x:c r="T95" s="36" t="str">
        <x:v>12 min 34s</x:v>
      </x:c>
      <x:c r="U95" s="36" t="str">
        <x:v>Asistente</x:v>
      </x:c>
      <x:c r="V95" s="36" t="str"/>
      <x:c r="W95" s="36" t="str"/>
      <x:c r="X95" s="36" t="str">
        <x:v>Guest/unverified Teams identity.</x:v>
      </x:c>
    </x:row>
    <x:row r="96">
      <x:c r="A96" s="36" t="str">
        <x:v>External</x:v>
      </x:c>
      <x:c r="B96" s="36" t="str">
        <x:v>Esmeralda Morales</x:v>
      </x:c>
      <x:c r="C96" s="36" t="str">
        <x:v>emorales@citrison.com</x:v>
      </x:c>
      <x:c r="D96" s="36" t="str">
        <x:v>emorales@citrison.com</x:v>
      </x:c>
      <x:c r="E96" s="36" t="str">
        <x:v>CITRISON S. A. DE C. V.</x:v>
      </x:c>
      <x:c r="F96" s="36" t="str">
        <x:v>México</x:v>
      </x:c>
      <x:c r="G96" s="38" t="n">
        <x:v>11.93</x:v>
      </x:c>
      <x:c r="H96" s="38" t="n">
        <x:v>3</x:v>
      </x:c>
      <x:c r="I96" s="38" t="n">
        <x:f>IF(G96&gt;50,2,IF(G96&gt;30,1,0))</x:f>
        <x:v>0</x:v>
      </x:c>
      <x:c r="J96" s="38" t="n">
        <x:v>0</x:v>
      </x:c>
      <x:c r="K96" s="38" t="n">
        <x:v>0</x:v>
      </x:c>
      <x:c r="L96" s="38" t="n">
        <x:v>0</x:v>
      </x:c>
      <x:c r="M96" s="38" t="n">
        <x:v>0</x:v>
      </x:c>
      <x:c r="N96" s="38" t="n">
        <x:f>SUM(J96:M96)</x:f>
        <x:v>0</x:v>
      </x:c>
      <x:c r="O96" s="38" t="n">
        <x:f>H96+I96+N96</x:f>
        <x:v>3</x:v>
      </x:c>
      <x:c r="P96" s="36" t="str">
        <x:f>IF(A96="Internal - Control Union / Peterson","INTERNAL",IF(O96&gt;=8,"HOT",IF(O96&gt;=5,"WARM","COLD")))</x:f>
        <x:v>COLD</x:v>
      </x:c>
      <x:c r="Q96" s="36" t="str"/>
      <x:c r="R96" s="44" t="n">
        <x:v>46260.5255787037</x:v>
      </x:c>
      <x:c r="S96" s="44" t="n">
        <x:v>46260.53387731482</x:v>
      </x:c>
      <x:c r="T96" s="36" t="str">
        <x:v>11 min 56s</x:v>
      </x:c>
      <x:c r="U96" s="36" t="str">
        <x:v>Asistente</x:v>
      </x:c>
      <x:c r="V96" s="36" t="str"/>
      <x:c r="W96" s="36" t="str"/>
      <x:c r="X96" s="36" t="str">
        <x:v>Guest/unverified Teams identity.</x:v>
      </x:c>
    </x:row>
    <x:row r="97">
      <x:c r="A97" s="36" t="str">
        <x:v>External</x:v>
      </x:c>
      <x:c r="B97" s="36" t="str">
        <x:v>Walter Sione</x:v>
      </x:c>
      <x:c r="C97" s="36" t="str">
        <x:v>wsione@gmail.com</x:v>
      </x:c>
      <x:c r="D97" s="36" t="str">
        <x:v>wsione@gmail.com</x:v>
      </x:c>
      <x:c r="E97" s="36" t="str">
        <x:v>ceregeo uader</x:v>
      </x:c>
      <x:c r="F97" s="36" t="str">
        <x:v>Argentina</x:v>
      </x:c>
      <x:c r="G97" s="38" t="n">
        <x:v>11.58</x:v>
      </x:c>
      <x:c r="H97" s="38" t="n">
        <x:v>3</x:v>
      </x:c>
      <x:c r="I97" s="38" t="n">
        <x:f>IF(G97&gt;50,2,IF(G97&gt;30,1,0))</x:f>
        <x:v>0</x:v>
      </x:c>
      <x:c r="J97" s="38" t="n">
        <x:v>0</x:v>
      </x:c>
      <x:c r="K97" s="38" t="n">
        <x:v>0</x:v>
      </x:c>
      <x:c r="L97" s="38" t="n">
        <x:v>0</x:v>
      </x:c>
      <x:c r="M97" s="38" t="n">
        <x:v>0</x:v>
      </x:c>
      <x:c r="N97" s="38" t="n">
        <x:f>SUM(J97:M97)</x:f>
        <x:v>0</x:v>
      </x:c>
      <x:c r="O97" s="38" t="n">
        <x:f>H97+I97+N97</x:f>
        <x:v>3</x:v>
      </x:c>
      <x:c r="P97" s="36" t="str">
        <x:f>IF(A97="Internal - Control Union / Peterson","INTERNAL",IF(O97&gt;=8,"HOT",IF(O97&gt;=5,"WARM","COLD")))</x:f>
        <x:v>COLD</x:v>
      </x:c>
      <x:c r="Q97" s="36" t="str"/>
      <x:c r="R97" s="44" t="n">
        <x:v>46260.52576388889</x:v>
      </x:c>
      <x:c r="S97" s="44" t="n">
        <x:v>46260.53380787037</x:v>
      </x:c>
      <x:c r="T97" s="36" t="str">
        <x:v>11 min 35s</x:v>
      </x:c>
      <x:c r="U97" s="36" t="str">
        <x:v>Asistente</x:v>
      </x:c>
      <x:c r="V97" s="36" t="str"/>
      <x:c r="W97" s="36" t="str"/>
      <x:c r="X97" s="36" t="str">
        <x:v>Guest/unverified Teams identity.</x:v>
      </x:c>
    </x:row>
    <x:row r="98">
      <x:c r="A98" s="36" t="str">
        <x:v>External</x:v>
      </x:c>
      <x:c r="B98" s="36" t="str">
        <x:v>PERFILES COFFEE</x:v>
      </x:c>
      <x:c r="C98" s="36" t="str">
        <x:v>certificaciones@perfilescoffee.com</x:v>
      </x:c>
      <x:c r="D98" s="36" t="str">
        <x:v>certificaciones@perfilescoffee.com</x:v>
      </x:c>
      <x:c r="E98" s="36" t="str">
        <x:v>Perfiles Coffee</x:v>
      </x:c>
      <x:c r="F98" s="36" t="str">
        <x:v>Perú</x:v>
      </x:c>
      <x:c r="G98" s="38" t="n">
        <x:v>11.35</x:v>
      </x:c>
      <x:c r="H98" s="38" t="n">
        <x:v>3</x:v>
      </x:c>
      <x:c r="I98" s="38" t="n">
        <x:f>IF(G98&gt;50,2,IF(G98&gt;30,1,0))</x:f>
        <x:v>0</x:v>
      </x:c>
      <x:c r="J98" s="38" t="n">
        <x:v>0</x:v>
      </x:c>
      <x:c r="K98" s="38" t="n">
        <x:v>0</x:v>
      </x:c>
      <x:c r="L98" s="38" t="n">
        <x:v>0</x:v>
      </x:c>
      <x:c r="M98" s="38" t="n">
        <x:v>0</x:v>
      </x:c>
      <x:c r="N98" s="38" t="n">
        <x:f>SUM(J98:M98)</x:f>
        <x:v>0</x:v>
      </x:c>
      <x:c r="O98" s="38" t="n">
        <x:f>H98+I98+N98</x:f>
        <x:v>3</x:v>
      </x:c>
      <x:c r="P98" s="36" t="str">
        <x:f>IF(A98="Internal - Control Union / Peterson","INTERNAL",IF(O98&gt;=8,"HOT",IF(O98&gt;=5,"WARM","COLD")))</x:f>
        <x:v>COLD</x:v>
      </x:c>
      <x:c r="Q98" s="36" t="str"/>
      <x:c r="R98" s="44" t="n">
        <x:v>46260.49768518518</x:v>
      </x:c>
      <x:c r="S98" s="44" t="n">
        <x:v>46260.505578703705</x:v>
      </x:c>
      <x:c r="T98" s="36" t="str">
        <x:v>11 min 21s</x:v>
      </x:c>
      <x:c r="U98" s="36" t="str">
        <x:v>Asistente</x:v>
      </x:c>
      <x:c r="V98" s="36" t="str"/>
      <x:c r="W98" s="36" t="str"/>
      <x:c r="X98" s="36" t="str">
        <x:v>Guest/unverified Teams identity.</x:v>
      </x:c>
    </x:row>
    <x:row r="99">
      <x:c r="A99" s="36" t="str">
        <x:v>External</x:v>
      </x:c>
      <x:c r="B99" s="36" t="str">
        <x:v>KATTY (No comprobado)</x:v>
      </x:c>
      <x:c r="C99" s="36" t="str">
        <x:v>certificaciones@agrocafekivinaki.com</x:v>
      </x:c>
      <x:c r="D99" s="36" t="str">
        <x:v>certificaciones@agrocafekivinaki.com</x:v>
      </x:c>
      <x:c r="E99" s="36" t="str">
        <x:v>ASOCIACIÓN DE PRODUCTORES AGRARIOS ALTO KIVINAKI</x:v>
      </x:c>
      <x:c r="F99" s="36" t="str">
        <x:v>PERÚ - JUNÍN</x:v>
      </x:c>
      <x:c r="G99" s="38" t="n">
        <x:v>11.05</x:v>
      </x:c>
      <x:c r="H99" s="38" t="n">
        <x:v>3</x:v>
      </x:c>
      <x:c r="I99" s="38" t="n">
        <x:f>IF(G99&gt;50,2,IF(G99&gt;30,1,0))</x:f>
        <x:v>0</x:v>
      </x:c>
      <x:c r="J99" s="38" t="n">
        <x:v>0</x:v>
      </x:c>
      <x:c r="K99" s="38" t="n">
        <x:v>0</x:v>
      </x:c>
      <x:c r="L99" s="38" t="n">
        <x:v>0</x:v>
      </x:c>
      <x:c r="M99" s="38" t="n">
        <x:v>0</x:v>
      </x:c>
      <x:c r="N99" s="38" t="n">
        <x:f>SUM(J99:M99)</x:f>
        <x:v>0</x:v>
      </x:c>
      <x:c r="O99" s="38" t="n">
        <x:f>H99+I99+N99</x:f>
        <x:v>3</x:v>
      </x:c>
      <x:c r="P99" s="36" t="str">
        <x:f>IF(A99="Internal - Control Union / Peterson","INTERNAL",IF(O99&gt;=8,"HOT",IF(O99&gt;=5,"WARM","COLD")))</x:f>
        <x:v>COLD</x:v>
      </x:c>
      <x:c r="Q99" s="36" t="str"/>
      <x:c r="R99" s="44" t="n">
        <x:v>46260.46288194445</x:v>
      </x:c>
      <x:c r="S99" s="44" t="n">
        <x:v>46260.470555555556</x:v>
      </x:c>
      <x:c r="T99" s="36" t="str">
        <x:v>11 min 3s</x:v>
      </x:c>
      <x:c r="U99" s="36" t="str">
        <x:v>Asistente</x:v>
      </x:c>
      <x:c r="V99" s="36" t="str"/>
      <x:c r="W99" s="36" t="str"/>
      <x:c r="X99" s="36" t="str">
        <x:v>Guest/unverified Teams identity.</x:v>
      </x:c>
    </x:row>
    <x:row r="100">
      <x:c r="A100" s="36" t="str">
        <x:v>External</x:v>
      </x:c>
      <x:c r="B100" s="36" t="str">
        <x:v>Valeria (No comprobado)</x:v>
      </x:c>
      <x:c r="C100" s="36" t="str">
        <x:v>valeria.l@dos-hermanos.com</x:v>
      </x:c>
      <x:c r="D100" s="36" t="str">
        <x:v>valeria.l@dos-hermanos.com</x:v>
      </x:c>
      <x:c r="E100" s="36" t="str">
        <x:v>Dos Hermanos S.A</x:v>
      </x:c>
      <x:c r="F100" s="36" t="str">
        <x:v>Argentina</x:v>
      </x:c>
      <x:c r="G100" s="38" t="n">
        <x:v>10.8</x:v>
      </x:c>
      <x:c r="H100" s="38" t="n">
        <x:v>3</x:v>
      </x:c>
      <x:c r="I100" s="38" t="n">
        <x:f>IF(G100&gt;50,2,IF(G100&gt;30,1,0))</x:f>
        <x:v>0</x:v>
      </x:c>
      <x:c r="J100" s="38" t="n">
        <x:v>0</x:v>
      </x:c>
      <x:c r="K100" s="38" t="n">
        <x:v>0</x:v>
      </x:c>
      <x:c r="L100" s="38" t="n">
        <x:v>0</x:v>
      </x:c>
      <x:c r="M100" s="38" t="n">
        <x:v>0</x:v>
      </x:c>
      <x:c r="N100" s="38" t="n">
        <x:f>SUM(J100:M100)</x:f>
        <x:v>0</x:v>
      </x:c>
      <x:c r="O100" s="38" t="n">
        <x:f>H100+I100+N100</x:f>
        <x:v>3</x:v>
      </x:c>
      <x:c r="P100" s="36" t="str">
        <x:f>IF(A100="Internal - Control Union / Peterson","INTERNAL",IF(O100&gt;=8,"HOT",IF(O100&gt;=5,"WARM","COLD")))</x:f>
        <x:v>COLD</x:v>
      </x:c>
      <x:c r="Q100" s="36" t="str"/>
      <x:c r="R100" s="44" t="n">
        <x:v>46260.504907407405</x:v>
      </x:c>
      <x:c r="S100" s="44" t="n">
        <x:v>46260.512407407405</x:v>
      </x:c>
      <x:c r="T100" s="36" t="str">
        <x:v>10 min 48s</x:v>
      </x:c>
      <x:c r="U100" s="36" t="str">
        <x:v>Asistente</x:v>
      </x:c>
      <x:c r="V100" s="36" t="str"/>
      <x:c r="W100" s="36" t="str"/>
      <x:c r="X100" s="36" t="str">
        <x:v>Guest/unverified Teams identity.</x:v>
      </x:c>
    </x:row>
    <x:row r="101">
      <x:c r="A101" s="36" t="str">
        <x:v>External</x:v>
      </x:c>
      <x:c r="B101" s="36" t="str">
        <x:v>Brenda Villalobos (Externo)</x:v>
      </x:c>
      <x:c r="C101" s="36" t="str">
        <x:v>brenda@terranostra.com</x:v>
      </x:c>
      <x:c r="D101" s="36" t="str">
        <x:v>brenda@terranostra.com</x:v>
      </x:c>
      <x:c r="E101" s="36" t="str">
        <x:v>Terra Nostra Organics</x:v>
      </x:c>
      <x:c r="F101" s="36" t="str">
        <x:v>United States</x:v>
      </x:c>
      <x:c r="G101" s="38" t="n">
        <x:v>10.62</x:v>
      </x:c>
      <x:c r="H101" s="38" t="n">
        <x:v>3</x:v>
      </x:c>
      <x:c r="I101" s="38" t="n">
        <x:f>IF(G101&gt;50,2,IF(G101&gt;30,1,0))</x:f>
        <x:v>0</x:v>
      </x:c>
      <x:c r="J101" s="38" t="n">
        <x:v>0</x:v>
      </x:c>
      <x:c r="K101" s="38" t="n">
        <x:v>0</x:v>
      </x:c>
      <x:c r="L101" s="38" t="n">
        <x:v>0</x:v>
      </x:c>
      <x:c r="M101" s="38" t="n">
        <x:v>0</x:v>
      </x:c>
      <x:c r="N101" s="38" t="n">
        <x:f>SUM(J101:M101)</x:f>
        <x:v>0</x:v>
      </x:c>
      <x:c r="O101" s="38" t="n">
        <x:f>H101+I101+N101</x:f>
        <x:v>3</x:v>
      </x:c>
      <x:c r="P101" s="36" t="str">
        <x:f>IF(A101="Internal - Control Union / Peterson","INTERNAL",IF(O101&gt;=8,"HOT",IF(O101&gt;=5,"WARM","COLD")))</x:f>
        <x:v>COLD</x:v>
      </x:c>
      <x:c r="Q101" s="36" t="str"/>
      <x:c r="R101" s="44" t="n">
        <x:v>46260.50950231482</x:v>
      </x:c>
      <x:c r="S101" s="44" t="n">
        <x:v>46260.516875</x:v>
      </x:c>
      <x:c r="T101" s="36" t="str">
        <x:v>10 min 37s</x:v>
      </x:c>
      <x:c r="U101" s="36" t="str">
        <x:v>Asistente</x:v>
      </x:c>
      <x:c r="V101" s="36" t="str">
        <x:v>brenda@terranostra.com</x:v>
      </x:c>
      <x:c r="W101" s="36" t="str">
        <x:v>brenda@terranostra.com</x:v>
      </x:c>
      <x:c r="X101" s="36" t="str"/>
    </x:row>
    <x:row r="102">
      <x:c r="A102" s="36" t="str">
        <x:v>External</x:v>
      </x:c>
      <x:c r="B102" s="36" t="str">
        <x:v>Ana  Galván (Externo)</x:v>
      </x:c>
      <x:c r="C102" s="36" t="str">
        <x:v>ana.galvan@nelixia.com</x:v>
      </x:c>
      <x:c r="D102" s="36" t="str">
        <x:v>anamagamo12@gmail.com</x:v>
      </x:c>
      <x:c r="E102" s="36" t="str">
        <x:v>Independiente</x:v>
      </x:c>
      <x:c r="F102" s="36" t="str">
        <x:v>Guatemala</x:v>
      </x:c>
      <x:c r="G102" s="38" t="n">
        <x:v>9.42</x:v>
      </x:c>
      <x:c r="H102" s="38" t="n">
        <x:v>3</x:v>
      </x:c>
      <x:c r="I102" s="38" t="n">
        <x:f>IF(G102&gt;50,2,IF(G102&gt;30,1,0))</x:f>
        <x:v>0</x:v>
      </x:c>
      <x:c r="J102" s="38" t="n">
        <x:v>0</x:v>
      </x:c>
      <x:c r="K102" s="38" t="n">
        <x:v>0</x:v>
      </x:c>
      <x:c r="L102" s="38" t="n">
        <x:v>0</x:v>
      </x:c>
      <x:c r="M102" s="38" t="n">
        <x:v>0</x:v>
      </x:c>
      <x:c r="N102" s="38" t="n">
        <x:f>SUM(J102:M102)</x:f>
        <x:v>0</x:v>
      </x:c>
      <x:c r="O102" s="38" t="n">
        <x:f>H102+I102+N102</x:f>
        <x:v>3</x:v>
      </x:c>
      <x:c r="P102" s="36" t="str">
        <x:f>IF(A102="Internal - Control Union / Peterson","INTERNAL",IF(O102&gt;=8,"HOT",IF(O102&gt;=5,"WARM","COLD")))</x:f>
        <x:v>COLD</x:v>
      </x:c>
      <x:c r="Q102" s="36" t="str"/>
      <x:c r="R102" s="44" t="n">
        <x:v>46260.52715277778</x:v>
      </x:c>
      <x:c r="S102" s="44" t="n">
        <x:v>46260.5337037037</x:v>
      </x:c>
      <x:c r="T102" s="36" t="str">
        <x:v>9 min 25s</x:v>
      </x:c>
      <x:c r="U102" s="36" t="str">
        <x:v>Asistente</x:v>
      </x:c>
      <x:c r="V102" s="36" t="str">
        <x:v>ana.galvan@nelixia.com</x:v>
      </x:c>
      <x:c r="W102" s="36" t="str">
        <x:v>ana.galvan@nelixia.com</x:v>
      </x:c>
      <x:c r="X102" s="36" t="str">
        <x:v>Teams identity email differs from registration email.</x:v>
      </x:c>
    </x:row>
    <x:row r="103">
      <x:c r="A103" s="36" t="str">
        <x:v>External</x:v>
      </x:c>
      <x:c r="B103" s="36" t="str">
        <x:v>Monica M (No comprobado)</x:v>
      </x:c>
      <x:c r="C103" s="36" t="str">
        <x:v>monigmancini@gmail.com</x:v>
      </x:c>
      <x:c r="D103" s="36" t="str">
        <x:v>monigmancini@gmail.com</x:v>
      </x:c>
      <x:c r="E103" s="36" t="str">
        <x:v>Letis S.A.</x:v>
      </x:c>
      <x:c r="F103" s="36" t="str">
        <x:v>Argentina</x:v>
      </x:c>
      <x:c r="G103" s="38" t="n">
        <x:v>8.87</x:v>
      </x:c>
      <x:c r="H103" s="38" t="n">
        <x:v>3</x:v>
      </x:c>
      <x:c r="I103" s="38" t="n">
        <x:f>IF(G103&gt;50,2,IF(G103&gt;30,1,0))</x:f>
        <x:v>0</x:v>
      </x:c>
      <x:c r="J103" s="38" t="n">
        <x:v>0</x:v>
      </x:c>
      <x:c r="K103" s="38" t="n">
        <x:v>0</x:v>
      </x:c>
      <x:c r="L103" s="38" t="n">
        <x:v>0</x:v>
      </x:c>
      <x:c r="M103" s="38" t="n">
        <x:v>0</x:v>
      </x:c>
      <x:c r="N103" s="38" t="n">
        <x:f>SUM(J103:M103)</x:f>
        <x:v>0</x:v>
      </x:c>
      <x:c r="O103" s="38" t="n">
        <x:f>H103+I103+N103</x:f>
        <x:v>3</x:v>
      </x:c>
      <x:c r="P103" s="36" t="str">
        <x:f>IF(A103="Internal - Control Union / Peterson","INTERNAL",IF(O103&gt;=8,"HOT",IF(O103&gt;=5,"WARM","COLD")))</x:f>
        <x:v>COLD</x:v>
      </x:c>
      <x:c r="Q103" s="36" t="str"/>
      <x:c r="R103" s="44" t="n">
        <x:v>46260.50638888889</x:v>
      </x:c>
      <x:c r="S103" s="44" t="n">
        <x:v>46260.512557870374</x:v>
      </x:c>
      <x:c r="T103" s="36" t="str">
        <x:v>8 min 52s</x:v>
      </x:c>
      <x:c r="U103" s="36" t="str">
        <x:v>Asistente</x:v>
      </x:c>
      <x:c r="V103" s="36" t="str"/>
      <x:c r="W103" s="36" t="str"/>
      <x:c r="X103" s="36" t="str">
        <x:v>Guest/unverified Teams identity.</x:v>
      </x:c>
    </x:row>
    <x:row r="104">
      <x:c r="A104" s="36" t="str">
        <x:v>External</x:v>
      </x:c>
      <x:c r="B104" s="36" t="str">
        <x:v>Diego Cristancho  (No comprobado)</x:v>
      </x:c>
      <x:c r="C104" s="36" t="str"/>
      <x:c r="D104" s="36" t="str"/>
      <x:c r="E104" s="36" t="str"/>
      <x:c r="F104" s="36" t="str"/>
      <x:c r="G104" s="38" t="n">
        <x:v>8.82</x:v>
      </x:c>
      <x:c r="H104" s="38" t="n">
        <x:v>3</x:v>
      </x:c>
      <x:c r="I104" s="38" t="n">
        <x:f>IF(G104&gt;50,2,IF(G104&gt;30,1,0))</x:f>
        <x:v>0</x:v>
      </x:c>
      <x:c r="J104" s="38" t="n">
        <x:v>0</x:v>
      </x:c>
      <x:c r="K104" s="38" t="n">
        <x:v>0</x:v>
      </x:c>
      <x:c r="L104" s="38" t="n">
        <x:v>0</x:v>
      </x:c>
      <x:c r="M104" s="38" t="n">
        <x:v>0</x:v>
      </x:c>
      <x:c r="N104" s="38" t="n">
        <x:f>SUM(J104:M104)</x:f>
        <x:v>0</x:v>
      </x:c>
      <x:c r="O104" s="38" t="n">
        <x:f>H104+I104+N104</x:f>
        <x:v>3</x:v>
      </x:c>
      <x:c r="P104" s="36" t="str">
        <x:f>IF(A104="Internal - Control Union / Peterson","INTERNAL",IF(O104&gt;=8,"HOT",IF(O104&gt;=5,"WARM","COLD")))</x:f>
        <x:v>COLD</x:v>
      </x:c>
      <x:c r="Q104" s="36" t="str"/>
      <x:c r="R104" s="44" t="n">
        <x:v>46260.509930555556</x:v>
      </x:c>
      <x:c r="S104" s="44" t="n">
        <x:v>46260.51605324074</x:v>
      </x:c>
      <x:c r="T104" s="36" t="str">
        <x:v>8 min 49s</x:v>
      </x:c>
      <x:c r="U104" s="36" t="str">
        <x:v>Asistente</x:v>
      </x:c>
      <x:c r="V104" s="36" t="str"/>
      <x:c r="W104" s="36" t="str"/>
      <x:c r="X104" s="36" t="str">
        <x:v>Guest/unverified Teams identity.</x:v>
      </x:c>
    </x:row>
    <x:row r="105">
      <x:c r="A105" s="36" t="str">
        <x:v>External</x:v>
      </x:c>
      <x:c r="B105" s="36" t="str">
        <x:v>Carolina Ibarra (No comprobado)</x:v>
      </x:c>
      <x:c r="C105" s="36" t="str">
        <x:v>cibarra@citrison.com</x:v>
      </x:c>
      <x:c r="D105" s="36" t="str">
        <x:v>cibarra@citrison.com</x:v>
      </x:c>
      <x:c r="E105" s="36" t="str">
        <x:v>CITRISON S.A. DE C.V.</x:v>
      </x:c>
      <x:c r="F105" s="36" t="str">
        <x:v>México</x:v>
      </x:c>
      <x:c r="G105" s="38" t="n">
        <x:v>8.73</x:v>
      </x:c>
      <x:c r="H105" s="38" t="n">
        <x:v>3</x:v>
      </x:c>
      <x:c r="I105" s="38" t="n">
        <x:f>IF(G105&gt;50,2,IF(G105&gt;30,1,0))</x:f>
        <x:v>0</x:v>
      </x:c>
      <x:c r="J105" s="38" t="n">
        <x:v>0</x:v>
      </x:c>
      <x:c r="K105" s="38" t="n">
        <x:v>0</x:v>
      </x:c>
      <x:c r="L105" s="38" t="n">
        <x:v>0</x:v>
      </x:c>
      <x:c r="M105" s="38" t="n">
        <x:v>0</x:v>
      </x:c>
      <x:c r="N105" s="38" t="n">
        <x:f>SUM(J105:M105)</x:f>
        <x:v>0</x:v>
      </x:c>
      <x:c r="O105" s="38" t="n">
        <x:f>H105+I105+N105</x:f>
        <x:v>3</x:v>
      </x:c>
      <x:c r="P105" s="36" t="str">
        <x:f>IF(A105="Internal - Control Union / Peterson","INTERNAL",IF(O105&gt;=8,"HOT",IF(O105&gt;=5,"WARM","COLD")))</x:f>
        <x:v>COLD</x:v>
      </x:c>
      <x:c r="Q105" s="36" t="str"/>
      <x:c r="R105" s="44" t="n">
        <x:v>46260.52780092593</x:v>
      </x:c>
      <x:c r="S105" s="44" t="n">
        <x:v>46260.53386574074</x:v>
      </x:c>
      <x:c r="T105" s="36" t="str">
        <x:v>8 min 44s</x:v>
      </x:c>
      <x:c r="U105" s="36" t="str">
        <x:v>Asistente</x:v>
      </x:c>
      <x:c r="V105" s="36" t="str"/>
      <x:c r="W105" s="36" t="str"/>
      <x:c r="X105" s="36" t="str">
        <x:v>Guest/unverified Teams identity.</x:v>
      </x:c>
    </x:row>
    <x:row r="106">
      <x:c r="A106" s="36" t="str">
        <x:v>External</x:v>
      </x:c>
      <x:c r="B106" s="36" t="str">
        <x:v>Canan, Micaela (Externo)</x:v>
      </x:c>
      <x:c r="C106" s="36" t="str">
        <x:v>Micaela.Canan@adm.com</x:v>
      </x:c>
      <x:c r="D106" s="36" t="str">
        <x:v>micaela.canan@adm.com</x:v>
      </x:c>
      <x:c r="E106" s="36" t="str">
        <x:v>ADM</x:v>
      </x:c>
      <x:c r="F106" s="36" t="str">
        <x:v>PARAGUAY</x:v>
      </x:c>
      <x:c r="G106" s="38" t="n">
        <x:v>8.6</x:v>
      </x:c>
      <x:c r="H106" s="38" t="n">
        <x:v>3</x:v>
      </x:c>
      <x:c r="I106" s="38" t="n">
        <x:f>IF(G106&gt;50,2,IF(G106&gt;30,1,0))</x:f>
        <x:v>0</x:v>
      </x:c>
      <x:c r="J106" s="38" t="n">
        <x:v>0</x:v>
      </x:c>
      <x:c r="K106" s="38" t="n">
        <x:v>0</x:v>
      </x:c>
      <x:c r="L106" s="38" t="n">
        <x:v>0</x:v>
      </x:c>
      <x:c r="M106" s="38" t="n">
        <x:v>0</x:v>
      </x:c>
      <x:c r="N106" s="38" t="n">
        <x:f>SUM(J106:M106)</x:f>
        <x:v>0</x:v>
      </x:c>
      <x:c r="O106" s="38" t="n">
        <x:f>H106+I106+N106</x:f>
        <x:v>3</x:v>
      </x:c>
      <x:c r="P106" s="36" t="str">
        <x:f>IF(A106="Internal - Control Union / Peterson","INTERNAL",IF(O106&gt;=8,"HOT",IF(O106&gt;=5,"WARM","COLD")))</x:f>
        <x:v>COLD</x:v>
      </x:c>
      <x:c r="Q106" s="36" t="str"/>
      <x:c r="R106" s="44" t="n">
        <x:v>46260.49883101852</x:v>
      </x:c>
      <x:c r="S106" s="44" t="n">
        <x:v>46260.50480324074</x:v>
      </x:c>
      <x:c r="T106" s="36" t="str">
        <x:v>8 min 36s</x:v>
      </x:c>
      <x:c r="U106" s="36" t="str">
        <x:v>Asistente</x:v>
      </x:c>
      <x:c r="V106" s="36" t="str">
        <x:v>Micaela.Canan@adm.com</x:v>
      </x:c>
      <x:c r="W106" s="36" t="str">
        <x:v>Micaela.Canan@adm.com</x:v>
      </x:c>
      <x:c r="X106" s="36" t="str"/>
    </x:row>
    <x:row r="107">
      <x:c r="A107" s="36" t="str">
        <x:v>External</x:v>
      </x:c>
      <x:c r="B107" s="36" t="str">
        <x:v>Nayeli Martínez Ulloa</x:v>
      </x:c>
      <x:c r="C107" s="36" t="str">
        <x:v>nayeli.martinez@oleomex.com.mx</x:v>
      </x:c>
      <x:c r="D107" s="36" t="str">
        <x:v>nayeli.martinez@oleomex.com.mx</x:v>
      </x:c>
      <x:c r="E107" s="36" t="str">
        <x:v>Oleomex</x:v>
      </x:c>
      <x:c r="F107" s="36" t="str">
        <x:v>México</x:v>
      </x:c>
      <x:c r="G107" s="38" t="n">
        <x:v>6.5</x:v>
      </x:c>
      <x:c r="H107" s="38" t="n">
        <x:v>3</x:v>
      </x:c>
      <x:c r="I107" s="38" t="n">
        <x:f>IF(G107&gt;50,2,IF(G107&gt;30,1,0))</x:f>
        <x:v>0</x:v>
      </x:c>
      <x:c r="J107" s="38" t="n">
        <x:v>0</x:v>
      </x:c>
      <x:c r="K107" s="38" t="n">
        <x:v>0</x:v>
      </x:c>
      <x:c r="L107" s="38" t="n">
        <x:v>0</x:v>
      </x:c>
      <x:c r="M107" s="38" t="n">
        <x:v>0</x:v>
      </x:c>
      <x:c r="N107" s="38" t="n">
        <x:f>SUM(J107:M107)</x:f>
        <x:v>0</x:v>
      </x:c>
      <x:c r="O107" s="38" t="n">
        <x:f>H107+I107+N107</x:f>
        <x:v>3</x:v>
      </x:c>
      <x:c r="P107" s="36" t="str">
        <x:f>IF(A107="Internal - Control Union / Peterson","INTERNAL",IF(O107&gt;=8,"HOT",IF(O107&gt;=5,"WARM","COLD")))</x:f>
        <x:v>COLD</x:v>
      </x:c>
      <x:c r="Q107" s="36" t="str"/>
      <x:c r="R107" s="44" t="n">
        <x:v>46260.529340277775</x:v>
      </x:c>
      <x:c r="S107" s="44" t="n">
        <x:v>46260.533854166664</x:v>
      </x:c>
      <x:c r="T107" s="36" t="str">
        <x:v>6 min 30s</x:v>
      </x:c>
      <x:c r="U107" s="36" t="str">
        <x:v>Asistente</x:v>
      </x:c>
      <x:c r="V107" s="36" t="str">
        <x:v>nayeli.martinez@oleomex.com.mx</x:v>
      </x:c>
      <x:c r="W107" s="36" t="str">
        <x:v>nayeli.martinez@oleomex.com.mx</x:v>
      </x:c>
      <x:c r="X107" s="36" t="str"/>
    </x:row>
    <x:row r="108">
      <x:c r="A108" s="36" t="str">
        <x:v>External</x:v>
      </x:c>
      <x:c r="B108" s="36" t="str">
        <x:v>Álvaro Alejandro Alejandro</x:v>
      </x:c>
      <x:c r="C108" s="36" t="str">
        <x:v>agropecuario_aalejandro79@outlook.com</x:v>
      </x:c>
      <x:c r="D108" s="36" t="str">
        <x:v>agropecuario_aalejandro79@outlook.com</x:v>
      </x:c>
      <x:c r="E108" s="36" t="str">
        <x:v>Colegio de Ingenieros Agrónomos de Santa Elena</x:v>
      </x:c>
      <x:c r="F108" s="36" t="str">
        <x:v>Ecuador</x:v>
      </x:c>
      <x:c r="G108" s="38" t="n">
        <x:v>5.75</x:v>
      </x:c>
      <x:c r="H108" s="38" t="n">
        <x:v>3</x:v>
      </x:c>
      <x:c r="I108" s="38" t="n">
        <x:f>IF(G108&gt;50,2,IF(G108&gt;30,1,0))</x:f>
        <x:v>0</x:v>
      </x:c>
      <x:c r="J108" s="38" t="n">
        <x:v>0</x:v>
      </x:c>
      <x:c r="K108" s="38" t="n">
        <x:v>0</x:v>
      </x:c>
      <x:c r="L108" s="38" t="n">
        <x:v>0</x:v>
      </x:c>
      <x:c r="M108" s="38" t="n">
        <x:v>0</x:v>
      </x:c>
      <x:c r="N108" s="38" t="n">
        <x:f>SUM(J108:M108)</x:f>
        <x:v>0</x:v>
      </x:c>
      <x:c r="O108" s="38" t="n">
        <x:f>H108+I108+N108</x:f>
        <x:v>3</x:v>
      </x:c>
      <x:c r="P108" s="36" t="str">
        <x:f>IF(A108="Internal - Control Union / Peterson","INTERNAL",IF(O108&gt;=8,"HOT",IF(O108&gt;=5,"WARM","COLD")))</x:f>
        <x:v>COLD</x:v>
      </x:c>
      <x:c r="Q108" s="36" t="str"/>
      <x:c r="R108" s="44" t="n">
        <x:v>46260.53011574074</x:v>
      </x:c>
      <x:c r="S108" s="44" t="n">
        <x:v>46260.534108796295</x:v>
      </x:c>
      <x:c r="T108" s="36" t="str">
        <x:v>5 min 45s</x:v>
      </x:c>
      <x:c r="U108" s="36" t="str">
        <x:v>Asistente</x:v>
      </x:c>
      <x:c r="V108" s="36" t="str"/>
      <x:c r="W108" s="36" t="str"/>
      <x:c r="X108" s="36" t="str">
        <x:v>Guest/unverified Teams identity.</x:v>
      </x:c>
    </x:row>
    <x:row r="109">
      <x:c r="A109" s="36" t="str">
        <x:v>External</x:v>
      </x:c>
      <x:c r="B109" s="36" t="str">
        <x:v>Aldo Cuadros  (No comprobado)</x:v>
      </x:c>
      <x:c r="C109" s="36" t="str">
        <x:v>aldocuadrosr@gmail.com</x:v>
      </x:c>
      <x:c r="D109" s="36" t="str">
        <x:v>aldocuadrosr@gmail.com</x:v>
      </x:c>
      <x:c r="E109" s="36" t="str">
        <x:v>Independiente</x:v>
      </x:c>
      <x:c r="F109" s="36" t="str">
        <x:v>Perú</x:v>
      </x:c>
      <x:c r="G109" s="38" t="n">
        <x:v>5.63</x:v>
      </x:c>
      <x:c r="H109" s="38" t="n">
        <x:v>3</x:v>
      </x:c>
      <x:c r="I109" s="38" t="n">
        <x:f>IF(G109&gt;50,2,IF(G109&gt;30,1,0))</x:f>
        <x:v>0</x:v>
      </x:c>
      <x:c r="J109" s="38" t="n">
        <x:v>0</x:v>
      </x:c>
      <x:c r="K109" s="38" t="n">
        <x:v>0</x:v>
      </x:c>
      <x:c r="L109" s="38" t="n">
        <x:v>0</x:v>
      </x:c>
      <x:c r="M109" s="38" t="n">
        <x:v>0</x:v>
      </x:c>
      <x:c r="N109" s="38" t="n">
        <x:f>SUM(J109:M109)</x:f>
        <x:v>0</x:v>
      </x:c>
      <x:c r="O109" s="38" t="n">
        <x:f>H109+I109+N109</x:f>
        <x:v>3</x:v>
      </x:c>
      <x:c r="P109" s="36" t="str">
        <x:f>IF(A109="Internal - Control Union / Peterson","INTERNAL",IF(O109&gt;=8,"HOT",IF(O109&gt;=5,"WARM","COLD")))</x:f>
        <x:v>COLD</x:v>
      </x:c>
      <x:c r="Q109" s="36" t="str"/>
      <x:c r="R109" s="44" t="n">
        <x:v>46260.5102662037</x:v>
      </x:c>
      <x:c r="S109" s="44" t="n">
        <x:v>46260.514189814814</x:v>
      </x:c>
      <x:c r="T109" s="36" t="str">
        <x:v>5 min 38s</x:v>
      </x:c>
      <x:c r="U109" s="36" t="str">
        <x:v>Asistente</x:v>
      </x:c>
      <x:c r="V109" s="36" t="str"/>
      <x:c r="W109" s="36" t="str"/>
      <x:c r="X109" s="36" t="str">
        <x:v>Guest/unverified Teams identity.</x:v>
      </x:c>
    </x:row>
    <x:row r="110">
      <x:c r="A110" s="36" t="str">
        <x:v>External</x:v>
      </x:c>
      <x:c r="B110" s="36" t="str">
        <x:v>Maria Eugenia Champion (Externo)</x:v>
      </x:c>
      <x:c r="C110" s="36" t="str">
        <x:v>mchampion@robecayazoo.com</x:v>
      </x:c>
      <x:c r="D110" s="36" t="str">
        <x:v>mchampion@robecayazoo.com</x:v>
      </x:c>
      <x:c r="E110" s="36" t="str">
        <x:v>Yazoo Investment</x:v>
      </x:c>
      <x:c r="F110" s="36" t="str">
        <x:v>Republica Dominicana</x:v>
      </x:c>
      <x:c r="G110" s="38" t="n">
        <x:v>5.52</x:v>
      </x:c>
      <x:c r="H110" s="38" t="n">
        <x:v>3</x:v>
      </x:c>
      <x:c r="I110" s="38" t="n">
        <x:f>IF(G110&gt;50,2,IF(G110&gt;30,1,0))</x:f>
        <x:v>0</x:v>
      </x:c>
      <x:c r="J110" s="38" t="n">
        <x:v>0</x:v>
      </x:c>
      <x:c r="K110" s="38" t="n">
        <x:v>0</x:v>
      </x:c>
      <x:c r="L110" s="38" t="n">
        <x:v>0</x:v>
      </x:c>
      <x:c r="M110" s="38" t="n">
        <x:v>0</x:v>
      </x:c>
      <x:c r="N110" s="38" t="n">
        <x:f>SUM(J110:M110)</x:f>
        <x:v>0</x:v>
      </x:c>
      <x:c r="O110" s="38" t="n">
        <x:f>H110+I110+N110</x:f>
        <x:v>3</x:v>
      </x:c>
      <x:c r="P110" s="36" t="str">
        <x:f>IF(A110="Internal - Control Union / Peterson","INTERNAL",IF(O110&gt;=8,"HOT",IF(O110&gt;=5,"WARM","COLD")))</x:f>
        <x:v>COLD</x:v>
      </x:c>
      <x:c r="Q110" s="36" t="str"/>
      <x:c r="R110" s="44" t="n">
        <x:v>46260.51993055556</x:v>
      </x:c>
      <x:c r="S110" s="44" t="n">
        <x:v>46260.52377314815</x:v>
      </x:c>
      <x:c r="T110" s="36" t="str">
        <x:v>5 min 31s</x:v>
      </x:c>
      <x:c r="U110" s="36" t="str">
        <x:v>Asistente</x:v>
      </x:c>
      <x:c r="V110" s="36" t="str">
        <x:v>mchampion@robecayazoo.com</x:v>
      </x:c>
      <x:c r="W110" s="36" t="str">
        <x:v>mchampion@robecayazoo.com</x:v>
      </x:c>
      <x:c r="X110" s="36" t="str"/>
    </x:row>
    <x:row r="111">
      <x:c r="A111" s="36" t="str">
        <x:v>External</x:v>
      </x:c>
      <x:c r="B111" s="36" t="str">
        <x:v>Diego Cristancho  (No comprobado)</x:v>
      </x:c>
      <x:c r="C111" s="36" t="str"/>
      <x:c r="D111" s="36" t="str"/>
      <x:c r="E111" s="36" t="str"/>
      <x:c r="F111" s="36" t="str"/>
      <x:c r="G111" s="38" t="n">
        <x:v>4.85</x:v>
      </x:c>
      <x:c r="H111" s="38" t="n">
        <x:v>3</x:v>
      </x:c>
      <x:c r="I111" s="38" t="n">
        <x:f>IF(G111&gt;50,2,IF(G111&gt;30,1,0))</x:f>
        <x:v>0</x:v>
      </x:c>
      <x:c r="J111" s="38" t="n">
        <x:v>0</x:v>
      </x:c>
      <x:c r="K111" s="38" t="n">
        <x:v>0</x:v>
      </x:c>
      <x:c r="L111" s="38" t="n">
        <x:v>0</x:v>
      </x:c>
      <x:c r="M111" s="38" t="n">
        <x:v>0</x:v>
      </x:c>
      <x:c r="N111" s="38" t="n">
        <x:f>SUM(J111:M111)</x:f>
        <x:v>0</x:v>
      </x:c>
      <x:c r="O111" s="38" t="n">
        <x:f>H111+I111+N111</x:f>
        <x:v>3</x:v>
      </x:c>
      <x:c r="P111" s="36" t="str">
        <x:f>IF(A111="Internal - Control Union / Peterson","INTERNAL",IF(O111&gt;=8,"HOT",IF(O111&gt;=5,"WARM","COLD")))</x:f>
        <x:v>COLD</x:v>
      </x:c>
      <x:c r="Q111" s="36" t="str"/>
      <x:c r="R111" s="44" t="n">
        <x:v>46260.521782407406</x:v>
      </x:c>
      <x:c r="S111" s="44" t="n">
        <x:v>46260.52515046296</x:v>
      </x:c>
      <x:c r="T111" s="36" t="str">
        <x:v>4 min 51s</x:v>
      </x:c>
      <x:c r="U111" s="36" t="str">
        <x:v>Asistente</x:v>
      </x:c>
      <x:c r="V111" s="36" t="str"/>
      <x:c r="W111" s="36" t="str"/>
      <x:c r="X111" s="36" t="str">
        <x:v>Guest/unverified Teams identity.</x:v>
      </x:c>
    </x:row>
    <x:row r="112">
      <x:c r="A112" s="36" t="str">
        <x:v>External</x:v>
      </x:c>
      <x:c r="B112" s="36" t="str">
        <x:v>Jose Antonio Alvarenga (No comprobado)</x:v>
      </x:c>
      <x:c r="C112" s="36" t="str">
        <x:v>jose.alvarenga0988@gmail.com</x:v>
      </x:c>
      <x:c r="D112" s="36" t="str">
        <x:v>jose.alvarenga0988@gmail.com</x:v>
      </x:c>
      <x:c r="E112" s="36" t="str">
        <x:v>MER seafood Trading</x:v>
      </x:c>
      <x:c r="F112" s="36" t="str">
        <x:v>Honduras</x:v>
      </x:c>
      <x:c r="G112" s="38" t="n">
        <x:v>2.93</x:v>
      </x:c>
      <x:c r="H112" s="38" t="n">
        <x:v>3</x:v>
      </x:c>
      <x:c r="I112" s="38" t="n">
        <x:f>IF(G112&gt;50,2,IF(G112&gt;30,1,0))</x:f>
        <x:v>0</x:v>
      </x:c>
      <x:c r="J112" s="38" t="n">
        <x:v>0</x:v>
      </x:c>
      <x:c r="K112" s="38" t="n">
        <x:v>0</x:v>
      </x:c>
      <x:c r="L112" s="38" t="n">
        <x:v>0</x:v>
      </x:c>
      <x:c r="M112" s="38" t="n">
        <x:v>0</x:v>
      </x:c>
      <x:c r="N112" s="38" t="n">
        <x:f>SUM(J112:M112)</x:f>
        <x:v>0</x:v>
      </x:c>
      <x:c r="O112" s="38" t="n">
        <x:f>H112+I112+N112</x:f>
        <x:v>3</x:v>
      </x:c>
      <x:c r="P112" s="36" t="str">
        <x:f>IF(A112="Internal - Control Union / Peterson","INTERNAL",IF(O112&gt;=8,"HOT",IF(O112&gt;=5,"WARM","COLD")))</x:f>
        <x:v>COLD</x:v>
      </x:c>
      <x:c r="Q112" s="36" t="str"/>
      <x:c r="R112" s="44" t="n">
        <x:v>46260.526087962964</x:v>
      </x:c>
      <x:c r="S112" s="44" t="n">
        <x:v>46260.528136574074</x:v>
      </x:c>
      <x:c r="T112" s="36" t="str">
        <x:v>2 min 56s</x:v>
      </x:c>
      <x:c r="U112" s="36" t="str">
        <x:v>Asistente</x:v>
      </x:c>
      <x:c r="V112" s="36" t="str"/>
      <x:c r="W112" s="36" t="str"/>
      <x:c r="X112" s="36" t="str">
        <x:v>Guest/unverified Teams identity.</x:v>
      </x:c>
    </x:row>
    <x:row r="113">
      <x:c r="A113" s="36" t="str">
        <x:v>External</x:v>
      </x:c>
      <x:c r="B113" s="36" t="str">
        <x:v>Isamar Gonzalez (Externo)</x:v>
      </x:c>
      <x:c r="C113" s="36" t="str">
        <x:v>isamar@terranostra.com</x:v>
      </x:c>
      <x:c r="D113" s="36" t="str">
        <x:v>isamar@terranostra.com</x:v>
      </x:c>
      <x:c r="E113" s="36" t="str">
        <x:v>Terra Nostra Organics, Inc</x:v>
      </x:c>
      <x:c r="F113" s="36" t="str">
        <x:v>Mexico</x:v>
      </x:c>
      <x:c r="G113" s="38" t="n">
        <x:v>2.32</x:v>
      </x:c>
      <x:c r="H113" s="38" t="n">
        <x:v>3</x:v>
      </x:c>
      <x:c r="I113" s="38" t="n">
        <x:f>IF(G113&gt;50,2,IF(G113&gt;30,1,0))</x:f>
        <x:v>0</x:v>
      </x:c>
      <x:c r="J113" s="38" t="n">
        <x:v>0</x:v>
      </x:c>
      <x:c r="K113" s="38" t="n">
        <x:v>0</x:v>
      </x:c>
      <x:c r="L113" s="38" t="n">
        <x:v>0</x:v>
      </x:c>
      <x:c r="M113" s="38" t="n">
        <x:v>0</x:v>
      </x:c>
      <x:c r="N113" s="38" t="n">
        <x:f>SUM(J113:M113)</x:f>
        <x:v>0</x:v>
      </x:c>
      <x:c r="O113" s="38" t="n">
        <x:f>H113+I113+N113</x:f>
        <x:v>3</x:v>
      </x:c>
      <x:c r="P113" s="36" t="str">
        <x:f>IF(A113="Internal - Control Union / Peterson","INTERNAL",IF(O113&gt;=8,"HOT",IF(O113&gt;=5,"WARM","COLD")))</x:f>
        <x:v>COLD</x:v>
      </x:c>
      <x:c r="Q113" s="36" t="str"/>
      <x:c r="R113" s="44" t="n">
        <x:v>46260.507789351854</x:v>
      </x:c>
      <x:c r="S113" s="44" t="n">
        <x:v>46260.51038194444</x:v>
      </x:c>
      <x:c r="T113" s="36" t="str">
        <x:v>2 min 19s</x:v>
      </x:c>
      <x:c r="U113" s="36" t="str">
        <x:v>Asistente</x:v>
      </x:c>
      <x:c r="V113" s="36" t="str">
        <x:v>isamar@terranostra.com</x:v>
      </x:c>
      <x:c r="W113" s="36" t="str">
        <x:v>isamar@terranostra.com</x:v>
      </x:c>
      <x:c r="X113" s="36" t="str"/>
    </x:row>
    <x:row r="114">
      <x:c r="A114" s="36" t="str">
        <x:v>External</x:v>
      </x:c>
      <x:c r="B114" s="36" t="str">
        <x:v>Maria Virginia Rodriguez (Externo)</x:v>
      </x:c>
      <x:c r="C114" s="36" t="str">
        <x:v>rodriguez.virginia@inta.gob.ar</x:v>
      </x:c>
      <x:c r="D114" s="36" t="str">
        <x:v>rodriguez.virginia@inta.gob.ar</x:v>
      </x:c>
      <x:c r="E114" s="36" t="str">
        <x:v>INTA-FCA</x:v>
      </x:c>
      <x:c r="F114" s="36" t="str">
        <x:v>Argentina</x:v>
      </x:c>
      <x:c r="G114" s="38" t="n">
        <x:v>2.32</x:v>
      </x:c>
      <x:c r="H114" s="38" t="n">
        <x:v>3</x:v>
      </x:c>
      <x:c r="I114" s="38" t="n">
        <x:f>IF(G114&gt;50,2,IF(G114&gt;30,1,0))</x:f>
        <x:v>0</x:v>
      </x:c>
      <x:c r="J114" s="38" t="n">
        <x:v>0</x:v>
      </x:c>
      <x:c r="K114" s="38" t="n">
        <x:v>0</x:v>
      </x:c>
      <x:c r="L114" s="38" t="n">
        <x:v>0</x:v>
      </x:c>
      <x:c r="M114" s="38" t="n">
        <x:v>0</x:v>
      </x:c>
      <x:c r="N114" s="38" t="n">
        <x:f>SUM(J114:M114)</x:f>
        <x:v>0</x:v>
      </x:c>
      <x:c r="O114" s="38" t="n">
        <x:f>H114+I114+N114</x:f>
        <x:v>3</x:v>
      </x:c>
      <x:c r="P114" s="36" t="str">
        <x:f>IF(A114="Internal - Control Union / Peterson","INTERNAL",IF(O114&gt;=8,"HOT",IF(O114&gt;=5,"WARM","COLD")))</x:f>
        <x:v>COLD</x:v>
      </x:c>
      <x:c r="Q114" s="36" t="str"/>
      <x:c r="R114" s="44" t="n">
        <x:v>46260.51184027778</x:v>
      </x:c>
      <x:c r="S114" s="44" t="n">
        <x:v>46260.513449074075</x:v>
      </x:c>
      <x:c r="T114" s="36" t="str">
        <x:v>2 min 19s</x:v>
      </x:c>
      <x:c r="U114" s="36" t="str">
        <x:v>Asistente</x:v>
      </x:c>
      <x:c r="V114" s="36" t="str">
        <x:v>rodriguez.virginia@inta.gob.ar</x:v>
      </x:c>
      <x:c r="W114" s="36" t="str">
        <x:v>rodriguez.virginia@inta.gob.ar</x:v>
      </x:c>
      <x:c r="X114" s="36" t="str"/>
    </x:row>
    <x:row r="115">
      <x:c r="A115" s="36" t="str">
        <x:v>External</x:v>
      </x:c>
      <x:c r="B115" s="36" t="str">
        <x:v>Carlos Enrique Calo</x:v>
      </x:c>
      <x:c r="C115" s="36" t="str">
        <x:v>Carlos.CALO@centralpuerto.com</x:v>
      </x:c>
      <x:c r="D115" s="36" t="str">
        <x:v>carloscalo83@hotmail.com</x:v>
      </x:c>
      <x:c r="E115" s="36" t="str">
        <x:v>Service corp trading</x:v>
      </x:c>
      <x:c r="F115" s="36" t="str">
        <x:v>Argentina</x:v>
      </x:c>
      <x:c r="G115" s="38" t="n">
        <x:v>2.22</x:v>
      </x:c>
      <x:c r="H115" s="38" t="n">
        <x:v>3</x:v>
      </x:c>
      <x:c r="I115" s="38" t="n">
        <x:f>IF(G115&gt;50,2,IF(G115&gt;30,1,0))</x:f>
        <x:v>0</x:v>
      </x:c>
      <x:c r="J115" s="38" t="n">
        <x:v>0</x:v>
      </x:c>
      <x:c r="K115" s="38" t="n">
        <x:v>0</x:v>
      </x:c>
      <x:c r="L115" s="38" t="n">
        <x:v>0</x:v>
      </x:c>
      <x:c r="M115" s="38" t="n">
        <x:v>0</x:v>
      </x:c>
      <x:c r="N115" s="38" t="n">
        <x:f>SUM(J115:M115)</x:f>
        <x:v>0</x:v>
      </x:c>
      <x:c r="O115" s="38" t="n">
        <x:f>H115+I115+N115</x:f>
        <x:v>3</x:v>
      </x:c>
      <x:c r="P115" s="36" t="str">
        <x:f>IF(A115="Internal - Control Union / Peterson","INTERNAL",IF(O115&gt;=8,"HOT",IF(O115&gt;=5,"WARM","COLD")))</x:f>
        <x:v>COLD</x:v>
      </x:c>
      <x:c r="Q115" s="36" t="str"/>
      <x:c r="R115" s="44" t="n">
        <x:v>46260.50351851852</x:v>
      </x:c>
      <x:c r="S115" s="44" t="n">
        <x:v>46260.505902777775</x:v>
      </x:c>
      <x:c r="T115" s="36" t="str">
        <x:v>2 min 13s</x:v>
      </x:c>
      <x:c r="U115" s="36" t="str">
        <x:v>Asistente</x:v>
      </x:c>
      <x:c r="V115" s="36" t="str">
        <x:v>Carlos.CALO@centralpuerto.com</x:v>
      </x:c>
      <x:c r="W115" s="36" t="str">
        <x:v>ccalo@centralpuerto.com</x:v>
      </x:c>
      <x:c r="X115" s="36" t="str">
        <x:v>Teams identity email differs from registration email.</x:v>
      </x:c>
    </x:row>
    <x:row r="116">
      <x:c r="A116" s="36" t="str">
        <x:v>External</x:v>
      </x:c>
      <x:c r="B116" s="36" t="str">
        <x:v>Monica M. (No comprobado)</x:v>
      </x:c>
      <x:c r="C116" s="36" t="str">
        <x:v>monigmancini@gmail.com</x:v>
      </x:c>
      <x:c r="D116" s="36" t="str">
        <x:v>monigmancini@gmail.com</x:v>
      </x:c>
      <x:c r="E116" s="36" t="str">
        <x:v>Letis S.A.</x:v>
      </x:c>
      <x:c r="F116" s="36" t="str">
        <x:v>Argentina</x:v>
      </x:c>
      <x:c r="G116" s="38" t="n">
        <x:v>1.42</x:v>
      </x:c>
      <x:c r="H116" s="38" t="n">
        <x:v>3</x:v>
      </x:c>
      <x:c r="I116" s="38" t="n">
        <x:f>IF(G116&gt;50,2,IF(G116&gt;30,1,0))</x:f>
        <x:v>0</x:v>
      </x:c>
      <x:c r="J116" s="38" t="n">
        <x:v>0</x:v>
      </x:c>
      <x:c r="K116" s="38" t="n">
        <x:v>0</x:v>
      </x:c>
      <x:c r="L116" s="38" t="n">
        <x:v>0</x:v>
      </x:c>
      <x:c r="M116" s="38" t="n">
        <x:v>0</x:v>
      </x:c>
      <x:c r="N116" s="38" t="n">
        <x:f>SUM(J116:M116)</x:f>
        <x:v>0</x:v>
      </x:c>
      <x:c r="O116" s="38" t="n">
        <x:f>H116+I116+N116</x:f>
        <x:v>3</x:v>
      </x:c>
      <x:c r="P116" s="36" t="str">
        <x:f>IF(A116="Internal - Control Union / Peterson","INTERNAL",IF(O116&gt;=8,"HOT",IF(O116&gt;=5,"WARM","COLD")))</x:f>
        <x:v>COLD</x:v>
      </x:c>
      <x:c r="Q116" s="36" t="str"/>
      <x:c r="R116" s="44" t="n">
        <x:v>46260.48715277778</x:v>
      </x:c>
      <x:c r="S116" s="44" t="n">
        <x:v>46260.48813657407</x:v>
      </x:c>
      <x:c r="T116" s="36" t="str">
        <x:v>1 min 25s</x:v>
      </x:c>
      <x:c r="U116" s="36" t="str">
        <x:v>Asistente</x:v>
      </x:c>
      <x:c r="V116" s="36" t="str"/>
      <x:c r="W116" s="36" t="str"/>
      <x:c r="X116" s="36" t="str">
        <x:v>Guest/unverified Teams identity.</x:v>
      </x:c>
    </x:row>
    <x:row r="117">
      <x:c r="A117" s="36" t="str">
        <x:v>External</x:v>
      </x:c>
      <x:c r="B117" s="36" t="str">
        <x:v>Rommel Cordova (Externo)</x:v>
      </x:c>
      <x:c r="C117" s="36" t="str">
        <x:v>rommel.cordova@regalsprings.com</x:v>
      </x:c>
      <x:c r="D117" s="36" t="str">
        <x:v>proserin@proserinhn.com</x:v>
      </x:c>
      <x:c r="E117" s="36" t="str">
        <x:v>PROSERIN S.A</x:v>
      </x:c>
      <x:c r="F117" s="36" t="str">
        <x:v>Honduras</x:v>
      </x:c>
      <x:c r="G117" s="38" t="n">
        <x:v>1.23</x:v>
      </x:c>
      <x:c r="H117" s="38" t="n">
        <x:v>3</x:v>
      </x:c>
      <x:c r="I117" s="38" t="n">
        <x:f>IF(G117&gt;50,2,IF(G117&gt;30,1,0))</x:f>
        <x:v>0</x:v>
      </x:c>
      <x:c r="J117" s="38" t="n">
        <x:v>0</x:v>
      </x:c>
      <x:c r="K117" s="38" t="n">
        <x:v>0</x:v>
      </x:c>
      <x:c r="L117" s="38" t="n">
        <x:v>0</x:v>
      </x:c>
      <x:c r="M117" s="38" t="n">
        <x:v>0</x:v>
      </x:c>
      <x:c r="N117" s="38" t="n">
        <x:f>SUM(J117:M117)</x:f>
        <x:v>0</x:v>
      </x:c>
      <x:c r="O117" s="38" t="n">
        <x:f>H117+I117+N117</x:f>
        <x:v>3</x:v>
      </x:c>
      <x:c r="P117" s="36" t="str">
        <x:f>IF(A117="Internal - Control Union / Peterson","INTERNAL",IF(O117&gt;=8,"HOT",IF(O117&gt;=5,"WARM","COLD")))</x:f>
        <x:v>COLD</x:v>
      </x:c>
      <x:c r="Q117" s="36" t="str"/>
      <x:c r="R117" s="44" t="n">
        <x:v>46260.5196875</x:v>
      </x:c>
      <x:c r="S117" s="44" t="n">
        <x:v>46260.52054398148</x:v>
      </x:c>
      <x:c r="T117" s="36" t="str">
        <x:v>1 min 14s</x:v>
      </x:c>
      <x:c r="U117" s="36" t="str">
        <x:v>Asistente</x:v>
      </x:c>
      <x:c r="V117" s="36" t="str">
        <x:v>rommel.cordova@regalsprings.com</x:v>
      </x:c>
      <x:c r="W117" s="36" t="str">
        <x:v>rommel.cordova@regalsprings.com</x:v>
      </x:c>
      <x:c r="X117" s="36" t="str">
        <x:v>Teams identity email differs from registration email.</x:v>
      </x:c>
    </x:row>
    <x:row r="118">
      <x:c r="A118" s="36" t="str">
        <x:v>External</x:v>
      </x:c>
      <x:c r="B118" s="36" t="str">
        <x:v>Juan Manuel Gutierrez Aguilar (Externo)</x:v>
      </x:c>
      <x:c r="C118" s="36" t="str">
        <x:v>juan.gutierrez@cafesca.com</x:v>
      </x:c>
      <x:c r="D118" s="36" t="str">
        <x:v>juan.gutierrez@cafesca.com</x:v>
      </x:c>
      <x:c r="E118" s="36" t="str">
        <x:v>CAFES DE ESPECIALIDAD DE CHIAPAS</x:v>
      </x:c>
      <x:c r="F118" s="36" t="str">
        <x:v>México</x:v>
      </x:c>
      <x:c r="G118" s="38" t="n">
        <x:v>1.03</x:v>
      </x:c>
      <x:c r="H118" s="38" t="n">
        <x:v>3</x:v>
      </x:c>
      <x:c r="I118" s="38" t="n">
        <x:f>IF(G118&gt;50,2,IF(G118&gt;30,1,0))</x:f>
        <x:v>0</x:v>
      </x:c>
      <x:c r="J118" s="38" t="n">
        <x:v>0</x:v>
      </x:c>
      <x:c r="K118" s="38" t="n">
        <x:v>0</x:v>
      </x:c>
      <x:c r="L118" s="38" t="n">
        <x:v>0</x:v>
      </x:c>
      <x:c r="M118" s="38" t="n">
        <x:v>0</x:v>
      </x:c>
      <x:c r="N118" s="38" t="n">
        <x:f>SUM(J118:M118)</x:f>
        <x:v>0</x:v>
      </x:c>
      <x:c r="O118" s="38" t="n">
        <x:f>H118+I118+N118</x:f>
        <x:v>3</x:v>
      </x:c>
      <x:c r="P118" s="36" t="str">
        <x:f>IF(A118="Internal - Control Union / Peterson","INTERNAL",IF(O118&gt;=8,"HOT",IF(O118&gt;=5,"WARM","COLD")))</x:f>
        <x:v>COLD</x:v>
      </x:c>
      <x:c r="Q118" s="36" t="str"/>
      <x:c r="R118" s="44" t="n">
        <x:v>46260.517280092594</x:v>
      </x:c>
      <x:c r="S118" s="44" t="n">
        <x:v>46260.52071759259</x:v>
      </x:c>
      <x:c r="T118" s="36" t="str">
        <x:v>1 min 2s</x:v>
      </x:c>
      <x:c r="U118" s="36" t="str">
        <x:v>Asistente</x:v>
      </x:c>
      <x:c r="V118" s="36" t="str">
        <x:v>juan.gutierrez@cafesca.com</x:v>
      </x:c>
      <x:c r="W118" s="36" t="str">
        <x:v>juan.gutierrez@cafesca.com</x:v>
      </x:c>
      <x:c r="X118" s="36" t="str"/>
    </x:row>
    <x:row r="119">
      <x:c r="A119" s="36" t="str">
        <x:v>External</x:v>
      </x:c>
      <x:c r="B119" s="36" t="str">
        <x:v>Alfredo Fajardo (Externo)</x:v>
      </x:c>
      <x:c r="C119" s="36" t="str">
        <x:v>Alfredo.Fajardo@wildlifeworks.com</x:v>
      </x:c>
      <x:c r="D119" s="36" t="str">
        <x:v>sig.redocelote@bioap.com.co</x:v>
      </x:c>
      <x:c r="E119" s="36" t="str">
        <x:v>Biopa</x:v>
      </x:c>
      <x:c r="F119" s="36" t="str">
        <x:v>Colombia</x:v>
      </x:c>
      <x:c r="G119" s="38" t="n">
        <x:v>1</x:v>
      </x:c>
      <x:c r="H119" s="38" t="n">
        <x:v>3</x:v>
      </x:c>
      <x:c r="I119" s="38" t="n">
        <x:f>IF(G119&gt;50,2,IF(G119&gt;30,1,0))</x:f>
        <x:v>0</x:v>
      </x:c>
      <x:c r="J119" s="38" t="n">
        <x:v>0</x:v>
      </x:c>
      <x:c r="K119" s="38" t="n">
        <x:v>0</x:v>
      </x:c>
      <x:c r="L119" s="38" t="n">
        <x:v>0</x:v>
      </x:c>
      <x:c r="M119" s="38" t="n">
        <x:v>0</x:v>
      </x:c>
      <x:c r="N119" s="38" t="n">
        <x:f>SUM(J119:M119)</x:f>
        <x:v>0</x:v>
      </x:c>
      <x:c r="O119" s="38" t="n">
        <x:f>H119+I119+N119</x:f>
        <x:v>3</x:v>
      </x:c>
      <x:c r="P119" s="36" t="str">
        <x:f>IF(A119="Internal - Control Union / Peterson","INTERNAL",IF(O119&gt;=8,"HOT",IF(O119&gt;=5,"WARM","COLD")))</x:f>
        <x:v>COLD</x:v>
      </x:c>
      <x:c r="Q119" s="36" t="str"/>
      <x:c r="R119" s="44" t="n">
        <x:v>46260.50094907408</x:v>
      </x:c>
      <x:c r="S119" s="44" t="n">
        <x:v>46260.501655092594</x:v>
      </x:c>
      <x:c r="T119" s="36" t="str">
        <x:v>1 min</x:v>
      </x:c>
      <x:c r="U119" s="36" t="str">
        <x:v>Asistente</x:v>
      </x:c>
      <x:c r="V119" s="36" t="str">
        <x:v>Alfredo.Fajardo@wildlifeworks.com</x:v>
      </x:c>
      <x:c r="W119" s="36" t="str">
        <x:v>Alfredo.Fajardo@wildlifeworks.com</x:v>
      </x:c>
      <x:c r="X119" s="36" t="str">
        <x:v>Teams identity email differs from registration email.</x:v>
      </x:c>
    </x:row>
    <x:row r="120">
      <x:c r="A120" s="36" t="str">
        <x:v>External</x:v>
      </x:c>
      <x:c r="B120" s="36" t="str">
        <x:v>Diego Carranza (No comprobado)</x:v>
      </x:c>
      <x:c r="C120" s="36" t="str">
        <x:v>diego@cumbres.com.co</x:v>
      </x:c>
      <x:c r="D120" s="36" t="str">
        <x:v>diego@cumbres.com.co</x:v>
      </x:c>
      <x:c r="E120" s="36" t="str">
        <x:v>Comercializadora Cumbres SAS</x:v>
      </x:c>
      <x:c r="F120" s="36" t="str">
        <x:v>Colombia</x:v>
      </x:c>
      <x:c r="G120" s="38" t="n">
        <x:v>0.45</x:v>
      </x:c>
      <x:c r="H120" s="38" t="n">
        <x:v>3</x:v>
      </x:c>
      <x:c r="I120" s="38" t="n">
        <x:f>IF(G120&gt;50,2,IF(G120&gt;30,1,0))</x:f>
        <x:v>0</x:v>
      </x:c>
      <x:c r="J120" s="38" t="n">
        <x:v>0</x:v>
      </x:c>
      <x:c r="K120" s="38" t="n">
        <x:v>0</x:v>
      </x:c>
      <x:c r="L120" s="38" t="n">
        <x:v>0</x:v>
      </x:c>
      <x:c r="M120" s="38" t="n">
        <x:v>0</x:v>
      </x:c>
      <x:c r="N120" s="38" t="n">
        <x:f>SUM(J120:M120)</x:f>
        <x:v>0</x:v>
      </x:c>
      <x:c r="O120" s="38" t="n">
        <x:f>H120+I120+N120</x:f>
        <x:v>3</x:v>
      </x:c>
      <x:c r="P120" s="36" t="str">
        <x:f>IF(A120="Internal - Control Union / Peterson","INTERNAL",IF(O120&gt;=8,"HOT",IF(O120&gt;=5,"WARM","COLD")))</x:f>
        <x:v>COLD</x:v>
      </x:c>
      <x:c r="Q120" s="36" t="str"/>
      <x:c r="R120" s="44" t="n">
        <x:v>46260.475324074076</x:v>
      </x:c>
      <x:c r="S120" s="44" t="n">
        <x:v>46260.475636574076</x:v>
      </x:c>
      <x:c r="T120" s="36" t="str">
        <x:v>27s</x:v>
      </x:c>
      <x:c r="U120" s="36" t="str">
        <x:v>Asistente</x:v>
      </x:c>
      <x:c r="V120" s="36" t="str"/>
      <x:c r="W120" s="36" t="str"/>
      <x:c r="X120" s="36" t="str">
        <x:v>Guest/unverified Teams identity.</x:v>
      </x:c>
    </x:row>
    <x:row r="121">
      <x:c r="A121" s="36" t="str">
        <x:v>External</x:v>
      </x:c>
      <x:c r="B121" s="36" t="str">
        <x:v>Viviana Olaya (No comprobado)</x:v>
      </x:c>
      <x:c r="C121" s="36" t="str">
        <x:v>logistica@unicafec.com</x:v>
      </x:c>
      <x:c r="D121" s="36" t="str">
        <x:v>logistica@unicafec.com</x:v>
      </x:c>
      <x:c r="E121" s="36" t="str">
        <x:v>Cooperativa Unicafec</x:v>
      </x:c>
      <x:c r="F121" s="36" t="str">
        <x:v>Perú</x:v>
      </x:c>
      <x:c r="G121" s="38" t="n">
        <x:v>0.12</x:v>
      </x:c>
      <x:c r="H121" s="38" t="n">
        <x:v>3</x:v>
      </x:c>
      <x:c r="I121" s="38" t="n">
        <x:f>IF(G121&gt;50,2,IF(G121&gt;30,1,0))</x:f>
        <x:v>0</x:v>
      </x:c>
      <x:c r="J121" s="38" t="n">
        <x:v>0</x:v>
      </x:c>
      <x:c r="K121" s="38" t="n">
        <x:v>0</x:v>
      </x:c>
      <x:c r="L121" s="38" t="n">
        <x:v>0</x:v>
      </x:c>
      <x:c r="M121" s="38" t="n">
        <x:v>0</x:v>
      </x:c>
      <x:c r="N121" s="38" t="n">
        <x:f>SUM(J121:M121)</x:f>
        <x:v>0</x:v>
      </x:c>
      <x:c r="O121" s="38" t="n">
        <x:f>H121+I121+N121</x:f>
        <x:v>3</x:v>
      </x:c>
      <x:c r="P121" s="36" t="str">
        <x:f>IF(A121="Internal - Control Union / Peterson","INTERNAL",IF(O121&gt;=8,"HOT",IF(O121&gt;=5,"WARM","COLD")))</x:f>
        <x:v>COLD</x:v>
      </x:c>
      <x:c r="Q121" s="36" t="str"/>
      <x:c r="R121" s="44" t="n">
        <x:v>46260.46946759259</x:v>
      </x:c>
      <x:c r="S121" s="44" t="n">
        <x:v>46260.46954861111</x:v>
      </x:c>
      <x:c r="T121" s="36" t="str">
        <x:v>7s</x:v>
      </x:c>
      <x:c r="U121" s="36" t="str">
        <x:v>Asistente</x:v>
      </x:c>
      <x:c r="V121" s="36" t="str"/>
      <x:c r="W121" s="36" t="str"/>
      <x:c r="X121" s="36" t="str">
        <x:v>Guest/unverified Teams identity.</x:v>
      </x:c>
    </x:row>
    <x:row r="122">
      <x:c r="A122" s="36" t="str">
        <x:v>External</x:v>
      </x:c>
      <x:c r="B122" s="36" t="str">
        <x:v>Stephany Meza Maldonado (Externo)</x:v>
      </x:c>
      <x:c r="C122" s="36" t="str">
        <x:v>stephany.meza@smurfitwestrock.mx</x:v>
      </x:c>
      <x:c r="D122" s="36" t="str">
        <x:v>stephany.meza@smurfitwestrock.mx</x:v>
      </x:c>
      <x:c r="E122" s="36" t="str">
        <x:v>Smurfit Westrock</x:v>
      </x:c>
      <x:c r="F122" s="36" t="str">
        <x:v>Mexico</x:v>
      </x:c>
      <x:c r="G122" s="38" t="n">
        <x:v>0.05</x:v>
      </x:c>
      <x:c r="H122" s="38" t="n">
        <x:v>3</x:v>
      </x:c>
      <x:c r="I122" s="38" t="n">
        <x:f>IF(G122&gt;50,2,IF(G122&gt;30,1,0))</x:f>
        <x:v>0</x:v>
      </x:c>
      <x:c r="J122" s="38" t="n">
        <x:v>0</x:v>
      </x:c>
      <x:c r="K122" s="38" t="n">
        <x:v>0</x:v>
      </x:c>
      <x:c r="L122" s="38" t="n">
        <x:v>0</x:v>
      </x:c>
      <x:c r="M122" s="38" t="n">
        <x:v>0</x:v>
      </x:c>
      <x:c r="N122" s="38" t="n">
        <x:f>SUM(J122:M122)</x:f>
        <x:v>0</x:v>
      </x:c>
      <x:c r="O122" s="38" t="n">
        <x:f>H122+I122+N122</x:f>
        <x:v>3</x:v>
      </x:c>
      <x:c r="P122" s="36" t="str">
        <x:f>IF(A122="Internal - Control Union / Peterson","INTERNAL",IF(O122&gt;=8,"HOT",IF(O122&gt;=5,"WARM","COLD")))</x:f>
        <x:v>COLD</x:v>
      </x:c>
      <x:c r="Q122" s="36" t="str"/>
      <x:c r="R122" s="44" t="n">
        <x:v>46260.515868055554</x:v>
      </x:c>
      <x:c r="S122" s="44" t="n">
        <x:v>46260.515914351854</x:v>
      </x:c>
      <x:c r="T122" s="36" t="str">
        <x:v>3s</x:v>
      </x:c>
      <x:c r="U122" s="36" t="str">
        <x:v>Asistente</x:v>
      </x:c>
      <x:c r="V122" s="36" t="str">
        <x:v>stephany.meza@smurfitwestrock.mx</x:v>
      </x:c>
      <x:c r="W122" s="36" t="str">
        <x:v>Stephany.Meza@smurfitkappa.com.mx</x:v>
      </x:c>
      <x:c r="X122" s="36" t="str"/>
    </x:row>
    <x:row r="123">
      <x:c r="A123" s="36" t="str">
        <x:v>External</x:v>
      </x:c>
      <x:c r="B123" s="36" t="str">
        <x:v>Romina Santellan (Externo)</x:v>
      </x:c>
      <x:c r="C123" s="36" t="str">
        <x:v>Romina_Santellan@cargill.com</x:v>
      </x:c>
      <x:c r="D123" s="36" t="str">
        <x:v>romina_santellan@cargill.com</x:v>
      </x:c>
      <x:c r="E123" s="36" t="str">
        <x:v>Cargill SACI</x:v>
      </x:c>
      <x:c r="F123" s="36" t="str">
        <x:v>Argentina</x:v>
      </x:c>
      <x:c r="G123" s="38" t="n">
        <x:v>0</x:v>
      </x:c>
      <x:c r="H123" s="38" t="n">
        <x:v>3</x:v>
      </x:c>
      <x:c r="I123" s="38" t="n">
        <x:f>IF(G123&gt;50,2,IF(G123&gt;30,1,0))</x:f>
        <x:v>0</x:v>
      </x:c>
      <x:c r="J123" s="38" t="n">
        <x:v>0</x:v>
      </x:c>
      <x:c r="K123" s="38" t="n">
        <x:v>0</x:v>
      </x:c>
      <x:c r="L123" s="38" t="n">
        <x:v>0</x:v>
      </x:c>
      <x:c r="M123" s="38" t="n">
        <x:v>0</x:v>
      </x:c>
      <x:c r="N123" s="38" t="n">
        <x:f>SUM(J123:M123)</x:f>
        <x:v>0</x:v>
      </x:c>
      <x:c r="O123" s="38" t="n">
        <x:f>H123+I123+N123</x:f>
        <x:v>3</x:v>
      </x:c>
      <x:c r="P123" s="36" t="str">
        <x:f>IF(A123="Internal - Control Union / Peterson","INTERNAL",IF(O123&gt;=8,"HOT",IF(O123&gt;=5,"WARM","COLD")))</x:f>
        <x:v>COLD</x:v>
      </x:c>
      <x:c r="Q123" s="36" t="str"/>
      <x:c r="R123" s="44"/>
      <x:c r="S123" s="44"/>
      <x:c r="T123" s="36" t="str"/>
      <x:c r="U123" s="36" t="str">
        <x:v>Asistente</x:v>
      </x:c>
      <x:c r="V123" s="36" t="str">
        <x:v>Romina_Santellan@cargill.com</x:v>
      </x:c>
      <x:c r="W123" s="36" t="str">
        <x:v>Romina_Santellan@cargill.com</x:v>
      </x:c>
      <x:c r="X123" s="36" t="str"/>
    </x:row>
    <x:row r="124">
      <x:c r="A124" s="36" t="str">
        <x:v>Internal - Control Union / Peterson</x:v>
      </x:c>
      <x:c r="B124" s="36" t="str">
        <x:v>María Cecilia Fernandez</x:v>
      </x:c>
      <x:c r="C124" s="36" t="str">
        <x:v>cfernandez@onepeterson.com</x:v>
      </x:c>
      <x:c r="D124" s="36" t="str"/>
      <x:c r="E124" s="36" t="str"/>
      <x:c r="F124" s="36" t="str"/>
      <x:c r="G124" s="38" t="n">
        <x:v>59.12</x:v>
      </x:c>
      <x:c r="H124" s="38" t="n">
        <x:v>3</x:v>
      </x:c>
      <x:c r="I124" s="38" t="n">
        <x:f>IF(G124&gt;50,2,IF(G124&gt;30,1,0))</x:f>
        <x:v>2</x:v>
      </x:c>
      <x:c r="J124" s="38" t="n">
        <x:v>0</x:v>
      </x:c>
      <x:c r="K124" s="38" t="n">
        <x:v>3</x:v>
      </x:c>
      <x:c r="L124" s="38" t="n">
        <x:v>0</x:v>
      </x:c>
      <x:c r="M124" s="38" t="n">
        <x:v>1</x:v>
      </x:c>
      <x:c r="N124" s="38" t="n">
        <x:f>SUM(J124:M124)</x:f>
        <x:v>4</x:v>
      </x:c>
      <x:c r="O124" s="38" t="n">
        <x:f>H124+I124+N124</x:f>
        <x:v>9</x:v>
      </x:c>
      <x:c r="P124" s="36" t="str">
        <x:f>IF(A124="Internal - Control Union / Peterson","INTERNAL",IF(O124&gt;=8,"HOT",IF(O124&gt;=5,"WARM","COLD")))</x:f>
        <x:v>INTERNAL</x:v>
      </x:c>
      <x:c r="Q124" s="36" t="str"/>
      <x:c r="R124" s="44" t="n">
        <x:v>46260.4937037037</x:v>
      </x:c>
      <x:c r="S124" s="44" t="n">
        <x:v>46260.53606481481</x:v>
      </x:c>
      <x:c r="T124" s="36" t="str">
        <x:v>59 min 7s</x:v>
      </x:c>
      <x:c r="U124" s="36" t="str">
        <x:v>Moderador</x:v>
      </x:c>
      <x:c r="V124" s="36" t="str">
        <x:v>cfernandez@onepeterson.com</x:v>
      </x:c>
      <x:c r="W124" s="36" t="str">
        <x:v>cfernandez@pcugroup.com</x:v>
      </x:c>
      <x:c r="X124" s="36" t="str"/>
    </x:row>
    <x:row r="125">
      <x:c r="A125" s="36" t="str">
        <x:v>Internal - Control Union / Peterson</x:v>
      </x:c>
      <x:c r="B125" s="36" t="str">
        <x:v>Lucila Carbini (OnePeterson)</x:v>
      </x:c>
      <x:c r="C125" s="36" t="str">
        <x:v>lcarbini2@onepeterson.com</x:v>
      </x:c>
      <x:c r="D125" s="36" t="str"/>
      <x:c r="E125" s="36" t="str"/>
      <x:c r="F125" s="36" t="str"/>
      <x:c r="G125" s="38" t="n">
        <x:v>56.12</x:v>
      </x:c>
      <x:c r="H125" s="38" t="n">
        <x:v>3</x:v>
      </x:c>
      <x:c r="I125" s="38" t="n">
        <x:f>IF(G125&gt;50,2,IF(G125&gt;30,1,0))</x:f>
        <x:v>2</x:v>
      </x:c>
      <x:c r="J125" s="38" t="n">
        <x:v>0</x:v>
      </x:c>
      <x:c r="K125" s="38" t="n">
        <x:v>1</x:v>
      </x:c>
      <x:c r="L125" s="38" t="n">
        <x:v>1</x:v>
      </x:c>
      <x:c r="M125" s="38" t="n">
        <x:v>2</x:v>
      </x:c>
      <x:c r="N125" s="38" t="n">
        <x:f>SUM(J125:M125)</x:f>
        <x:v>4</x:v>
      </x:c>
      <x:c r="O125" s="38" t="n">
        <x:f>H125+I125+N125</x:f>
        <x:v>9</x:v>
      </x:c>
      <x:c r="P125" s="36" t="str">
        <x:f>IF(A125="Internal - Control Union / Peterson","INTERNAL",IF(O125&gt;=8,"HOT",IF(O125&gt;=5,"WARM","COLD")))</x:f>
        <x:v>INTERNAL</x:v>
      </x:c>
      <x:c r="Q125" s="36" t="str"/>
      <x:c r="R125" s="44" t="n">
        <x:v>46260.494733796295</x:v>
      </x:c>
      <x:c r="S125" s="44" t="n">
        <x:v>46260.5337037037</x:v>
      </x:c>
      <x:c r="T125" s="36" t="str">
        <x:v>56 min 7s</x:v>
      </x:c>
      <x:c r="U125" s="36" t="str">
        <x:v>Organizador</x:v>
      </x:c>
      <x:c r="V125" s="36" t="str">
        <x:v>lcarbini2@onepeterson.com</x:v>
      </x:c>
      <x:c r="W125" s="36" t="str">
        <x:v>lcarbini2@pcugroup.com</x:v>
      </x:c>
      <x:c r="X125" s="36" t="str"/>
    </x:row>
    <x:row r="126">
      <x:c r="A126" s="36" t="str">
        <x:v>Internal - Control Union / Peterson</x:v>
      </x:c>
      <x:c r="B126" s="36" t="str">
        <x:v>Lucila Rey Minervini</x:v>
      </x:c>
      <x:c r="C126" s="36" t="str">
        <x:v>lrey@controlunion.com</x:v>
      </x:c>
      <x:c r="D126" s="36" t="str"/>
      <x:c r="E126" s="36" t="str"/>
      <x:c r="F126" s="36" t="str"/>
      <x:c r="G126" s="38" t="n">
        <x:v>59.45</x:v>
      </x:c>
      <x:c r="H126" s="38" t="n">
        <x:v>3</x:v>
      </x:c>
      <x:c r="I126" s="38" t="n">
        <x:f>IF(G126&gt;50,2,IF(G126&gt;30,1,0))</x:f>
        <x:v>2</x:v>
      </x:c>
      <x:c r="J126" s="38" t="n">
        <x:v>0</x:v>
      </x:c>
      <x:c r="K126" s="38" t="n">
        <x:v>1</x:v>
      </x:c>
      <x:c r="L126" s="38" t="n">
        <x:v>0</x:v>
      </x:c>
      <x:c r="M126" s="38" t="n">
        <x:v>2</x:v>
      </x:c>
      <x:c r="N126" s="38" t="n">
        <x:f>SUM(J126:M126)</x:f>
        <x:v>3</x:v>
      </x:c>
      <x:c r="O126" s="38" t="n">
        <x:f>H126+I126+N126</x:f>
        <x:v>8</x:v>
      </x:c>
      <x:c r="P126" s="36" t="str">
        <x:f>IF(A126="Internal - Control Union / Peterson","INTERNAL",IF(O126&gt;=8,"HOT",IF(O126&gt;=5,"WARM","COLD")))</x:f>
        <x:v>INTERNAL</x:v>
      </x:c>
      <x:c r="Q126" s="36" t="str"/>
      <x:c r="R126" s="44" t="n">
        <x:v>46260.49269675926</x:v>
      </x:c>
      <x:c r="S126" s="44" t="n">
        <x:v>46260.53633101852</x:v>
      </x:c>
      <x:c r="T126" s="36" t="str">
        <x:v>59 min 27s</x:v>
      </x:c>
      <x:c r="U126" s="36" t="str">
        <x:v>Organizador</x:v>
      </x:c>
      <x:c r="V126" s="36" t="str">
        <x:v>lrey@controlunion.com</x:v>
      </x:c>
      <x:c r="W126" s="36" t="str">
        <x:v>lrey@pcugroup.com</x:v>
      </x:c>
      <x:c r="X126" s="36" t="str"/>
    </x:row>
    <x:row r="127">
      <x:c r="A127" s="36" t="str">
        <x:v>Internal - Control Union / Peterson</x:v>
      </x:c>
      <x:c r="B127" s="36" t="str">
        <x:v>Francisco Capoulat</x:v>
      </x:c>
      <x:c r="C127" s="36" t="str">
        <x:v>fcapoulat@onepeterson.com</x:v>
      </x:c>
      <x:c r="D127" s="36" t="str"/>
      <x:c r="E127" s="36" t="str"/>
      <x:c r="F127" s="36" t="str"/>
      <x:c r="G127" s="38" t="n">
        <x:v>62.22</x:v>
      </x:c>
      <x:c r="H127" s="38" t="n">
        <x:v>3</x:v>
      </x:c>
      <x:c r="I127" s="38" t="n">
        <x:f>IF(G127&gt;50,2,IF(G127&gt;30,1,0))</x:f>
        <x:v>2</x:v>
      </x:c>
      <x:c r="J127" s="38" t="n">
        <x:v>0</x:v>
      </x:c>
      <x:c r="K127" s="38" t="n">
        <x:v>0</x:v>
      </x:c>
      <x:c r="L127" s="38" t="n">
        <x:v>0</x:v>
      </x:c>
      <x:c r="M127" s="38" t="n">
        <x:v>0</x:v>
      </x:c>
      <x:c r="N127" s="38" t="n">
        <x:f>SUM(J127:M127)</x:f>
        <x:v>0</x:v>
      </x:c>
      <x:c r="O127" s="38" t="n">
        <x:f>H127+I127+N127</x:f>
        <x:v>5</x:v>
      </x:c>
      <x:c r="P127" s="36" t="str">
        <x:f>IF(A127="Internal - Control Union / Peterson","INTERNAL",IF(O127&gt;=8,"HOT",IF(O127&gt;=5,"WARM","COLD")))</x:f>
        <x:v>INTERNAL</x:v>
      </x:c>
      <x:c r="Q127" s="36" t="str"/>
      <x:c r="R127" s="44" t="n">
        <x:v>46260.49434027778</x:v>
      </x:c>
      <x:c r="S127" s="44" t="n">
        <x:v>46260.5375462963</x:v>
      </x:c>
      <x:c r="T127" s="36" t="str">
        <x:v>1 h 2 min 13s</x:v>
      </x:c>
      <x:c r="U127" s="36" t="str">
        <x:v>Organizador</x:v>
      </x:c>
      <x:c r="V127" s="36" t="str">
        <x:v>fcapoulat@onepeterson.com</x:v>
      </x:c>
      <x:c r="W127" s="36" t="str">
        <x:v>fcapoulat@pcugroup.com</x:v>
      </x:c>
      <x:c r="X127" s="36" t="str"/>
    </x:row>
    <x:row r="128">
      <x:c r="A128" s="36" t="str">
        <x:v>Internal - Control Union / Peterson</x:v>
      </x:c>
      <x:c r="B128" s="36" t="str">
        <x:v>Martin Dacharry</x:v>
      </x:c>
      <x:c r="C128" s="36" t="str">
        <x:v>mdacharry@onepeterson.com</x:v>
      </x:c>
      <x:c r="D128" s="36" t="str">
        <x:v>mdacharry@onepeterson.com</x:v>
      </x:c>
      <x:c r="E128" s="36" t="str">
        <x:v>Peterson Solutions</x:v>
      </x:c>
      <x:c r="F128" s="36" t="str">
        <x:v>Argentina</x:v>
      </x:c>
      <x:c r="G128" s="38" t="n">
        <x:v>56.05</x:v>
      </x:c>
      <x:c r="H128" s="38" t="n">
        <x:v>3</x:v>
      </x:c>
      <x:c r="I128" s="38" t="n">
        <x:f>IF(G128&gt;50,2,IF(G128&gt;30,1,0))</x:f>
        <x:v>2</x:v>
      </x:c>
      <x:c r="J128" s="38" t="n">
        <x:v>0</x:v>
      </x:c>
      <x:c r="K128" s="38" t="n">
        <x:v>0</x:v>
      </x:c>
      <x:c r="L128" s="38" t="n">
        <x:v>0</x:v>
      </x:c>
      <x:c r="M128" s="38" t="n">
        <x:v>0</x:v>
      </x:c>
      <x:c r="N128" s="38" t="n">
        <x:f>SUM(J128:M128)</x:f>
        <x:v>0</x:v>
      </x:c>
      <x:c r="O128" s="38" t="n">
        <x:f>H128+I128+N128</x:f>
        <x:v>5</x:v>
      </x:c>
      <x:c r="P128" s="36" t="str">
        <x:f>IF(A128="Internal - Control Union / Peterson","INTERNAL",IF(O128&gt;=8,"HOT",IF(O128&gt;=5,"WARM","COLD")))</x:f>
        <x:v>INTERNAL</x:v>
      </x:c>
      <x:c r="Q128" s="36" t="str"/>
      <x:c r="R128" s="44" t="n">
        <x:v>46260.49619212963</x:v>
      </x:c>
      <x:c r="S128" s="44" t="n">
        <x:v>46260.53511574074</x:v>
      </x:c>
      <x:c r="T128" s="36" t="str">
        <x:v>56 min 3s</x:v>
      </x:c>
      <x:c r="U128" s="36" t="str">
        <x:v>Asistente</x:v>
      </x:c>
      <x:c r="V128" s="36" t="str">
        <x:v>mdacharry@onepeterson.com</x:v>
      </x:c>
      <x:c r="W128" s="36" t="str">
        <x:v>mdacharry@pcugroup.com</x:v>
      </x:c>
      <x:c r="X128" s="36" t="str"/>
    </x:row>
    <x:row r="129">
      <x:c r="A129" s="36" t="str">
        <x:v>Internal - Control Union / Peterson</x:v>
      </x:c>
      <x:c r="B129" s="36" t="str">
        <x:v>Tomas Palacios</x:v>
      </x:c>
      <x:c r="C129" s="36" t="str">
        <x:v>tpalacios@controlunion.com</x:v>
      </x:c>
      <x:c r="D129" s="36" t="str">
        <x:v>tpalacios@controlunion.com</x:v>
      </x:c>
      <x:c r="E129" s="36" t="str">
        <x:v>CU Arg</x:v>
      </x:c>
      <x:c r="F129" s="36" t="str">
        <x:v>Arg</x:v>
      </x:c>
      <x:c r="G129" s="38" t="n">
        <x:v>55.17</x:v>
      </x:c>
      <x:c r="H129" s="38" t="n">
        <x:v>3</x:v>
      </x:c>
      <x:c r="I129" s="38" t="n">
        <x:f>IF(G129&gt;50,2,IF(G129&gt;30,1,0))</x:f>
        <x:v>2</x:v>
      </x:c>
      <x:c r="J129" s="38" t="n">
        <x:v>0</x:v>
      </x:c>
      <x:c r="K129" s="38" t="n">
        <x:v>0</x:v>
      </x:c>
      <x:c r="L129" s="38" t="n">
        <x:v>0</x:v>
      </x:c>
      <x:c r="M129" s="38" t="n">
        <x:v>0</x:v>
      </x:c>
      <x:c r="N129" s="38" t="n">
        <x:f>SUM(J129:M129)</x:f>
        <x:v>0</x:v>
      </x:c>
      <x:c r="O129" s="38" t="n">
        <x:f>H129+I129+N129</x:f>
        <x:v>5</x:v>
      </x:c>
      <x:c r="P129" s="36" t="str">
        <x:f>IF(A129="Internal - Control Union / Peterson","INTERNAL",IF(O129&gt;=8,"HOT",IF(O129&gt;=5,"WARM","COLD")))</x:f>
        <x:v>INTERNAL</x:v>
      </x:c>
      <x:c r="Q129" s="36" t="str"/>
      <x:c r="R129" s="44" t="n">
        <x:v>46260.49533564815</x:v>
      </x:c>
      <x:c r="S129" s="44" t="n">
        <x:v>46260.53365740741</x:v>
      </x:c>
      <x:c r="T129" s="36" t="str">
        <x:v>55 min 10s</x:v>
      </x:c>
      <x:c r="U129" s="36" t="str">
        <x:v>Asistente</x:v>
      </x:c>
      <x:c r="V129" s="36" t="str">
        <x:v>tpalacios@controlunion.com</x:v>
      </x:c>
      <x:c r="W129" s="36" t="str">
        <x:v>tpalacios@pcugroup.com</x:v>
      </x:c>
      <x:c r="X129" s="36" t="str"/>
    </x:row>
    <x:row r="130">
      <x:c r="A130" s="36" t="str">
        <x:v>Internal - Control Union / Peterson</x:v>
      </x:c>
      <x:c r="B130" s="36" t="str">
        <x:v>Gonzalo Viale</x:v>
      </x:c>
      <x:c r="C130" s="36" t="str">
        <x:v>gviale@controlunion.com</x:v>
      </x:c>
      <x:c r="D130" s="36" t="str">
        <x:v>gviale@controlunion.com</x:v>
      </x:c>
      <x:c r="E130" s="36" t="str">
        <x:v>Control Union Argentina S.A.</x:v>
      </x:c>
      <x:c r="F130" s="36" t="str">
        <x:v>Argentina</x:v>
      </x:c>
      <x:c r="G130" s="38" t="n">
        <x:v>54.78</x:v>
      </x:c>
      <x:c r="H130" s="38" t="n">
        <x:v>3</x:v>
      </x:c>
      <x:c r="I130" s="38" t="n">
        <x:f>IF(G130&gt;50,2,IF(G130&gt;30,1,0))</x:f>
        <x:v>2</x:v>
      </x:c>
      <x:c r="J130" s="38" t="n">
        <x:v>0</x:v>
      </x:c>
      <x:c r="K130" s="38" t="n">
        <x:v>0</x:v>
      </x:c>
      <x:c r="L130" s="38" t="n">
        <x:v>0</x:v>
      </x:c>
      <x:c r="M130" s="38" t="n">
        <x:v>0</x:v>
      </x:c>
      <x:c r="N130" s="38" t="n">
        <x:f>SUM(J130:M130)</x:f>
        <x:v>0</x:v>
      </x:c>
      <x:c r="O130" s="38" t="n">
        <x:f>H130+I130+N130</x:f>
        <x:v>5</x:v>
      </x:c>
      <x:c r="P130" s="36" t="str">
        <x:f>IF(A130="Internal - Control Union / Peterson","INTERNAL",IF(O130&gt;=8,"HOT",IF(O130&gt;=5,"WARM","COLD")))</x:f>
        <x:v>INTERNAL</x:v>
      </x:c>
      <x:c r="Q130" s="36" t="str"/>
      <x:c r="R130" s="44" t="n">
        <x:v>46260.498819444445</x:v>
      </x:c>
      <x:c r="S130" s="44" t="n">
        <x:v>46260.53686342593</x:v>
      </x:c>
      <x:c r="T130" s="36" t="str">
        <x:v>54 min 47s</x:v>
      </x:c>
      <x:c r="U130" s="36" t="str">
        <x:v>Asistente</x:v>
      </x:c>
      <x:c r="V130" s="36" t="str">
        <x:v>gviale@controlunion.com</x:v>
      </x:c>
      <x:c r="W130" s="36" t="str">
        <x:v>gviale@pcugroup.com</x:v>
      </x:c>
      <x:c r="X130" s="36" t="str"/>
    </x:row>
    <x:row r="131">
      <x:c r="A131" s="36" t="str">
        <x:v>Internal - Control Union / Peterson</x:v>
      </x:c>
      <x:c r="B131" s="36" t="str">
        <x:v>Karen Ponieman</x:v>
      </x:c>
      <x:c r="C131" s="36" t="str">
        <x:v>kponieman@controlunion.com</x:v>
      </x:c>
      <x:c r="D131" s="36" t="str">
        <x:v>kponieman@controlunion.com</x:v>
      </x:c>
      <x:c r="E131" s="36" t="str">
        <x:v>Control Union</x:v>
      </x:c>
      <x:c r="F131" s="36" t="str">
        <x:v>Argentina</x:v>
      </x:c>
      <x:c r="G131" s="38" t="n">
        <x:v>53.45</x:v>
      </x:c>
      <x:c r="H131" s="38" t="n">
        <x:v>3</x:v>
      </x:c>
      <x:c r="I131" s="38" t="n">
        <x:f>IF(G131&gt;50,2,IF(G131&gt;30,1,0))</x:f>
        <x:v>2</x:v>
      </x:c>
      <x:c r="J131" s="38" t="n">
        <x:v>0</x:v>
      </x:c>
      <x:c r="K131" s="38" t="n">
        <x:v>0</x:v>
      </x:c>
      <x:c r="L131" s="38" t="n">
        <x:v>0</x:v>
      </x:c>
      <x:c r="M131" s="38" t="n">
        <x:v>0</x:v>
      </x:c>
      <x:c r="N131" s="38" t="n">
        <x:f>SUM(J131:M131)</x:f>
        <x:v>0</x:v>
      </x:c>
      <x:c r="O131" s="38" t="n">
        <x:f>H131+I131+N131</x:f>
        <x:v>5</x:v>
      </x:c>
      <x:c r="P131" s="36" t="str">
        <x:f>IF(A131="Internal - Control Union / Peterson","INTERNAL",IF(O131&gt;=8,"HOT",IF(O131&gt;=5,"WARM","COLD")))</x:f>
        <x:v>INTERNAL</x:v>
      </x:c>
      <x:c r="Q131" s="36" t="str"/>
      <x:c r="R131" s="44" t="n">
        <x:v>46260.49744212963</x:v>
      </x:c>
      <x:c r="S131" s="44" t="n">
        <x:v>46260.53456018519</x:v>
      </x:c>
      <x:c r="T131" s="36" t="str">
        <x:v>53 min 27s</x:v>
      </x:c>
      <x:c r="U131" s="36" t="str">
        <x:v>Asistente</x:v>
      </x:c>
      <x:c r="V131" s="36" t="str">
        <x:v>kponieman@controlunion.com</x:v>
      </x:c>
      <x:c r="W131" s="36" t="str">
        <x:v>kponieman@pcugroup.com</x:v>
      </x:c>
      <x:c r="X131" s="36" t="str"/>
    </x:row>
    <x:row r="132">
      <x:c r="A132" s="36" t="str">
        <x:v>Internal - Control Union / Peterson</x:v>
      </x:c>
      <x:c r="B132" s="36" t="str">
        <x:v>Diego Cybulka</x:v>
      </x:c>
      <x:c r="C132" s="36" t="str">
        <x:v>dcybulka@controlunion.com</x:v>
      </x:c>
      <x:c r="D132" s="36" t="str">
        <x:v>dcybulka@onepeterson.com</x:v>
      </x:c>
      <x:c r="E132" s="36" t="str">
        <x:v>Peterson Solutions (Americas)</x:v>
      </x:c>
      <x:c r="F132" s="36" t="str">
        <x:v>Argentina</x:v>
      </x:c>
      <x:c r="G132" s="38" t="n">
        <x:v>52.13</x:v>
      </x:c>
      <x:c r="H132" s="38" t="n">
        <x:v>3</x:v>
      </x:c>
      <x:c r="I132" s="38" t="n">
        <x:f>IF(G132&gt;50,2,IF(G132&gt;30,1,0))</x:f>
        <x:v>2</x:v>
      </x:c>
      <x:c r="J132" s="38" t="n">
        <x:v>0</x:v>
      </x:c>
      <x:c r="K132" s="38" t="n">
        <x:v>0</x:v>
      </x:c>
      <x:c r="L132" s="38" t="n">
        <x:v>0</x:v>
      </x:c>
      <x:c r="M132" s="38" t="n">
        <x:v>0</x:v>
      </x:c>
      <x:c r="N132" s="38" t="n">
        <x:f>SUM(J132:M132)</x:f>
        <x:v>0</x:v>
      </x:c>
      <x:c r="O132" s="38" t="n">
        <x:f>H132+I132+N132</x:f>
        <x:v>5</x:v>
      </x:c>
      <x:c r="P132" s="36" t="str">
        <x:f>IF(A132="Internal - Control Union / Peterson","INTERNAL",IF(O132&gt;=8,"HOT",IF(O132&gt;=5,"WARM","COLD")))</x:f>
        <x:v>INTERNAL</x:v>
      </x:c>
      <x:c r="Q132" s="36" t="str"/>
      <x:c r="R132" s="44" t="n">
        <x:v>46260.50038194445</x:v>
      </x:c>
      <x:c r="S132" s="44" t="n">
        <x:v>46260.53658564815</x:v>
      </x:c>
      <x:c r="T132" s="36" t="str">
        <x:v>52 min 8s</x:v>
      </x:c>
      <x:c r="U132" s="36" t="str">
        <x:v>Asistente</x:v>
      </x:c>
      <x:c r="V132" s="36" t="str">
        <x:v>dcybulka@controlunion.com</x:v>
      </x:c>
      <x:c r="W132" s="36" t="str">
        <x:v>dcybulka@pcugroup.com</x:v>
      </x:c>
      <x:c r="X132" s="36" t="str">
        <x:v>Teams identity email differs from registration email.</x:v>
      </x:c>
    </x:row>
    <x:row r="133">
      <x:c r="A133" s="36" t="str">
        <x:v>Internal - Control Union / Peterson</x:v>
      </x:c>
      <x:c r="B133" s="36" t="str">
        <x:v>Camila Amigo</x:v>
      </x:c>
      <x:c r="C133" s="36" t="str">
        <x:v>camigo@onepeterson.com</x:v>
      </x:c>
      <x:c r="D133" s="36" t="str">
        <x:v>camigo@onepeterson.com</x:v>
      </x:c>
      <x:c r="E133" s="36" t="str">
        <x:v>Peterson solutions</x:v>
      </x:c>
      <x:c r="F133" s="36" t="str">
        <x:v>Argentina</x:v>
      </x:c>
      <x:c r="G133" s="38" t="n">
        <x:v>50.18</x:v>
      </x:c>
      <x:c r="H133" s="38" t="n">
        <x:v>3</x:v>
      </x:c>
      <x:c r="I133" s="38" t="n">
        <x:f>IF(G133&gt;50,2,IF(G133&gt;30,1,0))</x:f>
        <x:v>2</x:v>
      </x:c>
      <x:c r="J133" s="38" t="n">
        <x:v>0</x:v>
      </x:c>
      <x:c r="K133" s="38" t="n">
        <x:v>0</x:v>
      </x:c>
      <x:c r="L133" s="38" t="n">
        <x:v>0</x:v>
      </x:c>
      <x:c r="M133" s="38" t="n">
        <x:v>0</x:v>
      </x:c>
      <x:c r="N133" s="38" t="n">
        <x:f>SUM(J133:M133)</x:f>
        <x:v>0</x:v>
      </x:c>
      <x:c r="O133" s="38" t="n">
        <x:f>H133+I133+N133</x:f>
        <x:v>5</x:v>
      </x:c>
      <x:c r="P133" s="36" t="str">
        <x:f>IF(A133="Internal - Control Union / Peterson","INTERNAL",IF(O133&gt;=8,"HOT",IF(O133&gt;=5,"WARM","COLD")))</x:f>
        <x:v>INTERNAL</x:v>
      </x:c>
      <x:c r="Q133" s="36" t="str"/>
      <x:c r="R133" s="44" t="n">
        <x:v>46260.49789351852</x:v>
      </x:c>
      <x:c r="S133" s="44" t="n">
        <x:v>46260.53275462963</x:v>
      </x:c>
      <x:c r="T133" s="36" t="str">
        <x:v>50 min 11s</x:v>
      </x:c>
      <x:c r="U133" s="36" t="str">
        <x:v>Asistente</x:v>
      </x:c>
      <x:c r="V133" s="36" t="str">
        <x:v>camigo@onepeterson.com</x:v>
      </x:c>
      <x:c r="W133" s="36" t="str">
        <x:v>camigo@pcugroup.com</x:v>
      </x:c>
      <x:c r="X133" s="36" t="str"/>
    </x:row>
    <x:row r="134">
      <x:c r="A134" s="36" t="str">
        <x:v>Internal - Control Union / Peterson</x:v>
      </x:c>
      <x:c r="B134" s="36" t="str">
        <x:v>Carlos Rainero</x:v>
      </x:c>
      <x:c r="C134" s="36" t="str">
        <x:v>crainero@controlunion.com</x:v>
      </x:c>
      <x:c r="D134" s="36" t="str">
        <x:v>crainero@controlunion.com</x:v>
      </x:c>
      <x:c r="E134" s="36" t="str">
        <x:v>cu canada</x:v>
      </x:c>
      <x:c r="F134" s="36" t="str">
        <x:v>Canada</x:v>
      </x:c>
      <x:c r="G134" s="38" t="n">
        <x:v>49.67</x:v>
      </x:c>
      <x:c r="H134" s="38" t="n">
        <x:v>3</x:v>
      </x:c>
      <x:c r="I134" s="38" t="n">
        <x:f>IF(G134&gt;50,2,IF(G134&gt;30,1,0))</x:f>
        <x:v>1</x:v>
      </x:c>
      <x:c r="J134" s="38" t="n">
        <x:v>0</x:v>
      </x:c>
      <x:c r="K134" s="38" t="n">
        <x:v>0</x:v>
      </x:c>
      <x:c r="L134" s="38" t="n">
        <x:v>0</x:v>
      </x:c>
      <x:c r="M134" s="38" t="n">
        <x:v>1</x:v>
      </x:c>
      <x:c r="N134" s="38" t="n">
        <x:f>SUM(J134:M134)</x:f>
        <x:v>1</x:v>
      </x:c>
      <x:c r="O134" s="38" t="n">
        <x:f>H134+I134+N134</x:f>
        <x:v>5</x:v>
      </x:c>
      <x:c r="P134" s="36" t="str">
        <x:f>IF(A134="Internal - Control Union / Peterson","INTERNAL",IF(O134&gt;=8,"HOT",IF(O134&gt;=5,"WARM","COLD")))</x:f>
        <x:v>INTERNAL</x:v>
      </x:c>
      <x:c r="Q134" s="36" t="str"/>
      <x:c r="R134" s="44" t="n">
        <x:v>46260.50271990741</x:v>
      </x:c>
      <x:c r="S134" s="44" t="n">
        <x:v>46260.53722222222</x:v>
      </x:c>
      <x:c r="T134" s="36" t="str">
        <x:v>49 min 40s</x:v>
      </x:c>
      <x:c r="U134" s="36" t="str">
        <x:v>Asistente</x:v>
      </x:c>
      <x:c r="V134" s="36" t="str">
        <x:v>crainero@controlunion.com</x:v>
      </x:c>
      <x:c r="W134" s="36" t="str">
        <x:v>crainero@pcugroup.com</x:v>
      </x:c>
      <x:c r="X134" s="36" t="str"/>
    </x:row>
    <x:row r="135">
      <x:c r="A135" s="36" t="str">
        <x:v>Internal - Control Union / Peterson</x:v>
      </x:c>
      <x:c r="B135" s="36" t="str">
        <x:v>Juan Ignacio Galperin</x:v>
      </x:c>
      <x:c r="C135" s="36" t="str">
        <x:v>jgalperin@controlunion.com</x:v>
      </x:c>
      <x:c r="D135" s="36" t="str">
        <x:v>jgalperin@controlunion.com</x:v>
      </x:c>
      <x:c r="E135" s="36" t="str">
        <x:v>Control Union Argentina S.A.</x:v>
      </x:c>
      <x:c r="F135" s="36" t="str">
        <x:v>Argentina</x:v>
      </x:c>
      <x:c r="G135" s="38" t="n">
        <x:v>47.27</x:v>
      </x:c>
      <x:c r="H135" s="38" t="n">
        <x:v>3</x:v>
      </x:c>
      <x:c r="I135" s="38" t="n">
        <x:f>IF(G135&gt;50,2,IF(G135&gt;30,1,0))</x:f>
        <x:v>1</x:v>
      </x:c>
      <x:c r="J135" s="38" t="n">
        <x:v>0</x:v>
      </x:c>
      <x:c r="K135" s="38" t="n">
        <x:v>0</x:v>
      </x:c>
      <x:c r="L135" s="38" t="n">
        <x:v>1</x:v>
      </x:c>
      <x:c r="M135" s="38" t="n">
        <x:v>0</x:v>
      </x:c>
      <x:c r="N135" s="38" t="n">
        <x:f>SUM(J135:M135)</x:f>
        <x:v>1</x:v>
      </x:c>
      <x:c r="O135" s="38" t="n">
        <x:f>H135+I135+N135</x:f>
        <x:v>5</x:v>
      </x:c>
      <x:c r="P135" s="36" t="str">
        <x:f>IF(A135="Internal - Control Union / Peterson","INTERNAL",IF(O135&gt;=8,"HOT",IF(O135&gt;=5,"WARM","COLD")))</x:f>
        <x:v>INTERNAL</x:v>
      </x:c>
      <x:c r="Q135" s="36" t="str"/>
      <x:c r="R135" s="44" t="n">
        <x:v>46260.50096064815</x:v>
      </x:c>
      <x:c r="S135" s="44" t="n">
        <x:v>46260.533784722225</x:v>
      </x:c>
      <x:c r="T135" s="36" t="str">
        <x:v>47 min 16s</x:v>
      </x:c>
      <x:c r="U135" s="36" t="str">
        <x:v>Asistente</x:v>
      </x:c>
      <x:c r="V135" s="36" t="str">
        <x:v>jgalperin@controlunion.com</x:v>
      </x:c>
      <x:c r="W135" s="36" t="str">
        <x:v>jgalperin@pcugroup.com</x:v>
      </x:c>
      <x:c r="X135" s="36" t="str"/>
    </x:row>
    <x:row r="136">
      <x:c r="A136" s="36" t="str">
        <x:v>Internal - Control Union / Peterson</x:v>
      </x:c>
      <x:c r="B136" s="36" t="str">
        <x:v>Juan Martin Giordano</x:v>
      </x:c>
      <x:c r="C136" s="36" t="str">
        <x:v>jmgiordano@onepeterson.com</x:v>
      </x:c>
      <x:c r="D136" s="36" t="str">
        <x:v>jmgiordano@onepeterson.com</x:v>
      </x:c>
      <x:c r="E136" s="36" t="str">
        <x:v>Peterson Solutions</x:v>
      </x:c>
      <x:c r="F136" s="36" t="str">
        <x:v>Argentina</x:v>
      </x:c>
      <x:c r="G136" s="38" t="n">
        <x:v>44.82</x:v>
      </x:c>
      <x:c r="H136" s="38" t="n">
        <x:v>3</x:v>
      </x:c>
      <x:c r="I136" s="38" t="n">
        <x:f>IF(G136&gt;50,2,IF(G136&gt;30,1,0))</x:f>
        <x:v>1</x:v>
      </x:c>
      <x:c r="J136" s="38" t="n">
        <x:v>0</x:v>
      </x:c>
      <x:c r="K136" s="38" t="n">
        <x:v>0</x:v>
      </x:c>
      <x:c r="L136" s="38" t="n">
        <x:v>0</x:v>
      </x:c>
      <x:c r="M136" s="38" t="n">
        <x:v>1</x:v>
      </x:c>
      <x:c r="N136" s="38" t="n">
        <x:f>SUM(J136:M136)</x:f>
        <x:v>1</x:v>
      </x:c>
      <x:c r="O136" s="38" t="n">
        <x:f>H136+I136+N136</x:f>
        <x:v>5</x:v>
      </x:c>
      <x:c r="P136" s="36" t="str">
        <x:f>IF(A136="Internal - Control Union / Peterson","INTERNAL",IF(O136&gt;=8,"HOT",IF(O136&gt;=5,"WARM","COLD")))</x:f>
        <x:v>INTERNAL</x:v>
      </x:c>
      <x:c r="Q136" s="36" t="str"/>
      <x:c r="R136" s="44" t="n">
        <x:v>46260.50270833333</x:v>
      </x:c>
      <x:c r="S136" s="44" t="n">
        <x:v>46260.533842592595</x:v>
      </x:c>
      <x:c r="T136" s="36" t="str">
        <x:v>44 min 49s</x:v>
      </x:c>
      <x:c r="U136" s="36" t="str">
        <x:v>Asistente</x:v>
      </x:c>
      <x:c r="V136" s="36" t="str">
        <x:v>jmgiordano@onepeterson.com</x:v>
      </x:c>
      <x:c r="W136" s="36" t="str">
        <x:v>jmgiordano@pcugroup.com</x:v>
      </x:c>
      <x:c r="X136" s="36" t="str"/>
    </x:row>
    <x:row r="137">
      <x:c r="A137" s="36" t="str">
        <x:v>Internal - Control Union / Peterson</x:v>
      </x:c>
      <x:c r="B137" s="36" t="str">
        <x:v>Paula Ochoa</x:v>
      </x:c>
      <x:c r="C137" s="36" t="str">
        <x:v>pochoa@controlunion.com</x:v>
      </x:c>
      <x:c r="D137" s="36" t="str">
        <x:v>pochoa@controlunion.com</x:v>
      </x:c>
      <x:c r="E137" s="36" t="str">
        <x:v>Control Union</x:v>
      </x:c>
      <x:c r="F137" s="36" t="str">
        <x:v>Colombia</x:v>
      </x:c>
      <x:c r="G137" s="38" t="n">
        <x:v>44.67</x:v>
      </x:c>
      <x:c r="H137" s="38" t="n">
        <x:v>3</x:v>
      </x:c>
      <x:c r="I137" s="38" t="n">
        <x:f>IF(G137&gt;50,2,IF(G137&gt;30,1,0))</x:f>
        <x:v>1</x:v>
      </x:c>
      <x:c r="J137" s="38" t="n">
        <x:v>0</x:v>
      </x:c>
      <x:c r="K137" s="38" t="n">
        <x:v>0</x:v>
      </x:c>
      <x:c r="L137" s="38" t="n">
        <x:v>0</x:v>
      </x:c>
      <x:c r="M137" s="38" t="n">
        <x:v>1</x:v>
      </x:c>
      <x:c r="N137" s="38" t="n">
        <x:f>SUM(J137:M137)</x:f>
        <x:v>1</x:v>
      </x:c>
      <x:c r="O137" s="38" t="n">
        <x:f>H137+I137+N137</x:f>
        <x:v>5</x:v>
      </x:c>
      <x:c r="P137" s="36" t="str">
        <x:f>IF(A137="Internal - Control Union / Peterson","INTERNAL",IF(O137&gt;=8,"HOT",IF(O137&gt;=5,"WARM","COLD")))</x:f>
        <x:v>INTERNAL</x:v>
      </x:c>
      <x:c r="Q137" s="36" t="str"/>
      <x:c r="R137" s="44" t="n">
        <x:v>46260.50270833333</x:v>
      </x:c>
      <x:c r="S137" s="44" t="n">
        <x:v>46260.533738425926</x:v>
      </x:c>
      <x:c r="T137" s="36" t="str">
        <x:v>44 min 40s</x:v>
      </x:c>
      <x:c r="U137" s="36" t="str">
        <x:v>Asistente</x:v>
      </x:c>
      <x:c r="V137" s="36" t="str">
        <x:v>pochoa@controlunion.com</x:v>
      </x:c>
      <x:c r="W137" s="36" t="str">
        <x:v>pochoa@pcugroup.com</x:v>
      </x:c>
      <x:c r="X137" s="36" t="str"/>
    </x:row>
    <x:row r="138">
      <x:c r="A138" s="36" t="str">
        <x:v>Internal - Control Union / Peterson</x:v>
      </x:c>
      <x:c r="B138" s="36" t="str">
        <x:v>Juliana Gilardoni</x:v>
      </x:c>
      <x:c r="C138" s="36" t="str">
        <x:v>jgilardoni@controlunion.com</x:v>
      </x:c>
      <x:c r="D138" s="36" t="str">
        <x:v>jgilardoni@controlunion.com</x:v>
      </x:c>
      <x:c r="E138" s="36" t="str">
        <x:v>Control Union Argentina</x:v>
      </x:c>
      <x:c r="F138" s="36" t="str">
        <x:v>Argentina</x:v>
      </x:c>
      <x:c r="G138" s="38" t="n">
        <x:v>43.57</x:v>
      </x:c>
      <x:c r="H138" s="38" t="n">
        <x:v>3</x:v>
      </x:c>
      <x:c r="I138" s="38" t="n">
        <x:f>IF(G138&gt;50,2,IF(G138&gt;30,1,0))</x:f>
        <x:v>1</x:v>
      </x:c>
      <x:c r="J138" s="38" t="n">
        <x:v>0</x:v>
      </x:c>
      <x:c r="K138" s="38" t="n">
        <x:v>0</x:v>
      </x:c>
      <x:c r="L138" s="38" t="n">
        <x:v>1</x:v>
      </x:c>
      <x:c r="M138" s="38" t="n">
        <x:v>0</x:v>
      </x:c>
      <x:c r="N138" s="38" t="n">
        <x:f>SUM(J138:M138)</x:f>
        <x:v>1</x:v>
      </x:c>
      <x:c r="O138" s="38" t="n">
        <x:f>H138+I138+N138</x:f>
        <x:v>5</x:v>
      </x:c>
      <x:c r="P138" s="36" t="str">
        <x:f>IF(A138="Internal - Control Union / Peterson","INTERNAL",IF(O138&gt;=8,"HOT",IF(O138&gt;=5,"WARM","COLD")))</x:f>
        <x:v>INTERNAL</x:v>
      </x:c>
      <x:c r="Q138" s="36" t="str"/>
      <x:c r="R138" s="44" t="n">
        <x:v>46260.49914351852</x:v>
      </x:c>
      <x:c r="S138" s="44" t="n">
        <x:v>46260.529398148145</x:v>
      </x:c>
      <x:c r="T138" s="36" t="str">
        <x:v>43 min 34s</x:v>
      </x:c>
      <x:c r="U138" s="36" t="str">
        <x:v>Asistente</x:v>
      </x:c>
      <x:c r="V138" s="36" t="str">
        <x:v>jgilardoni@controlunion.com</x:v>
      </x:c>
      <x:c r="W138" s="36" t="str">
        <x:v>jgilardoni@pcugroup.com</x:v>
      </x:c>
      <x:c r="X138" s="36" t="str"/>
    </x:row>
    <x:row r="139">
      <x:c r="A139" s="36" t="str">
        <x:v>Internal - Control Union / Peterson</x:v>
      </x:c>
      <x:c r="B139" s="36" t="str">
        <x:v>Adolfo Boll Morelli (OnePeterson)</x:v>
      </x:c>
      <x:c r="C139" s="36" t="str">
        <x:v>aboll@onepeterson.com</x:v>
      </x:c>
      <x:c r="D139" s="36" t="str">
        <x:v>aboll@onepeterson.com</x:v>
      </x:c>
      <x:c r="E139" s="36" t="str">
        <x:v>Peterson Solutions</x:v>
      </x:c>
      <x:c r="F139" s="36" t="str">
        <x:v>Argentina</x:v>
      </x:c>
      <x:c r="G139" s="38" t="n">
        <x:v>43.02</x:v>
      </x:c>
      <x:c r="H139" s="38" t="n">
        <x:v>3</x:v>
      </x:c>
      <x:c r="I139" s="38" t="n">
        <x:f>IF(G139&gt;50,2,IF(G139&gt;30,1,0))</x:f>
        <x:v>1</x:v>
      </x:c>
      <x:c r="J139" s="38" t="n">
        <x:v>0</x:v>
      </x:c>
      <x:c r="K139" s="38" t="n">
        <x:v>0</x:v>
      </x:c>
      <x:c r="L139" s="38" t="n">
        <x:v>0</x:v>
      </x:c>
      <x:c r="M139" s="38" t="n">
        <x:v>1</x:v>
      </x:c>
      <x:c r="N139" s="38" t="n">
        <x:f>SUM(J139:M139)</x:f>
        <x:v>1</x:v>
      </x:c>
      <x:c r="O139" s="38" t="n">
        <x:f>H139+I139+N139</x:f>
        <x:v>5</x:v>
      </x:c>
      <x:c r="P139" s="36" t="str">
        <x:f>IF(A139="Internal - Control Union / Peterson","INTERNAL",IF(O139&gt;=8,"HOT",IF(O139&gt;=5,"WARM","COLD")))</x:f>
        <x:v>INTERNAL</x:v>
      </x:c>
      <x:c r="Q139" s="36" t="str"/>
      <x:c r="R139" s="44" t="n">
        <x:v>46260.503912037035</x:v>
      </x:c>
      <x:c r="S139" s="44" t="n">
        <x:v>46260.533796296295</x:v>
      </x:c>
      <x:c r="T139" s="36" t="str">
        <x:v>43 min 1s</x:v>
      </x:c>
      <x:c r="U139" s="36" t="str">
        <x:v>Asistente</x:v>
      </x:c>
      <x:c r="V139" s="36" t="str">
        <x:v>aboll@onepeterson.com</x:v>
      </x:c>
      <x:c r="W139" s="36" t="str">
        <x:v>aboll2@pcugroup.com</x:v>
      </x:c>
      <x:c r="X139" s="36" t="str"/>
    </x:row>
    <x:row r="140">
      <x:c r="A140" s="36" t="str">
        <x:v>Internal - Control Union / Peterson</x:v>
      </x:c>
      <x:c r="B140" s="36" t="str">
        <x:v>María Camila Gaitán Vásquez</x:v>
      </x:c>
      <x:c r="C140" s="36" t="str">
        <x:v>mgaitan@onepeterson.com</x:v>
      </x:c>
      <x:c r="D140" s="36" t="str">
        <x:v>mgaitan@onepeterson.com</x:v>
      </x:c>
      <x:c r="E140" s="36" t="str">
        <x:v>Peterson Solutions</x:v>
      </x:c>
      <x:c r="F140" s="36" t="str">
        <x:v>Colombia / Chile</x:v>
      </x:c>
      <x:c r="G140" s="38" t="n">
        <x:v>35.07</x:v>
      </x:c>
      <x:c r="H140" s="38" t="n">
        <x:v>3</x:v>
      </x:c>
      <x:c r="I140" s="38" t="n">
        <x:f>IF(G140&gt;50,2,IF(G140&gt;30,1,0))</x:f>
        <x:v>1</x:v>
      </x:c>
      <x:c r="J140" s="38" t="n">
        <x:v>0</x:v>
      </x:c>
      <x:c r="K140" s="38" t="n">
        <x:v>0</x:v>
      </x:c>
      <x:c r="L140" s="38" t="n">
        <x:v>0</x:v>
      </x:c>
      <x:c r="M140" s="38" t="n">
        <x:v>1</x:v>
      </x:c>
      <x:c r="N140" s="38" t="n">
        <x:f>SUM(J140:M140)</x:f>
        <x:v>1</x:v>
      </x:c>
      <x:c r="O140" s="38" t="n">
        <x:f>H140+I140+N140</x:f>
        <x:v>5</x:v>
      </x:c>
      <x:c r="P140" s="36" t="str">
        <x:f>IF(A140="Internal - Control Union / Peterson","INTERNAL",IF(O140&gt;=8,"HOT",IF(O140&gt;=5,"WARM","COLD")))</x:f>
        <x:v>INTERNAL</x:v>
      </x:c>
      <x:c r="Q140" s="36" t="str"/>
      <x:c r="R140" s="44" t="n">
        <x:v>46260.5093287037</x:v>
      </x:c>
      <x:c r="S140" s="44" t="n">
        <x:v>46260.53369212963</x:v>
      </x:c>
      <x:c r="T140" s="36" t="str">
        <x:v>35 min 4s</x:v>
      </x:c>
      <x:c r="U140" s="36" t="str">
        <x:v>Asistente</x:v>
      </x:c>
      <x:c r="V140" s="36" t="str">
        <x:v>mgaitan@onepeterson.com</x:v>
      </x:c>
      <x:c r="W140" s="36" t="str">
        <x:v>mgaitan@pcugroup.com</x:v>
      </x:c>
      <x:c r="X140" s="36" t="str"/>
    </x:row>
    <x:row r="141">
      <x:c r="A141" s="36" t="str">
        <x:v>Internal - Control Union / Peterson</x:v>
      </x:c>
      <x:c r="B141" s="36" t="str">
        <x:v>Roxana Laynes</x:v>
      </x:c>
      <x:c r="C141" s="36" t="str">
        <x:v>rlaynes@controlunion.com</x:v>
      </x:c>
      <x:c r="D141" s="36" t="str">
        <x:v>rlaynes@controlunion.com</x:v>
      </x:c>
      <x:c r="E141" s="36" t="str">
        <x:v>Control Union</x:v>
      </x:c>
      <x:c r="F141" s="36" t="str">
        <x:v>Perú</x:v>
      </x:c>
      <x:c r="G141" s="38" t="n">
        <x:v>47.65</x:v>
      </x:c>
      <x:c r="H141" s="38" t="n">
        <x:v>3</x:v>
      </x:c>
      <x:c r="I141" s="38" t="n">
        <x:f>IF(G141&gt;50,2,IF(G141&gt;30,1,0))</x:f>
        <x:v>1</x:v>
      </x:c>
      <x:c r="J141" s="38" t="n">
        <x:v>0</x:v>
      </x:c>
      <x:c r="K141" s="38" t="n">
        <x:v>0</x:v>
      </x:c>
      <x:c r="L141" s="38" t="n">
        <x:v>0</x:v>
      </x:c>
      <x:c r="M141" s="38" t="n">
        <x:v>0</x:v>
      </x:c>
      <x:c r="N141" s="38" t="n">
        <x:f>SUM(J141:M141)</x:f>
        <x:v>0</x:v>
      </x:c>
      <x:c r="O141" s="38" t="n">
        <x:f>H141+I141+N141</x:f>
        <x:v>4</x:v>
      </x:c>
      <x:c r="P141" s="36" t="str">
        <x:f>IF(A141="Internal - Control Union / Peterson","INTERNAL",IF(O141&gt;=8,"HOT",IF(O141&gt;=5,"WARM","COLD")))</x:f>
        <x:v>INTERNAL</x:v>
      </x:c>
      <x:c r="Q141" s="36" t="str"/>
      <x:c r="R141" s="44" t="n">
        <x:v>46260.50063657408</x:v>
      </x:c>
      <x:c r="S141" s="44" t="n">
        <x:v>46260.533738425926</x:v>
      </x:c>
      <x:c r="T141" s="36" t="str">
        <x:v>47 min 39s</x:v>
      </x:c>
      <x:c r="U141" s="36" t="str">
        <x:v>Asistente</x:v>
      </x:c>
      <x:c r="V141" s="36" t="str">
        <x:v>rlaynes@controlunion.com</x:v>
      </x:c>
      <x:c r="W141" s="36" t="str">
        <x:v>rlaynes@pcugroup.com</x:v>
      </x:c>
      <x:c r="X141" s="36" t="str"/>
    </x:row>
    <x:row r="142">
      <x:c r="A142" s="36" t="str">
        <x:v>Internal - Control Union / Peterson</x:v>
      </x:c>
      <x:c r="B142" s="36" t="str">
        <x:v>Martin Gabriel Sorkin</x:v>
      </x:c>
      <x:c r="C142" s="36" t="str">
        <x:v>msorkin@controlunion.com</x:v>
      </x:c>
      <x:c r="D142" s="36" t="str">
        <x:v>msorkin@controlunion.com</x:v>
      </x:c>
      <x:c r="E142" s="36" t="str">
        <x:v>Control Union</x:v>
      </x:c>
      <x:c r="F142" s="36" t="str">
        <x:v>Argentina</x:v>
      </x:c>
      <x:c r="G142" s="38" t="n">
        <x:v>46.93</x:v>
      </x:c>
      <x:c r="H142" s="38" t="n">
        <x:v>3</x:v>
      </x:c>
      <x:c r="I142" s="38" t="n">
        <x:f>IF(G142&gt;50,2,IF(G142&gt;30,1,0))</x:f>
        <x:v>1</x:v>
      </x:c>
      <x:c r="J142" s="38" t="n">
        <x:v>0</x:v>
      </x:c>
      <x:c r="K142" s="38" t="n">
        <x:v>0</x:v>
      </x:c>
      <x:c r="L142" s="38" t="n">
        <x:v>0</x:v>
      </x:c>
      <x:c r="M142" s="38" t="n">
        <x:v>0</x:v>
      </x:c>
      <x:c r="N142" s="38" t="n">
        <x:f>SUM(J142:M142)</x:f>
        <x:v>0</x:v>
      </x:c>
      <x:c r="O142" s="38" t="n">
        <x:f>H142+I142+N142</x:f>
        <x:v>4</x:v>
      </x:c>
      <x:c r="P142" s="36" t="str">
        <x:f>IF(A142="Internal - Control Union / Peterson","INTERNAL",IF(O142&gt;=8,"HOT",IF(O142&gt;=5,"WARM","COLD")))</x:f>
        <x:v>INTERNAL</x:v>
      </x:c>
      <x:c r="Q142" s="36" t="str"/>
      <x:c r="R142" s="44" t="n">
        <x:v>46260.50113425926</x:v>
      </x:c>
      <x:c r="S142" s="44" t="n">
        <x:v>46260.53372685185</x:v>
      </x:c>
      <x:c r="T142" s="36" t="str">
        <x:v>46 min 56s</x:v>
      </x:c>
      <x:c r="U142" s="36" t="str">
        <x:v>Asistente</x:v>
      </x:c>
      <x:c r="V142" s="36" t="str">
        <x:v>msorkin@controlunion.com</x:v>
      </x:c>
      <x:c r="W142" s="36" t="str">
        <x:v>msorkin@pcugroup.com</x:v>
      </x:c>
      <x:c r="X142" s="36" t="str"/>
    </x:row>
    <x:row r="143">
      <x:c r="A143" s="36" t="str">
        <x:v>Internal - Control Union / Peterson</x:v>
      </x:c>
      <x:c r="B143" s="36" t="str">
        <x:v>Asuncion Marquez</x:v>
      </x:c>
      <x:c r="C143" s="36" t="str">
        <x:v>asmarquez@onepeterson.com</x:v>
      </x:c>
      <x:c r="D143" s="36" t="str">
        <x:v>asmarquez@onepeterson.com</x:v>
      </x:c>
      <x:c r="E143" s="36" t="str">
        <x:v>Peterson Solutions</x:v>
      </x:c>
      <x:c r="F143" s="36" t="str">
        <x:v>Argentina</x:v>
      </x:c>
      <x:c r="G143" s="38" t="n">
        <x:v>46.68</x:v>
      </x:c>
      <x:c r="H143" s="38" t="n">
        <x:v>3</x:v>
      </x:c>
      <x:c r="I143" s="38" t="n">
        <x:f>IF(G143&gt;50,2,IF(G143&gt;30,1,0))</x:f>
        <x:v>1</x:v>
      </x:c>
      <x:c r="J143" s="38" t="n">
        <x:v>0</x:v>
      </x:c>
      <x:c r="K143" s="38" t="n">
        <x:v>0</x:v>
      </x:c>
      <x:c r="L143" s="38" t="n">
        <x:v>0</x:v>
      </x:c>
      <x:c r="M143" s="38" t="n">
        <x:v>0</x:v>
      </x:c>
      <x:c r="N143" s="38" t="n">
        <x:f>SUM(J143:M143)</x:f>
        <x:v>0</x:v>
      </x:c>
      <x:c r="O143" s="38" t="n">
        <x:f>H143+I143+N143</x:f>
        <x:v>4</x:v>
      </x:c>
      <x:c r="P143" s="36" t="str">
        <x:f>IF(A143="Internal - Control Union / Peterson","INTERNAL",IF(O143&gt;=8,"HOT",IF(O143&gt;=5,"WARM","COLD")))</x:f>
        <x:v>INTERNAL</x:v>
      </x:c>
      <x:c r="Q143" s="36" t="str"/>
      <x:c r="R143" s="44" t="n">
        <x:v>46260.50127314815</x:v>
      </x:c>
      <x:c r="S143" s="44" t="n">
        <x:v>46260.53369212963</x:v>
      </x:c>
      <x:c r="T143" s="36" t="str">
        <x:v>46 min 41s</x:v>
      </x:c>
      <x:c r="U143" s="36" t="str">
        <x:v>Asistente</x:v>
      </x:c>
      <x:c r="V143" s="36" t="str">
        <x:v>asmarquez@onepeterson.com</x:v>
      </x:c>
      <x:c r="W143" s="36" t="str">
        <x:v>asmarquez@pcugroup.com</x:v>
      </x:c>
      <x:c r="X143" s="36" t="str"/>
    </x:row>
    <x:row r="144">
      <x:c r="A144" s="36" t="str">
        <x:v>Internal - Control Union / Peterson</x:v>
      </x:c>
      <x:c r="B144" s="36" t="str">
        <x:v>Angelina Juarez</x:v>
      </x:c>
      <x:c r="C144" s="36" t="str">
        <x:v>ajuarez@controlunion.com</x:v>
      </x:c>
      <x:c r="D144" s="36" t="str">
        <x:v>ajuarez@controlunion.com</x:v>
      </x:c>
      <x:c r="E144" s="36" t="str">
        <x:v>Control Union Argentina S.A.</x:v>
      </x:c>
      <x:c r="F144" s="36" t="str">
        <x:v>Argentina</x:v>
      </x:c>
      <x:c r="G144" s="38" t="n">
        <x:v>44.6</x:v>
      </x:c>
      <x:c r="H144" s="38" t="n">
        <x:v>3</x:v>
      </x:c>
      <x:c r="I144" s="38" t="n">
        <x:f>IF(G144&gt;50,2,IF(G144&gt;30,1,0))</x:f>
        <x:v>1</x:v>
      </x:c>
      <x:c r="J144" s="38" t="n">
        <x:v>0</x:v>
      </x:c>
      <x:c r="K144" s="38" t="n">
        <x:v>0</x:v>
      </x:c>
      <x:c r="L144" s="38" t="n">
        <x:v>0</x:v>
      </x:c>
      <x:c r="M144" s="38" t="n">
        <x:v>0</x:v>
      </x:c>
      <x:c r="N144" s="38" t="n">
        <x:f>SUM(J144:M144)</x:f>
        <x:v>0</x:v>
      </x:c>
      <x:c r="O144" s="38" t="n">
        <x:f>H144+I144+N144</x:f>
        <x:v>4</x:v>
      </x:c>
      <x:c r="P144" s="36" t="str">
        <x:f>IF(A144="Internal - Control Union / Peterson","INTERNAL",IF(O144&gt;=8,"HOT",IF(O144&gt;=5,"WARM","COLD")))</x:f>
        <x:v>INTERNAL</x:v>
      </x:c>
      <x:c r="Q144" s="36" t="str"/>
      <x:c r="R144" s="44" t="n">
        <x:v>46260.50270833333</x:v>
      </x:c>
      <x:c r="S144" s="44" t="n">
        <x:v>46260.53369212963</x:v>
      </x:c>
      <x:c r="T144" s="36" t="str">
        <x:v>44 min 36s</x:v>
      </x:c>
      <x:c r="U144" s="36" t="str">
        <x:v>Asistente</x:v>
      </x:c>
      <x:c r="V144" s="36" t="str">
        <x:v>ajuarez@controlunion.com</x:v>
      </x:c>
      <x:c r="W144" s="36" t="str">
        <x:v>ajuarez@pcugroup.com</x:v>
      </x:c>
      <x:c r="X144" s="36" t="str"/>
    </x:row>
    <x:row r="145">
      <x:c r="A145" s="36" t="str">
        <x:v>Internal - Control Union / Peterson</x:v>
      </x:c>
      <x:c r="B145" s="36" t="str">
        <x:v>Fausto Morresi</x:v>
      </x:c>
      <x:c r="C145" s="36" t="str">
        <x:v>fmorresi@controlunion.com</x:v>
      </x:c>
      <x:c r="D145" s="36" t="str">
        <x:v>fmorresi@controlunion.com</x:v>
      </x:c>
      <x:c r="E145" s="36" t="str">
        <x:v>Control Union</x:v>
      </x:c>
      <x:c r="F145" s="36" t="str">
        <x:v>Argentina</x:v>
      </x:c>
      <x:c r="G145" s="38" t="n">
        <x:v>43.63</x:v>
      </x:c>
      <x:c r="H145" s="38" t="n">
        <x:v>3</x:v>
      </x:c>
      <x:c r="I145" s="38" t="n">
        <x:f>IF(G145&gt;50,2,IF(G145&gt;30,1,0))</x:f>
        <x:v>1</x:v>
      </x:c>
      <x:c r="J145" s="38" t="n">
        <x:v>0</x:v>
      </x:c>
      <x:c r="K145" s="38" t="n">
        <x:v>0</x:v>
      </x:c>
      <x:c r="L145" s="38" t="n">
        <x:v>0</x:v>
      </x:c>
      <x:c r="M145" s="38" t="n">
        <x:v>0</x:v>
      </x:c>
      <x:c r="N145" s="38" t="n">
        <x:f>SUM(J145:M145)</x:f>
        <x:v>0</x:v>
      </x:c>
      <x:c r="O145" s="38" t="n">
        <x:f>H145+I145+N145</x:f>
        <x:v>4</x:v>
      </x:c>
      <x:c r="P145" s="36" t="str">
        <x:f>IF(A145="Internal - Control Union / Peterson","INTERNAL",IF(O145&gt;=8,"HOT",IF(O145&gt;=5,"WARM","COLD")))</x:f>
        <x:v>INTERNAL</x:v>
      </x:c>
      <x:c r="Q145" s="36" t="str"/>
      <x:c r="R145" s="44" t="n">
        <x:v>46260.49880787037</x:v>
      </x:c>
      <x:c r="S145" s="44" t="n">
        <x:v>46260.5291087963</x:v>
      </x:c>
      <x:c r="T145" s="36" t="str">
        <x:v>43 min 38s</x:v>
      </x:c>
      <x:c r="U145" s="36" t="str">
        <x:v>Asistente</x:v>
      </x:c>
      <x:c r="V145" s="36" t="str">
        <x:v>fmorresi@controlunion.com</x:v>
      </x:c>
      <x:c r="W145" s="36" t="str">
        <x:v>fmorresi@pcugroup.com</x:v>
      </x:c>
      <x:c r="X145" s="36" t="str"/>
    </x:row>
    <x:row r="146">
      <x:c r="A146" s="36" t="str">
        <x:v>Internal - Control Union / Peterson</x:v>
      </x:c>
      <x:c r="B146" s="36" t="str">
        <x:v>Vanessa Zarate</x:v>
      </x:c>
      <x:c r="C146" s="36" t="str">
        <x:v>vzarate@controlunion.com</x:v>
      </x:c>
      <x:c r="D146" s="36" t="str"/>
      <x:c r="E146" s="36" t="str"/>
      <x:c r="F146" s="36" t="str"/>
      <x:c r="G146" s="38" t="n">
        <x:v>42.53</x:v>
      </x:c>
      <x:c r="H146" s="38" t="n">
        <x:v>3</x:v>
      </x:c>
      <x:c r="I146" s="38" t="n">
        <x:f>IF(G146&gt;50,2,IF(G146&gt;30,1,0))</x:f>
        <x:v>1</x:v>
      </x:c>
      <x:c r="J146" s="38" t="n">
        <x:v>0</x:v>
      </x:c>
      <x:c r="K146" s="38" t="n">
        <x:v>0</x:v>
      </x:c>
      <x:c r="L146" s="38" t="n">
        <x:v>0</x:v>
      </x:c>
      <x:c r="M146" s="38" t="n">
        <x:v>0</x:v>
      </x:c>
      <x:c r="N146" s="38" t="n">
        <x:f>SUM(J146:M146)</x:f>
        <x:v>0</x:v>
      </x:c>
      <x:c r="O146" s="38" t="n">
        <x:f>H146+I146+N146</x:f>
        <x:v>4</x:v>
      </x:c>
      <x:c r="P146" s="36" t="str">
        <x:f>IF(A146="Internal - Control Union / Peterson","INTERNAL",IF(O146&gt;=8,"HOT",IF(O146&gt;=5,"WARM","COLD")))</x:f>
        <x:v>INTERNAL</x:v>
      </x:c>
      <x:c r="Q146" s="36" t="str"/>
      <x:c r="R146" s="44" t="n">
        <x:v>46260.50414351852</x:v>
      </x:c>
      <x:c r="S146" s="44" t="n">
        <x:v>46260.533680555556</x:v>
      </x:c>
      <x:c r="T146" s="36" t="str">
        <x:v>42 min 32s</x:v>
      </x:c>
      <x:c r="U146" s="36" t="str">
        <x:v>Asistente</x:v>
      </x:c>
      <x:c r="V146" s="36" t="str">
        <x:v>vzarate@controlunion.com</x:v>
      </x:c>
      <x:c r="W146" s="36" t="str">
        <x:v>vzarate@pcugroup.com</x:v>
      </x:c>
      <x:c r="X146" s="36" t="str"/>
    </x:row>
    <x:row r="147">
      <x:c r="A147" s="36" t="str">
        <x:v>Internal - Control Union / Peterson</x:v>
      </x:c>
      <x:c r="B147" s="36" t="str">
        <x:v>Casandra Ferrazzini de Frutos</x:v>
      </x:c>
      <x:c r="C147" s="36" t="str">
        <x:v>cferrazzini@onepeterson.com</x:v>
      </x:c>
      <x:c r="D147" s="36" t="str">
        <x:v>cferrazzini@onepeterson.com</x:v>
      </x:c>
      <x:c r="E147" s="36" t="str">
        <x:v>Peterson</x:v>
      </x:c>
      <x:c r="F147" s="36" t="str">
        <x:v>España</x:v>
      </x:c>
      <x:c r="G147" s="38" t="n">
        <x:v>38.05</x:v>
      </x:c>
      <x:c r="H147" s="38" t="n">
        <x:v>3</x:v>
      </x:c>
      <x:c r="I147" s="38" t="n">
        <x:f>IF(G147&gt;50,2,IF(G147&gt;30,1,0))</x:f>
        <x:v>1</x:v>
      </x:c>
      <x:c r="J147" s="38" t="n">
        <x:v>0</x:v>
      </x:c>
      <x:c r="K147" s="38" t="n">
        <x:v>0</x:v>
      </x:c>
      <x:c r="L147" s="38" t="n">
        <x:v>0</x:v>
      </x:c>
      <x:c r="M147" s="38" t="n">
        <x:v>0</x:v>
      </x:c>
      <x:c r="N147" s="38" t="n">
        <x:f>SUM(J147:M147)</x:f>
        <x:v>0</x:v>
      </x:c>
      <x:c r="O147" s="38" t="n">
        <x:f>H147+I147+N147</x:f>
        <x:v>4</x:v>
      </x:c>
      <x:c r="P147" s="36" t="str">
        <x:f>IF(A147="Internal - Control Union / Peterson","INTERNAL",IF(O147&gt;=8,"HOT",IF(O147&gt;=5,"WARM","COLD")))</x:f>
        <x:v>INTERNAL</x:v>
      </x:c>
      <x:c r="Q147" s="36" t="str"/>
      <x:c r="R147" s="44" t="n">
        <x:v>46260.507314814815</x:v>
      </x:c>
      <x:c r="S147" s="44" t="n">
        <x:v>46260.53375</x:v>
      </x:c>
      <x:c r="T147" s="36" t="str">
        <x:v>38 min 3s</x:v>
      </x:c>
      <x:c r="U147" s="36" t="str">
        <x:v>Asistente</x:v>
      </x:c>
      <x:c r="V147" s="36" t="str">
        <x:v>cferrazzini@onepeterson.com</x:v>
      </x:c>
      <x:c r="W147" s="36" t="str">
        <x:v>cferrazzini@pcugroup.com</x:v>
      </x:c>
      <x:c r="X147" s="36" t="str"/>
    </x:row>
    <x:row r="148">
      <x:c r="A148" s="36" t="str">
        <x:v>Internal - Control Union / Peterson</x:v>
      </x:c>
      <x:c r="B148" s="36" t="str">
        <x:v>Maria Clara Lissarrague (OnePeterson)</x:v>
      </x:c>
      <x:c r="C148" s="36" t="str">
        <x:v>clissarrague@onepeterson.com</x:v>
      </x:c>
      <x:c r="D148" s="36" t="str">
        <x:v>clissarrague@onepeterson.com</x:v>
      </x:c>
      <x:c r="E148" s="36" t="str">
        <x:v>Peterson Solutions</x:v>
      </x:c>
      <x:c r="F148" s="36" t="str">
        <x:v>Argentina</x:v>
      </x:c>
      <x:c r="G148" s="38" t="n">
        <x:v>37.98</x:v>
      </x:c>
      <x:c r="H148" s="38" t="n">
        <x:v>3</x:v>
      </x:c>
      <x:c r="I148" s="38" t="n">
        <x:f>IF(G148&gt;50,2,IF(G148&gt;30,1,0))</x:f>
        <x:v>1</x:v>
      </x:c>
      <x:c r="J148" s="38" t="n">
        <x:v>0</x:v>
      </x:c>
      <x:c r="K148" s="38" t="n">
        <x:v>0</x:v>
      </x:c>
      <x:c r="L148" s="38" t="n">
        <x:v>0</x:v>
      </x:c>
      <x:c r="M148" s="38" t="n">
        <x:v>0</x:v>
      </x:c>
      <x:c r="N148" s="38" t="n">
        <x:f>SUM(J148:M148)</x:f>
        <x:v>0</x:v>
      </x:c>
      <x:c r="O148" s="38" t="n">
        <x:f>H148+I148+N148</x:f>
        <x:v>4</x:v>
      </x:c>
      <x:c r="P148" s="36" t="str">
        <x:f>IF(A148="Internal - Control Union / Peterson","INTERNAL",IF(O148&gt;=8,"HOT",IF(O148&gt;=5,"WARM","COLD")))</x:f>
        <x:v>INTERNAL</x:v>
      </x:c>
      <x:c r="Q148" s="36" t="str"/>
      <x:c r="R148" s="44" t="n">
        <x:v>46260.50100694445</x:v>
      </x:c>
      <x:c r="S148" s="44" t="n">
        <x:v>46260.527395833335</x:v>
      </x:c>
      <x:c r="T148" s="36" t="str">
        <x:v>37 min 59s</x:v>
      </x:c>
      <x:c r="U148" s="36" t="str">
        <x:v>Asistente</x:v>
      </x:c>
      <x:c r="V148" s="36" t="str">
        <x:v>clissarrague@onepeterson.com</x:v>
      </x:c>
      <x:c r="W148" s="36" t="str">
        <x:v>clissarrague2@pcugroup.com</x:v>
      </x:c>
      <x:c r="X148" s="36" t="str"/>
    </x:row>
    <x:row r="149">
      <x:c r="A149" s="36" t="str">
        <x:v>Internal - Control Union / Peterson</x:v>
      </x:c>
      <x:c r="B149" s="36" t="str">
        <x:v>Eloy Zavalia</x:v>
      </x:c>
      <x:c r="C149" s="36" t="str">
        <x:v>ezavalia@controlunion.com</x:v>
      </x:c>
      <x:c r="D149" s="36" t="str">
        <x:v>ezavalia@controlunion.com</x:v>
      </x:c>
      <x:c r="E149" s="36" t="str">
        <x:v>Control Union</x:v>
      </x:c>
      <x:c r="F149" s="36" t="str">
        <x:v>Argentina</x:v>
      </x:c>
      <x:c r="G149" s="38" t="n">
        <x:v>31.9</x:v>
      </x:c>
      <x:c r="H149" s="38" t="n">
        <x:v>3</x:v>
      </x:c>
      <x:c r="I149" s="38" t="n">
        <x:f>IF(G149&gt;50,2,IF(G149&gt;30,1,0))</x:f>
        <x:v>1</x:v>
      </x:c>
      <x:c r="J149" s="38" t="n">
        <x:v>0</x:v>
      </x:c>
      <x:c r="K149" s="38" t="n">
        <x:v>0</x:v>
      </x:c>
      <x:c r="L149" s="38" t="n">
        <x:v>0</x:v>
      </x:c>
      <x:c r="M149" s="38" t="n">
        <x:v>0</x:v>
      </x:c>
      <x:c r="N149" s="38" t="n">
        <x:f>SUM(J149:M149)</x:f>
        <x:v>0</x:v>
      </x:c>
      <x:c r="O149" s="38" t="n">
        <x:f>H149+I149+N149</x:f>
        <x:v>4</x:v>
      </x:c>
      <x:c r="P149" s="36" t="str">
        <x:f>IF(A149="Internal - Control Union / Peterson","INTERNAL",IF(O149&gt;=8,"HOT",IF(O149&gt;=5,"WARM","COLD")))</x:f>
        <x:v>INTERNAL</x:v>
      </x:c>
      <x:c r="Q149" s="36" t="str"/>
      <x:c r="R149" s="44" t="n">
        <x:v>46260.51158564815</x:v>
      </x:c>
      <x:c r="S149" s="44" t="n">
        <x:v>46260.533738425926</x:v>
      </x:c>
      <x:c r="T149" s="36" t="str">
        <x:v>31 min 54s</x:v>
      </x:c>
      <x:c r="U149" s="36" t="str">
        <x:v>Asistente</x:v>
      </x:c>
      <x:c r="V149" s="36" t="str">
        <x:v>ezavalia@controlunion.com</x:v>
      </x:c>
      <x:c r="W149" s="36" t="str">
        <x:v>ezavalia@pcugroup.com</x:v>
      </x:c>
      <x:c r="X149" s="36" t="str"/>
    </x:row>
    <x:row r="150">
      <x:c r="A150" s="36" t="str">
        <x:v>Internal - Control Union / Peterson</x:v>
      </x:c>
      <x:c r="B150" s="36" t="str">
        <x:v>Capt. Eliodoro Medina L</x:v>
      </x:c>
      <x:c r="C150" s="36" t="str">
        <x:v>eliodoro.medina@yahoo.com</x:v>
      </x:c>
      <x:c r="D150" s="36" t="str">
        <x:v>eliodoro.medina@yahoo.com</x:v>
      </x:c>
      <x:c r="E150" s="36" t="str">
        <x:v>Control Unión Canada</x:v>
      </x:c>
      <x:c r="F150" s="36" t="str">
        <x:v>Canada</x:v>
      </x:c>
      <x:c r="G150" s="38" t="n">
        <x:v>6.12</x:v>
      </x:c>
      <x:c r="H150" s="38" t="n">
        <x:v>3</x:v>
      </x:c>
      <x:c r="I150" s="38" t="n">
        <x:f>IF(G150&gt;50,2,IF(G150&gt;30,1,0))</x:f>
        <x:v>0</x:v>
      </x:c>
      <x:c r="J150" s="38" t="n">
        <x:v>0</x:v>
      </x:c>
      <x:c r="K150" s="38" t="n">
        <x:v>0</x:v>
      </x:c>
      <x:c r="L150" s="38" t="n">
        <x:v>0</x:v>
      </x:c>
      <x:c r="M150" s="38" t="n">
        <x:v>1</x:v>
      </x:c>
      <x:c r="N150" s="38" t="n">
        <x:f>SUM(J150:M150)</x:f>
        <x:v>1</x:v>
      </x:c>
      <x:c r="O150" s="38" t="n">
        <x:f>H150+I150+N150</x:f>
        <x:v>4</x:v>
      </x:c>
      <x:c r="P150" s="36" t="str">
        <x:f>IF(A150="Internal - Control Union / Peterson","INTERNAL",IF(O150&gt;=8,"HOT",IF(O150&gt;=5,"WARM","COLD")))</x:f>
        <x:v>INTERNAL</x:v>
      </x:c>
      <x:c r="Q150" s="36" t="str"/>
      <x:c r="R150" s="44" t="n">
        <x:v>46260.45966435185</x:v>
      </x:c>
      <x:c r="S150" s="44" t="n">
        <x:v>46260.46392361111</x:v>
      </x:c>
      <x:c r="T150" s="36" t="str">
        <x:v>6 min 7s</x:v>
      </x:c>
      <x:c r="U150" s="36" t="str">
        <x:v>Asistente</x:v>
      </x:c>
      <x:c r="V150" s="36" t="str"/>
      <x:c r="W150" s="36" t="str"/>
      <x:c r="X150" s="36" t="str">
        <x:v>Guest/unverified Teams identity.</x:v>
      </x:c>
    </x:row>
    <x:row r="151">
      <x:c r="A151" s="36" t="str">
        <x:v>Internal - Control Union / Peterson</x:v>
      </x:c>
      <x:c r="B151" s="36" t="str">
        <x:v>Eliodoro Medina</x:v>
      </x:c>
      <x:c r="C151" s="36" t="str">
        <x:v>emedina@controlunion.com</x:v>
      </x:c>
      <x:c r="D151" s="36" t="str">
        <x:v>eliodoro.medina@yahoo.com</x:v>
      </x:c>
      <x:c r="E151" s="36" t="str">
        <x:v>Control Unión Canada</x:v>
      </x:c>
      <x:c r="F151" s="36" t="str">
        <x:v>Canada</x:v>
      </x:c>
      <x:c r="G151" s="38" t="n">
        <x:v>4.27</x:v>
      </x:c>
      <x:c r="H151" s="38" t="n">
        <x:v>3</x:v>
      </x:c>
      <x:c r="I151" s="38" t="n">
        <x:f>IF(G151&gt;50,2,IF(G151&gt;30,1,0))</x:f>
        <x:v>0</x:v>
      </x:c>
      <x:c r="J151" s="38" t="n">
        <x:v>0</x:v>
      </x:c>
      <x:c r="K151" s="38" t="n">
        <x:v>0</x:v>
      </x:c>
      <x:c r="L151" s="38" t="n">
        <x:v>0</x:v>
      </x:c>
      <x:c r="M151" s="38" t="n">
        <x:v>1</x:v>
      </x:c>
      <x:c r="N151" s="38" t="n">
        <x:f>SUM(J151:M151)</x:f>
        <x:v>1</x:v>
      </x:c>
      <x:c r="O151" s="38" t="n">
        <x:f>H151+I151+N151</x:f>
        <x:v>4</x:v>
      </x:c>
      <x:c r="P151" s="36" t="str">
        <x:f>IF(A151="Internal - Control Union / Peterson","INTERNAL",IF(O151&gt;=8,"HOT",IF(O151&gt;=5,"WARM","COLD")))</x:f>
        <x:v>INTERNAL</x:v>
      </x:c>
      <x:c r="Q151" s="36" t="str"/>
      <x:c r="R151" s="44" t="n">
        <x:v>46260.46587962963</x:v>
      </x:c>
      <x:c r="S151" s="44" t="n">
        <x:v>46260.46884259259</x:v>
      </x:c>
      <x:c r="T151" s="36" t="str">
        <x:v>4 min 16s</x:v>
      </x:c>
      <x:c r="U151" s="36" t="str">
        <x:v>Asistente</x:v>
      </x:c>
      <x:c r="V151" s="36" t="str">
        <x:v>emedina@controlunion.com</x:v>
      </x:c>
      <x:c r="W151" s="36" t="str">
        <x:v>emedina@pcugroup.com</x:v>
      </x:c>
      <x:c r="X151" s="36" t="str">
        <x:v>Teams identity email differs from registration email.</x:v>
      </x:c>
    </x:row>
    <x:row r="152">
      <x:c r="A152" s="36" t="str">
        <x:v>Internal - Control Union / Peterson</x:v>
      </x:c>
      <x:c r="B152" s="36" t="str">
        <x:v>Paola Mendieta</x:v>
      </x:c>
      <x:c r="C152" s="36" t="str">
        <x:v>pmendieta@controlunion.com</x:v>
      </x:c>
      <x:c r="D152" s="36" t="str"/>
      <x:c r="E152" s="36" t="str"/>
      <x:c r="F152" s="36" t="str"/>
      <x:c r="G152" s="38" t="n">
        <x:v>29.9</x:v>
      </x:c>
      <x:c r="H152" s="38" t="n">
        <x:v>3</x:v>
      </x:c>
      <x:c r="I152" s="38" t="n">
        <x:f>IF(G152&gt;50,2,IF(G152&gt;30,1,0))</x:f>
        <x:v>0</x:v>
      </x:c>
      <x:c r="J152" s="38" t="n">
        <x:v>0</x:v>
      </x:c>
      <x:c r="K152" s="38" t="n">
        <x:v>0</x:v>
      </x:c>
      <x:c r="L152" s="38" t="n">
        <x:v>0</x:v>
      </x:c>
      <x:c r="M152" s="38" t="n">
        <x:v>0</x:v>
      </x:c>
      <x:c r="N152" s="38" t="n">
        <x:f>SUM(J152:M152)</x:f>
        <x:v>0</x:v>
      </x:c>
      <x:c r="O152" s="38" t="n">
        <x:f>H152+I152+N152</x:f>
        <x:v>3</x:v>
      </x:c>
      <x:c r="P152" s="36" t="str">
        <x:f>IF(A152="Internal - Control Union / Peterson","INTERNAL",IF(O152&gt;=8,"HOT",IF(O152&gt;=5,"WARM","COLD")))</x:f>
        <x:v>INTERNAL</x:v>
      </x:c>
      <x:c r="Q152" s="36" t="str"/>
      <x:c r="R152" s="44" t="n">
        <x:v>46260.51304398148</x:v>
      </x:c>
      <x:c r="S152" s="44" t="n">
        <x:v>46260.53380787037</x:v>
      </x:c>
      <x:c r="T152" s="36" t="str">
        <x:v>29 min 54s</x:v>
      </x:c>
      <x:c r="U152" s="36" t="str">
        <x:v>Asistente</x:v>
      </x:c>
      <x:c r="V152" s="36" t="str">
        <x:v>pmendieta@controlunion.com</x:v>
      </x:c>
      <x:c r="W152" s="36" t="str">
        <x:v>pmendieta@pcugroup.com</x:v>
      </x:c>
      <x:c r="X152" s="36" t="str"/>
    </x:row>
    <x:row r="153">
      <x:c r="A153" s="36" t="str">
        <x:v>Internal - Control Union / Peterson</x:v>
      </x:c>
      <x:c r="B153" s="36" t="str">
        <x:v>Jaime Gilligan</x:v>
      </x:c>
      <x:c r="C153" s="36" t="str">
        <x:v>jgilligan@controlunion.com</x:v>
      </x:c>
      <x:c r="D153" s="36" t="str">
        <x:v>jgilligan@controlunion.com</x:v>
      </x:c>
      <x:c r="E153" s="36" t="str">
        <x:v>Control Union</x:v>
      </x:c>
      <x:c r="F153" s="36" t="str">
        <x:v>Argentina</x:v>
      </x:c>
      <x:c r="G153" s="38" t="n">
        <x:v>26.55</x:v>
      </x:c>
      <x:c r="H153" s="38" t="n">
        <x:v>3</x:v>
      </x:c>
      <x:c r="I153" s="38" t="n">
        <x:f>IF(G153&gt;50,2,IF(G153&gt;30,1,0))</x:f>
        <x:v>0</x:v>
      </x:c>
      <x:c r="J153" s="38" t="n">
        <x:v>0</x:v>
      </x:c>
      <x:c r="K153" s="38" t="n">
        <x:v>0</x:v>
      </x:c>
      <x:c r="L153" s="38" t="n">
        <x:v>0</x:v>
      </x:c>
      <x:c r="M153" s="38" t="n">
        <x:v>0</x:v>
      </x:c>
      <x:c r="N153" s="38" t="n">
        <x:f>SUM(J153:M153)</x:f>
        <x:v>0</x:v>
      </x:c>
      <x:c r="O153" s="38" t="n">
        <x:f>H153+I153+N153</x:f>
        <x:v>3</x:v>
      </x:c>
      <x:c r="P153" s="36" t="str">
        <x:f>IF(A153="Internal - Control Union / Peterson","INTERNAL",IF(O153&gt;=8,"HOT",IF(O153&gt;=5,"WARM","COLD")))</x:f>
        <x:v>INTERNAL</x:v>
      </x:c>
      <x:c r="Q153" s="36" t="str"/>
      <x:c r="R153" s="44" t="n">
        <x:v>46260.50101851852</x:v>
      </x:c>
      <x:c r="S153" s="44" t="n">
        <x:v>46260.519467592596</x:v>
      </x:c>
      <x:c r="T153" s="36" t="str">
        <x:v>26 min 33s</x:v>
      </x:c>
      <x:c r="U153" s="36" t="str">
        <x:v>Asistente</x:v>
      </x:c>
      <x:c r="V153" s="36" t="str">
        <x:v>jgilligan@controlunion.com</x:v>
      </x:c>
      <x:c r="W153" s="36" t="str">
        <x:v>jgilligan@pcugroup.com</x:v>
      </x:c>
      <x:c r="X153" s="36" t="str"/>
    </x:row>
    <x:row r="154">
      <x:c r="A154" s="36" t="str">
        <x:v>Internal - Control Union / Peterson</x:v>
      </x:c>
      <x:c r="B154" s="36" t="str">
        <x:v>Micaela Albornoz</x:v>
      </x:c>
      <x:c r="C154" s="36" t="str">
        <x:v>malbornoz@controlunion.com</x:v>
      </x:c>
      <x:c r="D154" s="36" t="str">
        <x:v>malbornoz@controlunion.com</x:v>
      </x:c>
      <x:c r="E154" s="36" t="str">
        <x:v>Control Union</x:v>
      </x:c>
      <x:c r="F154" s="36" t="str">
        <x:v>Argentina</x:v>
      </x:c>
      <x:c r="G154" s="38" t="n">
        <x:v>12.2</x:v>
      </x:c>
      <x:c r="H154" s="38" t="n">
        <x:v>3</x:v>
      </x:c>
      <x:c r="I154" s="38" t="n">
        <x:f>IF(G154&gt;50,2,IF(G154&gt;30,1,0))</x:f>
        <x:v>0</x:v>
      </x:c>
      <x:c r="J154" s="38" t="n">
        <x:v>0</x:v>
      </x:c>
      <x:c r="K154" s="38" t="n">
        <x:v>0</x:v>
      </x:c>
      <x:c r="L154" s="38" t="n">
        <x:v>0</x:v>
      </x:c>
      <x:c r="M154" s="38" t="n">
        <x:v>0</x:v>
      </x:c>
      <x:c r="N154" s="38" t="n">
        <x:f>SUM(J154:M154)</x:f>
        <x:v>0</x:v>
      </x:c>
      <x:c r="O154" s="38" t="n">
        <x:f>H154+I154+N154</x:f>
        <x:v>3</x:v>
      </x:c>
      <x:c r="P154" s="36" t="str">
        <x:f>IF(A154="Internal - Control Union / Peterson","INTERNAL",IF(O154&gt;=8,"HOT",IF(O154&gt;=5,"WARM","COLD")))</x:f>
        <x:v>INTERNAL</x:v>
      </x:c>
      <x:c r="Q154" s="36" t="str"/>
      <x:c r="R154" s="44" t="n">
        <x:v>46260.50530092593</x:v>
      </x:c>
      <x:c r="S154" s="44" t="n">
        <x:v>46260.513773148145</x:v>
      </x:c>
      <x:c r="T154" s="36" t="str">
        <x:v>12 min 12s</x:v>
      </x:c>
      <x:c r="U154" s="36" t="str">
        <x:v>Asistente</x:v>
      </x:c>
      <x:c r="V154" s="36" t="str">
        <x:v>malbornoz@controlunion.com</x:v>
      </x:c>
      <x:c r="W154" s="36" t="str">
        <x:v>malbornoz@pcugroup.com</x:v>
      </x:c>
      <x:c r="X154" s="36" t="str"/>
    </x:row>
    <x:row r="155">
      <x:c r="A155" s="36" t="str">
        <x:v>Internal - Control Union / Peterson</x:v>
      </x:c>
      <x:c r="B155" s="36" t="str">
        <x:v>Alondra Dariella Eyzaguirre Castillo</x:v>
      </x:c>
      <x:c r="C155" s="36" t="str">
        <x:v>aeyzaguirre@controlunion.com</x:v>
      </x:c>
      <x:c r="D155" s="36" t="str"/>
      <x:c r="E155" s="36" t="str"/>
      <x:c r="F155" s="36" t="str"/>
      <x:c r="G155" s="38" t="n">
        <x:v>11</x:v>
      </x:c>
      <x:c r="H155" s="38" t="n">
        <x:v>3</x:v>
      </x:c>
      <x:c r="I155" s="38" t="n">
        <x:f>IF(G155&gt;50,2,IF(G155&gt;30,1,0))</x:f>
        <x:v>0</x:v>
      </x:c>
      <x:c r="J155" s="38" t="n">
        <x:v>0</x:v>
      </x:c>
      <x:c r="K155" s="38" t="n">
        <x:v>0</x:v>
      </x:c>
      <x:c r="L155" s="38" t="n">
        <x:v>0</x:v>
      </x:c>
      <x:c r="M155" s="38" t="n">
        <x:v>0</x:v>
      </x:c>
      <x:c r="N155" s="38" t="n">
        <x:f>SUM(J155:M155)</x:f>
        <x:v>0</x:v>
      </x:c>
      <x:c r="O155" s="38" t="n">
        <x:f>H155+I155+N155</x:f>
        <x:v>3</x:v>
      </x:c>
      <x:c r="P155" s="36" t="str">
        <x:f>IF(A155="Internal - Control Union / Peterson","INTERNAL",IF(O155&gt;=8,"HOT",IF(O155&gt;=5,"WARM","COLD")))</x:f>
        <x:v>INTERNAL</x:v>
      </x:c>
      <x:c r="Q155" s="36" t="str"/>
      <x:c r="R155" s="44" t="n">
        <x:v>46260.512141203704</x:v>
      </x:c>
      <x:c r="S155" s="44" t="n">
        <x:v>46260.519780092596</x:v>
      </x:c>
      <x:c r="T155" s="36" t="str">
        <x:v>11 min</x:v>
      </x:c>
      <x:c r="U155" s="36" t="str">
        <x:v>Asistente</x:v>
      </x:c>
      <x:c r="V155" s="36" t="str">
        <x:v>aeyzaguirre@controlunion.com</x:v>
      </x:c>
      <x:c r="W155" s="36" t="str">
        <x:v>aeyzaguirre@pcugroup.com</x:v>
      </x:c>
      <x:c r="X155" s="36" t="str"/>
    </x:row>
    <x:row r="156">
      <x:c r="A156" s="36" t="str">
        <x:v>Internal - Control Union / Peterson</x:v>
      </x:c>
      <x:c r="B156" s="36" t="str">
        <x:v>Nicolas De Miceu</x:v>
      </x:c>
      <x:c r="C156" s="36" t="str">
        <x:v>ndemiceu@controlunion.com</x:v>
      </x:c>
      <x:c r="D156" s="36" t="str">
        <x:v>ndemiceu@controlunion.com</x:v>
      </x:c>
      <x:c r="E156" s="36" t="str">
        <x:v>control union</x:v>
      </x:c>
      <x:c r="F156" s="36" t="str">
        <x:v>Argentina</x:v>
      </x:c>
      <x:c r="G156" s="38" t="n">
        <x:v>7.2</x:v>
      </x:c>
      <x:c r="H156" s="38" t="n">
        <x:v>3</x:v>
      </x:c>
      <x:c r="I156" s="38" t="n">
        <x:f>IF(G156&gt;50,2,IF(G156&gt;30,1,0))</x:f>
        <x:v>0</x:v>
      </x:c>
      <x:c r="J156" s="38" t="n">
        <x:v>0</x:v>
      </x:c>
      <x:c r="K156" s="38" t="n">
        <x:v>0</x:v>
      </x:c>
      <x:c r="L156" s="38" t="n">
        <x:v>0</x:v>
      </x:c>
      <x:c r="M156" s="38" t="n">
        <x:v>0</x:v>
      </x:c>
      <x:c r="N156" s="38" t="n">
        <x:f>SUM(J156:M156)</x:f>
        <x:v>0</x:v>
      </x:c>
      <x:c r="O156" s="38" t="n">
        <x:f>H156+I156+N156</x:f>
        <x:v>3</x:v>
      </x:c>
      <x:c r="P156" s="36" t="str">
        <x:f>IF(A156="Internal - Control Union / Peterson","INTERNAL",IF(O156&gt;=8,"HOT",IF(O156&gt;=5,"WARM","COLD")))</x:f>
        <x:v>INTERNAL</x:v>
      </x:c>
      <x:c r="Q156" s="36" t="str"/>
      <x:c r="R156" s="44" t="n">
        <x:v>46260.52576388889</x:v>
      </x:c>
      <x:c r="S156" s="44" t="n">
        <x:v>46260.53076388889</x:v>
      </x:c>
      <x:c r="T156" s="36" t="str">
        <x:v>7 min 12s</x:v>
      </x:c>
      <x:c r="U156" s="36" t="str">
        <x:v>Asistente</x:v>
      </x:c>
      <x:c r="V156" s="36" t="str">
        <x:v>ndemiceu@controlunion.com</x:v>
      </x:c>
      <x:c r="W156" s="36" t="str">
        <x:v>ndemiceu@pcugroup.com</x:v>
      </x:c>
      <x:c r="X156" s="36" t="str"/>
    </x:row>
  </x:sheetData>
  <x:mergeCells>
    <x:mergeCell ref="A1:X1"/>
    <x:mergeCell ref="A2:X2"/>
    <x:mergeCell ref="A3:C3"/>
    <x:mergeCell ref="A4:C4"/>
    <x:mergeCell ref="E3:G3"/>
    <x:mergeCell ref="E4:G4"/>
    <x:mergeCell ref="I3:K3"/>
    <x:mergeCell ref="I4:K4"/>
    <x:mergeCell ref="M3:O3"/>
    <x:mergeCell ref="M4:O4"/>
    <x:mergeCell ref="Q3:S3"/>
    <x:mergeCell ref="Q4:S4"/>
    <x:mergeCell ref="U3:W3"/>
    <x:mergeCell ref="U4:W4"/>
  </x:mergeCells>
  <x:conditionalFormatting sqref="A7:X156">
    <x:cfRule type="expression" dxfId="5" priority="1">
      <x:formula>$A7="Internal - Control Union / Peterson"</x:formula>
    </x:cfRule>
    <x:cfRule type="expression" dxfId="6" priority="2">
      <x:formula>$P7="HOT"</x:formula>
    </x:cfRule>
    <x:cfRule type="expression" dxfId="7" priority="3">
      <x:formula>$P7="WARM"</x:formula>
    </x:cfRule>
  </x:conditionalFormatting>
  <x:conditionalFormatting sqref="O7:O156">
    <x:cfRule type="dataBar" priority="4">
      <x:dataBar>
        <x:cfvo type="min"/>
        <x:cfvo type="max"/>
        <x:color rgb="FFA02B93"/>
      </x:dataBar>
      <x:extLst>
        <x:ext xmlns:x14="http://schemas.microsoft.com/office/spreadsheetml/2009/9/main" uri="{B025F937-C7B1-47D3-B67F-A62EFF666E3E}">
          <x14:id>{3F0587DF-91A0-AB1E-ACC6-3266D442D121}</x14:id>
        </x:ext>
      </x:extLst>
    </x:cfRule>
  </x:conditionalFormatting>
  <x:pageMargins left="0.7" right="0.7" top="0.75" bottom="0.75" header="0.3" footer="0.3"/>
  <x:tableParts count="1">
    <x:tablePart xmlns:r="http://schemas.openxmlformats.org/officeDocument/2006/relationships" r:id="Rab4c021d4e594901"/>
  </x:tableParts>
  <x:extLst>
    <x:ext xmlns:x14="http://schemas.microsoft.com/office/spreadsheetml/2009/9/main" xmlns:xm="http://schemas.microsoft.com/office/excel/2006/main" uri="{78C0D931-6437-407d-A8EE-F0AAD7539E65}">
      <x14:conditionalFormattings>
        <x14:conditionalFormatting>
          <x14:cfRule type="dataBar" priority="4" id="{3F0587DF-91A0-AB1E-ACC6-3266D442D121}">
            <x14:dataBar gradient="1">
              <x14:cfvo type="min"/>
              <x14:cfvo type="max"/>
              <x14:fillColor rgb="FFA02B93"/>
            </x14:dataBar>
          </x14:cfRule>
          <xm:sqref>O7:O156</xm:sqref>
        </x14:conditionalFormatting>
      </x14:conditionalFormattings>
    </x:ext>
  </x:extLst>
</x:worksheet>
</file>