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55b00b868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e35387dd8e54304"/>
    <x:sheet xmlns:r="http://schemas.openxmlformats.org/officeDocument/2006/relationships" name="Priority Leads" sheetId="2" r:id="R2f3a46db44854a26"/>
    <x:sheet xmlns:r="http://schemas.openxmlformats.org/officeDocument/2006/relationships" name="Lead Scoring" sheetId="3" r:id="Raa4b8ba6635e470a"/>
    <x:sheet xmlns:r="http://schemas.openxmlformats.org/officeDocument/2006/relationships" name="Registrations Raw" sheetId="4" r:id="R4c8f31b4ee654895"/>
    <x:sheet xmlns:r="http://schemas.openxmlformats.org/officeDocument/2006/relationships" name="Attendance Raw" sheetId="5" r:id="R4996c740a3e04df3"/>
    <x:sheet xmlns:r="http://schemas.openxmlformats.org/officeDocument/2006/relationships" name="Q&amp;A Raw" sheetId="6" r:id="Raa18296093484d06"/>
    <x:sheet xmlns:r="http://schemas.openxmlformats.org/officeDocument/2006/relationships" name="Scoring Model" sheetId="7" r:id="Rafccbf850414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F2F2F2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a703ff193443a" /><Relationship Type="http://schemas.openxmlformats.org/officeDocument/2006/relationships/theme" Target="/xl/theme/theme1.xml" Id="R8552633bd5ce4a9b" /><Relationship Type="http://schemas.openxmlformats.org/officeDocument/2006/relationships/sharedStrings" Target="/xl/sharedStrings.xml" Id="Ra7973f8c3fd540c1" /><Relationship Type="http://schemas.openxmlformats.org/officeDocument/2006/relationships/worksheet" Target="/xl/worksheets/sheet1.xml" Id="Rce35387dd8e54304" /><Relationship Type="http://schemas.openxmlformats.org/officeDocument/2006/relationships/worksheet" Target="/xl/worksheets/sheet2.xml" Id="R2f3a46db44854a26" /><Relationship Type="http://schemas.openxmlformats.org/officeDocument/2006/relationships/worksheet" Target="/xl/worksheets/sheet3.xml" Id="Raa4b8ba6635e470a" /><Relationship Type="http://schemas.openxmlformats.org/officeDocument/2006/relationships/worksheet" Target="/xl/worksheets/sheet4.xml" Id="R4c8f31b4ee654895" /><Relationship Type="http://schemas.openxmlformats.org/officeDocument/2006/relationships/worksheet" Target="/xl/worksheets/sheet5.xml" Id="R4996c740a3e04df3" /><Relationship Type="http://schemas.openxmlformats.org/officeDocument/2006/relationships/worksheet" Target="/xl/worksheets/sheet6.xml" Id="Raa18296093484d06" /><Relationship Type="http://schemas.openxmlformats.org/officeDocument/2006/relationships/worksheet" Target="/xl/worksheets/sheet7.xml" Id="Rafccbf8504144e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e30b1b0cc243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External Leads by Score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'Dashboard'!$J$3:$J$5</c:f>
              <c:strCache>
                <c:ptCount val="0"/>
              </c:strCache>
            </c:strRef>
          </c:cat>
          <c:val>
            <c:numRef>
              <c:f>'Dashboard'!$K$3:$K$5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e30b1b0cc243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EmpCoPriorityLeadsTable" displayName="EmpCoPriorityLeadsTable" ref="A1:L95" headerRowCount="1" totalsRowCount="0" totalsRowShown="0">
  <x:tableColumns count="12">
    <x:tableColumn id="1" name="Rank"/>
    <x:tableColumn id="2" name="Lead Status"/>
    <x:tableColumn id="3" name="Score"/>
    <x:tableColumn id="4" name="First Name"/>
    <x:tableColumn id="5" name="Last Name"/>
    <x:tableColumn id="6" name="Email"/>
    <x:tableColumn id="7" name="Organization"/>
    <x:tableColumn id="8" name="Country/Region"/>
    <x:tableColumn id="9" name="Attendance %"/>
    <x:tableColumn id="10" name="Duration (min)"/>
    <x:tableColumn id="11" name="Questions"/>
    <x:tableColumn id="12" name="Suggested Follow-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EmpCoLeadScoringTable" displayName="EmpCoLeadScoringTable" ref="A1:N203" headerRowCount="1" totalsRowCount="0" totalsRowShown="0">
  <x:tableColumns count="14">
    <x:tableColumn id="1" name="Rank"/>
    <x:tableColumn id="2" name="First Name"/>
    <x:tableColumn id="3" name="Last Name"/>
    <x:tableColumn id="4" name="Email"/>
    <x:tableColumn id="5" name="Organization"/>
    <x:tableColumn id="6" name="Country/Region"/>
    <x:tableColumn id="7" name="Attended"/>
    <x:tableColumn id="8" name="Duration (min)"/>
    <x:tableColumn id="9" name="Attendance %"/>
    <x:tableColumn id="10" name="Questions"/>
    <x:tableColumn id="11" name="Other Q&amp;A"/>
    <x:tableColumn id="12" name="Internal / Partner"/>
    <x:tableColumn id="13" name="Score"/>
    <x:tableColumn id="14" name="Lead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pCoRegistrationsRawTable" displayName="EmpCoRegistrationsRawTable" ref="A1:G203" headerRowCount="1" totalsRowCount="0" totalsRowShown="0">
  <x:tableColumns count="7">
    <x:tableColumn id="1" name="Nombre de registro"/>
    <x:tableColumn id="2" name="Apellidos de registro"/>
    <x:tableColumn id="3" name="Correo electrónico de registro"/>
    <x:tableColumn id="4" name="Hora de registro"/>
    <x:tableColumn id="5" name="Estado del registro"/>
    <x:tableColumn id="6" name="Organización"/>
    <x:tableColumn id="7" name="País o reg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mpCoAttendanceRawTable" displayName="EmpCoAttendanceRawTable" ref="A1:U227" headerRowCount="1" totalsRowCount="0" totalsRowShown="0">
  <x:tableColumns count="21">
    <x:tableColumn id="1" name="Nombre"/>
    <x:tableColumn id="2" name="Primera entrada"/>
    <x:tableColumn id="3" name="Última salida"/>
    <x:tableColumn id="4" name="Duración de la reunión"/>
    <x:tableColumn id="5" name="Correo electrónico"/>
    <x:tableColumn id="6" name="Id. de participante (UPN)"/>
    <x:tableColumn id="7" name="Rol"/>
    <x:tableColumn id="8" name="Nombre de registro"/>
    <x:tableColumn id="9" name="Apellidos de registro"/>
    <x:tableColumn id="10" name="Correo electrónico de registro"/>
    <x:tableColumn id="11" name="Hora de registro"/>
    <x:tableColumn id="12" name="Estado del registro"/>
    <x:tableColumn id="13" name="Organización"/>
    <x:tableColumn id="14" name="País o región"/>
    <x:tableColumn id="15" name="Interacción: preguntas de Preguntas y respuestas"/>
    <x:tableColumn id="16" name="Interacción: respuestas de Preguntas y respuestas"/>
    <x:tableColumn id="17" name="Interacción: mejores respuestas de Preguntas y respuestas"/>
    <x:tableColumn id="18" name="Interacción: discusiones de Preguntas y respuestas"/>
    <x:tableColumn id="19" name="Interacción: Cámara encendida"/>
    <x:tableColumn id="20" name="Interacción: Manos levantadas"/>
    <x:tableColumn id="21" name="Interacción: Audio activ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mpCoQARawTable" displayName="EmpCoQARawTable" ref="A1:H7" headerRowCount="1" totalsRowCount="0" totalsRowShown="0">
  <x:tableColumns count="8">
    <x:tableColumn id="1" name="Source"/>
    <x:tableColumn id="2" name="Type"/>
    <x:tableColumn id="3" name="Identity"/>
    <x:tableColumn id="4" name="Timestamp"/>
    <x:tableColumn id="5" name="Conversation ID"/>
    <x:tableColumn id="6" name="Reply To ID"/>
    <x:tableColumn id="7" name="Content"/>
    <x:tableColumn id="8" name="Re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09c50190194d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bd71f0a2604d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919894f06644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42cbedeb214d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58721a856245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42c7425c08491c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23" hidden="0" customWidth="1"/>
    <x:col min="4" max="4" width="18" hidden="0" customWidth="1"/>
    <x:col min="5" max="5" width="22" hidden="0" customWidth="1"/>
    <x:col min="6" max="6" width="22" hidden="0" customWidth="1"/>
    <x:col min="7" max="7" width="20" hidden="0" customWidth="1"/>
    <x:col min="8" max="8" width="18" hidden="0" customWidth="1"/>
    <x:col min="10" max="10" width="16" hidden="0" customWidth="1"/>
    <x:col min="11" max="11" width="12" hidden="0" customWidth="1"/>
  </x:cols>
  <x:sheetData>
    <x:row r="1">
      <x:c r="A1" s="6" t="str">
        <x:v>Webinar Lead Scoring | EmpCo 2026: ¿Tu empresa dice que es sostenible?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  <x:c r="J2" t="str">
        <x:v>Lead Status</x:v>
      </x:c>
      <x:c r="K2" t="str">
        <x:v>Count</x:v>
      </x:c>
    </x:row>
    <x:row r="3">
      <x:c r="J3" t="str">
        <x:v>Hot</x:v>
      </x:c>
      <x:c r="K3" t="n">
        <x:v>5</x:v>
      </x:c>
    </x:row>
    <x:row r="4">
      <x:c r="A4" s="16" t="str">
        <x:v>Registered</x:v>
      </x:c>
      <x:c r="B4" s="16" t="str">
        <x:v>Teams attendee rows</x:v>
      </x:c>
      <x:c r="C4" s="16" t="str">
        <x:v>Unique registered attendees</x:v>
      </x:c>
      <x:c r="D4" s="16" t="str">
        <x:v>Attendance rate</x:v>
      </x:c>
      <x:c r="E4" s="16" t="str">
        <x:v>Unique external companies</x:v>
      </x:c>
      <x:c r="F4" s="16" t="str">
        <x:v>Hot leads</x:v>
      </x:c>
      <x:c r="G4" s="16" t="str">
        <x:v>Warm leads</x:v>
      </x:c>
      <x:c r="H4" s="16" t="str">
        <x:v>Cold leads</x:v>
      </x:c>
      <x:c r="J4" t="str">
        <x:v>Warm</x:v>
      </x:c>
      <x:c r="K4" t="n">
        <x:v>89</x:v>
      </x:c>
    </x:row>
    <x:row r="5">
      <x:c r="A5" s="24" t="n">
        <x:v>202</x:v>
      </x:c>
      <x:c r="B5" s="24" t="n">
        <x:v>142</x:v>
      </x:c>
      <x:c r="C5" s="24" t="n">
        <x:v>120</x:v>
      </x:c>
      <x:c r="D5" s="28" t="n">
        <x:v>0.594059405940594</x:v>
      </x:c>
      <x:c r="E5" s="24" t="n">
        <x:v>42</x:v>
      </x:c>
      <x:c r="F5" s="24" t="n">
        <x:v>5</x:v>
      </x:c>
      <x:c r="G5" s="24" t="n">
        <x:v>89</x:v>
      </x:c>
      <x:c r="H5" s="24" t="n">
        <x:v>90</x:v>
      </x:c>
      <x:c r="J5" t="str">
        <x:v>Cold</x:v>
      </x:c>
      <x:c r="K5" t="n">
        <x:v>90</x:v>
      </x:c>
    </x:row>
    <x:row r="7">
      <x:c r="A7" s="30" t="str">
        <x:v>Commercial funnel</x:v>
      </x:c>
      <x:c r="B7" s="30" t="str">
        <x:v>Count</x:v>
      </x:c>
      <x:c r="C7" s="30" t="str">
        <x:v>% External Leads</x:v>
      </x:c>
      <x:c r="D7" s="30" t="str">
        <x:v>Definition</x:v>
      </x:c>
      <x:c r="F7" s="48" t="str">
        <x:v>Key webinar KPIs</x:v>
      </x:c>
      <x:c r="G7" s="48"/>
      <x:c r="H7" s="48"/>
    </x:row>
    <x:row r="8">
      <x:c r="A8" s="34" t="str">
        <x:v>Hot</x:v>
      </x:c>
      <x:c r="B8" s="34" t="n">
        <x:v>5</x:v>
      </x:c>
      <x:c r="C8" s="35" t="n">
        <x:v>0.02717391304347826</x:v>
      </x:c>
      <x:c r="D8" s="34" t="str">
        <x:v>Score ≥ 70</x:v>
      </x:c>
      <x:c r="F8" s="50" t="str">
        <x:v>Registration page views</x:v>
      </x:c>
      <x:c r="G8" t="n">
        <x:v>323</x:v>
      </x:c>
    </x:row>
    <x:row r="9">
      <x:c r="A9" s="38" t="str">
        <x:v>Warm</x:v>
      </x:c>
      <x:c r="B9" s="38" t="n">
        <x:v>89</x:v>
      </x:c>
      <x:c r="C9" s="39" t="n">
        <x:v>0.483695652173913</x:v>
      </x:c>
      <x:c r="D9" s="38" t="str">
        <x:v>Score 40–69.9</x:v>
      </x:c>
      <x:c r="F9" s="50" t="str">
        <x:v>Registered contacts</x:v>
      </x:c>
      <x:c r="G9" t="n">
        <x:v>202</x:v>
      </x:c>
    </x:row>
    <x:row r="10">
      <x:c r="A10" s="42" t="str">
        <x:v>Cold</x:v>
      </x:c>
      <x:c r="B10" s="42" t="n">
        <x:v>90</x:v>
      </x:c>
      <x:c r="C10" s="43" t="n">
        <x:v>0.4891304347826087</x:v>
      </x:c>
      <x:c r="D10" s="42" t="str">
        <x:v>Score &lt; 40</x:v>
      </x:c>
      <x:c r="F10" s="50" t="str">
        <x:v>Teams attendee rows</x:v>
      </x:c>
      <x:c r="G10" t="n">
        <x:v>142</x:v>
      </x:c>
    </x:row>
    <x:row r="11">
      <x:c r="A11" s="46" t="str">
        <x:v>Internal / Partner / Excluded</x:v>
      </x:c>
      <x:c r="B11" s="46" t="n">
        <x:v>18</x:v>
      </x:c>
      <x:c r="C11" s="46" t="str"/>
      <x:c r="D11" s="46" t="str">
        <x:v>Control Union/Peterson + ALPLA, ISCC &amp; RecyClass excluded</x:v>
      </x:c>
      <x:c r="F11" s="50" t="str">
        <x:v>Registered contacts who attended</x:v>
      </x:c>
      <x:c r="G11" t="n">
        <x:v>120</x:v>
      </x:c>
    </x:row>
    <x:row r="12">
      <x:c r="F12" s="50" t="str">
        <x:v>External contacts who attended</x:v>
      </x:c>
      <x:c r="G12" t="n">
        <x:v>106</x:v>
      </x:c>
    </x:row>
    <x:row r="13">
      <x:c r="F13" s="50" t="str">
        <x:v>Unique companies attended (all)</x:v>
      </x:c>
      <x:c r="G13" t="n">
        <x:v>47</x:v>
      </x:c>
    </x:row>
    <x:row r="14">
      <x:c r="F14" s="50" t="str">
        <x:v>Unique companies attended (external)</x:v>
      </x:c>
      <x:c r="G14" t="n">
        <x:v>42</x:v>
      </x:c>
    </x:row>
    <x:row r="16">
      <x:c r="A16" s="48" t="str">
        <x:v>Scoring logic</x:v>
      </x:c>
      <x:c r="B16" s="48"/>
      <x:c r="C16" s="48"/>
      <x:c r="D16" s="48"/>
      <x:c r="E16" s="48"/>
      <x:c r="F16" s="48"/>
      <x:c r="G16" s="48"/>
      <x:c r="H16" s="48"/>
    </x:row>
    <x:row r="17">
      <x:c r="A17" s="52" t="str">
        <x:v>Registration</x:v>
      </x:c>
      <x:c r="B17" s="52" t="str">
        <x:v>10 pts</x:v>
      </x:c>
      <x:c r="C17" s="52" t="str">
        <x:v>Attendance</x:v>
      </x:c>
      <x:c r="D17" s="52" t="str">
        <x:v>20 pts</x:v>
      </x:c>
      <x:c r="E17" s="52" t="str">
        <x:v>Time connected</x:v>
      </x:c>
      <x:c r="F17" s="52" t="str">
        <x:v>Up to 40 pts</x:v>
      </x:c>
      <x:c r="G17" s="52" t="str">
        <x:v>Question asked</x:v>
      </x:c>
      <x:c r="H17" s="52" t="str">
        <x:v>20 pts</x:v>
      </x:c>
    </x:row>
    <x:row r="18">
      <x:c r="A18" s="52" t="str">
        <x:v>Other Q&amp;A</x:v>
      </x:c>
      <x:c r="B18" s="52" t="str">
        <x:v>Up to 10 pts</x:v>
      </x:c>
      <x:c r="C18" s="52" t="str">
        <x:v>Hot</x:v>
      </x:c>
      <x:c r="D18" s="52" t="str">
        <x:v>≥70</x:v>
      </x:c>
      <x:c r="E18" s="52" t="str">
        <x:v>Warm</x:v>
      </x:c>
      <x:c r="F18" s="52" t="str">
        <x:v>40–69.9</x:v>
      </x:c>
      <x:c r="G18" s="52" t="str">
        <x:v>Cold</x:v>
      </x:c>
      <x:c r="H18" s="52" t="str">
        <x:v>&lt;40</x:v>
      </x:c>
    </x:row>
    <x:row r="19">
      <x:c r="A19" s="52" t="str">
        <x:v>Commercial treatment</x:v>
      </x:c>
      <x:c r="B19" s="52" t="str">
        <x:v>Partners/internal excluded</x:v>
      </x:c>
      <x:c r="C19" s="52" t="str">
        <x:v>Target duration</x:v>
      </x:c>
      <x:c r="D19" s="52" t="str">
        <x:v>70 min</x:v>
      </x:c>
      <x:c r="E19" s="52" t="str">
        <x:v>Ranking</x:v>
      </x:c>
      <x:c r="F19" s="52" t="str">
        <x:v>Score descending</x:v>
      </x:c>
      <x:c r="G19" s="52" t="str">
        <x:v>Priority</x:v>
      </x:c>
      <x:c r="H19" s="52" t="str">
        <x:v>Hot first</x:v>
      </x:c>
    </x:row>
    <x:row r="21">
      <x:c r="A21" s="55" t="str">
        <x:v>Important: Teams reports 142 attendee rows, but 120 unique registered contacts could be matched as attendees. The commercial funnel uses unique registered contacts and excludes Control Union/Peterson, ALPLA, ISCC and RecyClass domains.</x:v>
      </x:c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</x:sheetData>
  <x:mergeCells>
    <x:mergeCell ref="A1:H2"/>
    <x:mergeCell ref="F7:H7"/>
    <x:mergeCell ref="A16:H16"/>
    <x:mergeCell ref="A21:H23"/>
  </x:mergeCells>
  <x:pageMargins left="0.7" right="0.7" top="0.75" bottom="0.75" header="0.3" footer="0.3"/>
  <x:drawing xmlns:r="http://schemas.openxmlformats.org/officeDocument/2006/relationships" r:id="R3609c50190194d2a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15" hidden="0" customWidth="1"/>
    <x:col min="5" max="5" width="15" hidden="0" customWidth="1"/>
    <x:col min="6" max="6" width="30" hidden="0" customWidth="1"/>
    <x:col min="7" max="7" width="27" hidden="0" customWidth="1"/>
    <x:col min="8" max="8" width="16" hidden="0" customWidth="1"/>
    <x:col min="9" max="9" width="14" hidden="0" customWidth="1"/>
    <x:col min="10" max="10" width="14" hidden="0" customWidth="1"/>
    <x:col min="11" max="11" width="11" hidden="0" customWidth="1"/>
    <x:col min="12" max="12" width="28" hidden="0" customWidth="1"/>
  </x:cols>
  <x:sheetData>
    <x:row r="1">
      <x:c r="A1" s="62" t="str">
        <x:v>Rank</x:v>
      </x:c>
      <x:c r="B1" s="62" t="str">
        <x:v>Lead Status</x:v>
      </x:c>
      <x:c r="C1" s="62" t="str">
        <x:v>Score</x:v>
      </x:c>
      <x:c r="D1" s="62" t="str">
        <x:v>First Name</x:v>
      </x:c>
      <x:c r="E1" s="62" t="str">
        <x:v>Last Name</x:v>
      </x:c>
      <x:c r="F1" s="62" t="str">
        <x:v>Email</x:v>
      </x:c>
      <x:c r="G1" s="62" t="str">
        <x:v>Organization</x:v>
      </x:c>
      <x:c r="H1" s="62" t="str">
        <x:v>Country/Region</x:v>
      </x:c>
      <x:c r="I1" s="62" t="str">
        <x:v>Attendance %</x:v>
      </x:c>
      <x:c r="J1" s="62" t="str">
        <x:v>Duration (min)</x:v>
      </x:c>
      <x:c r="K1" s="62" t="str">
        <x:v>Questions</x:v>
      </x:c>
      <x:c r="L1" s="62" t="str">
        <x:v>Suggested Follow-up</x:v>
      </x:c>
    </x:row>
    <x:row r="2">
      <x:c r="A2" t="n">
        <x:v>1</x:v>
      </x:c>
      <x:c r="B2" t="str">
        <x:v>Hot</x:v>
      </x:c>
      <x:c r="C2" t="n">
        <x:v>77.1</x:v>
      </x:c>
      <x:c r="D2" t="str">
        <x:v>EMILIA</x:v>
      </x:c>
      <x:c r="E2" t="str">
        <x:v>CANAVATI PEREZ</x:v>
      </x:c>
      <x:c r="F2" t="str">
        <x:v>emilia.canavati@grupobimbo.com</x:v>
      </x:c>
      <x:c r="G2" t="str">
        <x:v>Grupo Bimbo</x:v>
      </x:c>
      <x:c r="H2" t="str">
        <x:v>México</x:v>
      </x:c>
      <x:c r="I2" s="32" t="n">
        <x:v>0.6779</x:v>
      </x:c>
      <x:c r="J2" t="n">
        <x:v>47.5</x:v>
      </x:c>
      <x:c r="K2" t="n">
        <x:v>1</x:v>
      </x:c>
      <x:c r="L2" t="str">
        <x:v>Sales follow-up ASAP</x:v>
      </x:c>
    </x:row>
    <x:row r="3">
      <x:c r="A3" t="n">
        <x:v>2</x:v>
      </x:c>
      <x:c r="B3" t="str">
        <x:v>Hot</x:v>
      </x:c>
      <x:c r="C3" t="n">
        <x:v>73.6</x:v>
      </x:c>
      <x:c r="D3" t="str">
        <x:v>Laura</x:v>
      </x:c>
      <x:c r="E3" t="str">
        <x:v>González</x:v>
      </x:c>
      <x:c r="F3" t="str">
        <x:v>lgonzalez@catenazapata.com</x:v>
      </x:c>
      <x:c r="G3" t="str"/>
      <x:c r="H3" t="str"/>
      <x:c r="I3" s="32" t="n">
        <x:v>0.5912</x:v>
      </x:c>
      <x:c r="J3" t="n">
        <x:v>41.4</x:v>
      </x:c>
      <x:c r="K3" t="n">
        <x:v>2</x:v>
      </x:c>
      <x:c r="L3" t="str">
        <x:v>Sales follow-up ASAP</x:v>
      </x:c>
    </x:row>
    <x:row r="4">
      <x:c r="A4" t="n">
        <x:v>3</x:v>
      </x:c>
      <x:c r="B4" t="str">
        <x:v>Hot</x:v>
      </x:c>
      <x:c r="C4" t="n">
        <x:v>70</x:v>
      </x:c>
      <x:c r="D4" t="str">
        <x:v>Viviana</x:v>
      </x:c>
      <x:c r="E4" t="str">
        <x:v>Michel</x:v>
      </x:c>
      <x:c r="F4" t="str">
        <x:v>alejandravivianamichel17@gmail.com</x:v>
      </x:c>
      <x:c r="G4" t="str"/>
      <x:c r="H4" t="str"/>
      <x:c r="I4" s="32" t="n">
        <x:v>1</x:v>
      </x:c>
      <x:c r="J4" t="n">
        <x:v>70</x:v>
      </x:c>
      <x:c r="K4" t="n">
        <x:v>0</x:v>
      </x:c>
      <x:c r="L4" t="str">
        <x:v>Sales follow-up ASAP</x:v>
      </x:c>
    </x:row>
    <x:row r="5">
      <x:c r="A5" t="n">
        <x:v>4</x:v>
      </x:c>
      <x:c r="B5" t="str">
        <x:v>Hot</x:v>
      </x:c>
      <x:c r="C5" t="n">
        <x:v>70</x:v>
      </x:c>
      <x:c r="D5" t="str">
        <x:v>SEBASTIAN</x:v>
      </x:c>
      <x:c r="E5" t="str">
        <x:v>CASTRO</x:v>
      </x:c>
      <x:c r="F5" t="str">
        <x:v>scastro@familiazuccardi.com</x:v>
      </x:c>
      <x:c r="G5" t="str"/>
      <x:c r="H5" t="str"/>
      <x:c r="I5" s="32" t="n">
        <x:v>1</x:v>
      </x:c>
      <x:c r="J5" t="n">
        <x:v>70</x:v>
      </x:c>
      <x:c r="K5" t="n">
        <x:v>0</x:v>
      </x:c>
      <x:c r="L5" t="str">
        <x:v>Sales follow-up ASAP</x:v>
      </x:c>
    </x:row>
    <x:row r="6">
      <x:c r="A6" t="n">
        <x:v>5</x:v>
      </x:c>
      <x:c r="B6" t="str">
        <x:v>Hot</x:v>
      </x:c>
      <x:c r="C6" t="n">
        <x:v>70</x:v>
      </x:c>
      <x:c r="D6" t="str">
        <x:v>Silvana</x:v>
      </x:c>
      <x:c r="E6" t="str">
        <x:v>Beccarini</x:v>
      </x:c>
      <x:c r="F6" t="str">
        <x:v>calidad@biovanda.com.ar</x:v>
      </x:c>
      <x:c r="G6" t="str">
        <x:v>Bio Vanda S.A.</x:v>
      </x:c>
      <x:c r="H6" t="str">
        <x:v>Argentina</x:v>
      </x:c>
      <x:c r="I6" s="32" t="n">
        <x:v>1</x:v>
      </x:c>
      <x:c r="J6" t="n">
        <x:v>70</x:v>
      </x:c>
      <x:c r="K6" t="n">
        <x:v>0</x:v>
      </x:c>
      <x:c r="L6" t="str">
        <x:v>Sales follow-up ASAP</x:v>
      </x:c>
    </x:row>
    <x:row r="7">
      <x:c r="A7" t="n">
        <x:v>6</x:v>
      </x:c>
      <x:c r="B7" t="str">
        <x:v>Warm</x:v>
      </x:c>
      <x:c r="C7" t="n">
        <x:v>63.4</x:v>
      </x:c>
      <x:c r="D7" t="str">
        <x:v>Rosario</x:v>
      </x:c>
      <x:c r="E7" t="str">
        <x:v>Sotelo</x:v>
      </x:c>
      <x:c r="F7" t="str">
        <x:v>rosario.sotelo@grupocolome.com</x:v>
      </x:c>
      <x:c r="G7" t="str"/>
      <x:c r="H7" t="str"/>
      <x:c r="I7" s="32" t="n">
        <x:v>0.834</x:v>
      </x:c>
      <x:c r="J7" t="n">
        <x:v>58.4</x:v>
      </x:c>
      <x:c r="K7" t="n">
        <x:v>0</x:v>
      </x:c>
      <x:c r="L7" t="str">
        <x:v>Personalized nurture follow-up</x:v>
      </x:c>
    </x:row>
    <x:row r="8">
      <x:c r="A8" t="n">
        <x:v>7</x:v>
      </x:c>
      <x:c r="B8" t="str">
        <x:v>Warm</x:v>
      </x:c>
      <x:c r="C8" t="n">
        <x:v>63.1</x:v>
      </x:c>
      <x:c r="D8" t="str">
        <x:v>Clara</x:v>
      </x:c>
      <x:c r="E8" t="str">
        <x:v>Foresi</x:v>
      </x:c>
      <x:c r="F8" t="str">
        <x:v>claraforesi@gmail.com</x:v>
      </x:c>
      <x:c r="G8" t="str">
        <x:v>WOFA</x:v>
      </x:c>
      <x:c r="H8" t="str">
        <x:v>Argentina</x:v>
      </x:c>
      <x:c r="I8" s="32" t="n">
        <x:v>0.8283</x:v>
      </x:c>
      <x:c r="J8" t="n">
        <x:v>58</x:v>
      </x:c>
      <x:c r="K8" t="n">
        <x:v>0</x:v>
      </x:c>
      <x:c r="L8" t="str">
        <x:v>Personalized nurture follow-up</x:v>
      </x:c>
    </x:row>
    <x:row r="9">
      <x:c r="A9" t="n">
        <x:v>8</x:v>
      </x:c>
      <x:c r="B9" t="str">
        <x:v>Warm</x:v>
      </x:c>
      <x:c r="C9" t="n">
        <x:v>62.5</x:v>
      </x:c>
      <x:c r="D9" t="str">
        <x:v>Carolina</x:v>
      </x:c>
      <x:c r="E9" t="str">
        <x:v>Barbuzza</x:v>
      </x:c>
      <x:c r="F9" t="str">
        <x:v>cfbarbuzza@gmail.com</x:v>
      </x:c>
      <x:c r="G9" t="str">
        <x:v>Ingeniería Ambiental Consultora</x:v>
      </x:c>
      <x:c r="H9" t="str">
        <x:v>Argentina</x:v>
      </x:c>
      <x:c r="I9" s="32" t="n">
        <x:v>0.8114</x:v>
      </x:c>
      <x:c r="J9" t="n">
        <x:v>56.8</x:v>
      </x:c>
      <x:c r="K9" t="n">
        <x:v>0</x:v>
      </x:c>
      <x:c r="L9" t="str">
        <x:v>Personalized nurture follow-up</x:v>
      </x:c>
    </x:row>
    <x:row r="10">
      <x:c r="A10" t="n">
        <x:v>9</x:v>
      </x:c>
      <x:c r="B10" t="str">
        <x:v>Warm</x:v>
      </x:c>
      <x:c r="C10" t="n">
        <x:v>62</x:v>
      </x:c>
      <x:c r="D10" t="str">
        <x:v>Alejandro</x:v>
      </x:c>
      <x:c r="E10" t="str">
        <x:v>Mónaco</x:v>
      </x:c>
      <x:c r="F10" t="str">
        <x:v>monacoale@hotmail.com</x:v>
      </x:c>
      <x:c r="G10" t="str"/>
      <x:c r="H10" t="str"/>
      <x:c r="I10" s="32" t="n">
        <x:v>0.8002</x:v>
      </x:c>
      <x:c r="J10" t="n">
        <x:v>56</x:v>
      </x:c>
      <x:c r="K10" t="n">
        <x:v>0</x:v>
      </x:c>
      <x:c r="L10" t="str">
        <x:v>Personalized nurture follow-up</x:v>
      </x:c>
    </x:row>
    <x:row r="11">
      <x:c r="A11" t="n">
        <x:v>10</x:v>
      </x:c>
      <x:c r="B11" t="str">
        <x:v>Warm</x:v>
      </x:c>
      <x:c r="C11" t="n">
        <x:v>61</x:v>
      </x:c>
      <x:c r="D11" t="str">
        <x:v>Silvana</x:v>
      </x:c>
      <x:c r="E11" t="str">
        <x:v>Di Marco</x:v>
      </x:c>
      <x:c r="F11" t="str">
        <x:v>silvanadimarco@mendozavineyards.com</x:v>
      </x:c>
      <x:c r="G11" t="str"/>
      <x:c r="H11" t="str"/>
      <x:c r="I11" s="32" t="n">
        <x:v>0.7738</x:v>
      </x:c>
      <x:c r="J11" t="n">
        <x:v>54.2</x:v>
      </x:c>
      <x:c r="K11" t="n">
        <x:v>0</x:v>
      </x:c>
      <x:c r="L11" t="str">
        <x:v>Personalized nurture follow-up</x:v>
      </x:c>
    </x:row>
    <x:row r="12">
      <x:c r="A12" t="n">
        <x:v>11</x:v>
      </x:c>
      <x:c r="B12" t="str">
        <x:v>Warm</x:v>
      </x:c>
      <x:c r="C12" t="n">
        <x:v>60.1</x:v>
      </x:c>
      <x:c r="D12" t="str">
        <x:v>Lucía</x:v>
      </x:c>
      <x:c r="E12" t="str">
        <x:v>del Barrio</x:v>
      </x:c>
      <x:c r="F12" t="str">
        <x:v>liris.ambiente@gmail.com</x:v>
      </x:c>
      <x:c r="G12" t="str"/>
      <x:c r="H12" t="str"/>
      <x:c r="I12" s="32" t="n">
        <x:v>0.7519</x:v>
      </x:c>
      <x:c r="J12" t="n">
        <x:v>52.6</x:v>
      </x:c>
      <x:c r="K12" t="n">
        <x:v>0</x:v>
      </x:c>
      <x:c r="L12" t="str">
        <x:v>Personalized nurture follow-up</x:v>
      </x:c>
    </x:row>
    <x:row r="13">
      <x:c r="A13" t="n">
        <x:v>12</x:v>
      </x:c>
      <x:c r="B13" t="str">
        <x:v>Warm</x:v>
      </x:c>
      <x:c r="C13" t="n">
        <x:v>60.1</x:v>
      </x:c>
      <x:c r="D13" t="str">
        <x:v>Lucas</x:v>
      </x:c>
      <x:c r="E13" t="str">
        <x:v>Escudero</x:v>
      </x:c>
      <x:c r="F13" t="str">
        <x:v>lucas.escudero90@gmail.com</x:v>
      </x:c>
      <x:c r="G13" t="str"/>
      <x:c r="H13" t="str"/>
      <x:c r="I13" s="32" t="n">
        <x:v>0.7519</x:v>
      </x:c>
      <x:c r="J13" t="n">
        <x:v>52.6</x:v>
      </x:c>
      <x:c r="K13" t="n">
        <x:v>0</x:v>
      </x:c>
      <x:c r="L13" t="str">
        <x:v>Personalized nurture follow-up</x:v>
      </x:c>
    </x:row>
    <x:row r="14">
      <x:c r="A14" t="n">
        <x:v>13</x:v>
      </x:c>
      <x:c r="B14" t="str">
        <x:v>Warm</x:v>
      </x:c>
      <x:c r="C14" t="n">
        <x:v>59.7</x:v>
      </x:c>
      <x:c r="D14" t="str">
        <x:v>Natalia</x:v>
      </x:c>
      <x:c r="E14" t="str">
        <x:v>Tolin</x:v>
      </x:c>
      <x:c r="F14" t="str">
        <x:v>natalia.tolin@ojodeagua.global</x:v>
      </x:c>
      <x:c r="G14" t="str"/>
      <x:c r="H14" t="str"/>
      <x:c r="I14" s="32" t="n">
        <x:v>0.7421</x:v>
      </x:c>
      <x:c r="J14" t="n">
        <x:v>52</x:v>
      </x:c>
      <x:c r="K14" t="n">
        <x:v>0</x:v>
      </x:c>
      <x:c r="L14" t="str">
        <x:v>Personalized nurture follow-up</x:v>
      </x:c>
    </x:row>
    <x:row r="15">
      <x:c r="A15" t="n">
        <x:v>14</x:v>
      </x:c>
      <x:c r="B15" t="str">
        <x:v>Warm</x:v>
      </x:c>
      <x:c r="C15" t="n">
        <x:v>59.6</x:v>
      </x:c>
      <x:c r="D15" t="str">
        <x:v>LOURDES</x:v>
      </x:c>
      <x:c r="E15" t="str">
        <x:v>CASASOLA</x:v>
      </x:c>
      <x:c r="F15" t="str">
        <x:v>lourdes.casasola@grupocolome.com</x:v>
      </x:c>
      <x:c r="G15" t="str">
        <x:v>GRUPO COLOME S A </x:v>
      </x:c>
      <x:c r="H15" t="str">
        <x:v>Argentina</x:v>
      </x:c>
      <x:c r="I15" s="32" t="n">
        <x:v>0.7407</x:v>
      </x:c>
      <x:c r="J15" t="n">
        <x:v>51.9</x:v>
      </x:c>
      <x:c r="K15" t="n">
        <x:v>0</x:v>
      </x:c>
      <x:c r="L15" t="str">
        <x:v>Personalized nurture follow-up</x:v>
      </x:c>
    </x:row>
    <x:row r="16">
      <x:c r="A16" t="n">
        <x:v>15</x:v>
      </x:c>
      <x:c r="B16" t="str">
        <x:v>Warm</x:v>
      </x:c>
      <x:c r="C16" t="n">
        <x:v>59.3</x:v>
      </x:c>
      <x:c r="D16" t="str">
        <x:v>Mercedes</x:v>
      </x:c>
      <x:c r="E16" t="str">
        <x:v>Alvarez</x:v>
      </x:c>
      <x:c r="F16" t="str">
        <x:v>mercedes.alvarez@trivento.com</x:v>
      </x:c>
      <x:c r="G16" t="str"/>
      <x:c r="H16" t="str"/>
      <x:c r="I16" s="32" t="n">
        <x:v>0.7321</x:v>
      </x:c>
      <x:c r="J16" t="n">
        <x:v>51.2</x:v>
      </x:c>
      <x:c r="K16" t="n">
        <x:v>0</x:v>
      </x:c>
      <x:c r="L16" t="str">
        <x:v>Personalized nurture follow-up</x:v>
      </x:c>
    </x:row>
    <x:row r="17">
      <x:c r="A17" t="n">
        <x:v>16</x:v>
      </x:c>
      <x:c r="B17" t="str">
        <x:v>Warm</x:v>
      </x:c>
      <x:c r="C17" t="n">
        <x:v>59.1</x:v>
      </x:c>
      <x:c r="D17" t="str">
        <x:v>Irma</x:v>
      </x:c>
      <x:c r="E17" t="str">
        <x:v>Remigio</x:v>
      </x:c>
      <x:c r="F17" t="str">
        <x:v>iremigio@domainebousquet.com</x:v>
      </x:c>
      <x:c r="G17" t="str">
        <x:v>Domaine Bousquet</x:v>
      </x:c>
      <x:c r="H17" t="str">
        <x:v>Argentina</x:v>
      </x:c>
      <x:c r="I17" s="32" t="n">
        <x:v>0.7264</x:v>
      </x:c>
      <x:c r="J17" t="n">
        <x:v>50.9</x:v>
      </x:c>
      <x:c r="K17" t="n">
        <x:v>0</x:v>
      </x:c>
      <x:c r="L17" t="str">
        <x:v>Personalized nurture follow-up</x:v>
      </x:c>
    </x:row>
    <x:row r="18">
      <x:c r="A18" t="n">
        <x:v>17</x:v>
      </x:c>
      <x:c r="B18" t="str">
        <x:v>Warm</x:v>
      </x:c>
      <x:c r="C18" t="n">
        <x:v>58.9</x:v>
      </x:c>
      <x:c r="D18" t="str">
        <x:v>CELINA ANABEL</x:v>
      </x:c>
      <x:c r="E18" t="str">
        <x:v>ROSAS</x:v>
      </x:c>
      <x:c r="F18" t="str">
        <x:v>celinarosas@mendozavineyards.com</x:v>
      </x:c>
      <x:c r="G18" t="str"/>
      <x:c r="H18" t="str"/>
      <x:c r="I18" s="32" t="n">
        <x:v>0.7229</x:v>
      </x:c>
      <x:c r="J18" t="n">
        <x:v>50.6</x:v>
      </x:c>
      <x:c r="K18" t="n">
        <x:v>0</x:v>
      </x:c>
      <x:c r="L18" t="str">
        <x:v>Personalized nurture follow-up</x:v>
      </x:c>
    </x:row>
    <x:row r="19">
      <x:c r="A19" t="n">
        <x:v>18</x:v>
      </x:c>
      <x:c r="B19" t="str">
        <x:v>Warm</x:v>
      </x:c>
      <x:c r="C19" t="n">
        <x:v>58.8</x:v>
      </x:c>
      <x:c r="D19" t="str">
        <x:v>Nicolas</x:v>
      </x:c>
      <x:c r="E19" t="str">
        <x:v>Heredia</x:v>
      </x:c>
      <x:c r="F19" t="str">
        <x:v>nicoheredia31@gmail.com</x:v>
      </x:c>
      <x:c r="G19" t="str"/>
      <x:c r="H19" t="str"/>
      <x:c r="I19" s="32" t="n">
        <x:v>0.7188</x:v>
      </x:c>
      <x:c r="J19" t="n">
        <x:v>50.3</x:v>
      </x:c>
      <x:c r="K19" t="n">
        <x:v>0</x:v>
      </x:c>
      <x:c r="L19" t="str">
        <x:v>Personalized nurture follow-up</x:v>
      </x:c>
    </x:row>
    <x:row r="20">
      <x:c r="A20" t="n">
        <x:v>19</x:v>
      </x:c>
      <x:c r="B20" t="str">
        <x:v>Warm</x:v>
      </x:c>
      <x:c r="C20" t="n">
        <x:v>58.3</x:v>
      </x:c>
      <x:c r="D20" t="str">
        <x:v>Carina</x:v>
      </x:c>
      <x:c r="E20" t="str">
        <x:v>Barros</x:v>
      </x:c>
      <x:c r="F20" t="str">
        <x:v>carina@bodegafosterlorca.com</x:v>
      </x:c>
      <x:c r="G20" t="str">
        <x:v>Bodega y Viñedos Mauricio Lorca SA </x:v>
      </x:c>
      <x:c r="H20" t="str">
        <x:v>Argentina</x:v>
      </x:c>
      <x:c r="I20" s="32" t="n">
        <x:v>0.7071</x:v>
      </x:c>
      <x:c r="J20" t="n">
        <x:v>49.5</x:v>
      </x:c>
      <x:c r="K20" t="n">
        <x:v>0</x:v>
      </x:c>
      <x:c r="L20" t="str">
        <x:v>Personalized nurture follow-up</x:v>
      </x:c>
    </x:row>
    <x:row r="21">
      <x:c r="A21" t="n">
        <x:v>20</x:v>
      </x:c>
      <x:c r="B21" t="str">
        <x:v>Warm</x:v>
      </x:c>
      <x:c r="C21" t="n">
        <x:v>58.3</x:v>
      </x:c>
      <x:c r="D21" t="str">
        <x:v>silvina</x:v>
      </x:c>
      <x:c r="E21" t="str">
        <x:v>Martinez</x:v>
      </x:c>
      <x:c r="F21" t="str">
        <x:v>smartinez@sophenia.com.ar</x:v>
      </x:c>
      <x:c r="G21" t="str">
        <x:v>Finca Sophenia</x:v>
      </x:c>
      <x:c r="H21" t="str">
        <x:v>Argentina</x:v>
      </x:c>
      <x:c r="I21" s="32" t="n">
        <x:v>0.7083</x:v>
      </x:c>
      <x:c r="J21" t="n">
        <x:v>49.6</x:v>
      </x:c>
      <x:c r="K21" t="n">
        <x:v>0</x:v>
      </x:c>
      <x:c r="L21" t="str">
        <x:v>Personalized nurture follow-up</x:v>
      </x:c>
    </x:row>
    <x:row r="22">
      <x:c r="A22" t="n">
        <x:v>21</x:v>
      </x:c>
      <x:c r="B22" t="str">
        <x:v>Warm</x:v>
      </x:c>
      <x:c r="C22" t="n">
        <x:v>58.1</x:v>
      </x:c>
      <x:c r="D22" t="str">
        <x:v>Laura</x:v>
      </x:c>
      <x:c r="E22" t="str">
        <x:v>Contino</x:v>
      </x:c>
      <x:c r="F22" t="str">
        <x:v>lcontino@achaval-ferrer.com</x:v>
      </x:c>
      <x:c r="G22" t="str"/>
      <x:c r="H22" t="str"/>
      <x:c r="I22" s="32" t="n">
        <x:v>0.7033</x:v>
      </x:c>
      <x:c r="J22" t="n">
        <x:v>49.2</x:v>
      </x:c>
      <x:c r="K22" t="n">
        <x:v>0</x:v>
      </x:c>
      <x:c r="L22" t="str">
        <x:v>Personalized nurture follow-up</x:v>
      </x:c>
    </x:row>
    <x:row r="23">
      <x:c r="A23" t="n">
        <x:v>22</x:v>
      </x:c>
      <x:c r="B23" t="str">
        <x:v>Warm</x:v>
      </x:c>
      <x:c r="C23" t="n">
        <x:v>58.1</x:v>
      </x:c>
      <x:c r="D23" t="str">
        <x:v>Lucia</x:v>
      </x:c>
      <x:c r="E23" t="str">
        <x:v>Frugoni</x:v>
      </x:c>
      <x:c r="F23" t="str">
        <x:v>lfrugoni@salentein.com</x:v>
      </x:c>
      <x:c r="G23" t="str">
        <x:v>Bodega Salentein SA</x:v>
      </x:c>
      <x:c r="H23" t="str">
        <x:v>Argentina</x:v>
      </x:c>
      <x:c r="I23" s="32" t="n">
        <x:v>0.7033</x:v>
      </x:c>
      <x:c r="J23" t="n">
        <x:v>49.2</x:v>
      </x:c>
      <x:c r="K23" t="n">
        <x:v>0</x:v>
      </x:c>
      <x:c r="L23" t="str">
        <x:v>Personalized nurture follow-up</x:v>
      </x:c>
    </x:row>
    <x:row r="24">
      <x:c r="A24" t="n">
        <x:v>23</x:v>
      </x:c>
      <x:c r="B24" t="str">
        <x:v>Warm</x:v>
      </x:c>
      <x:c r="C24" t="n">
        <x:v>58</x:v>
      </x:c>
      <x:c r="D24" t="str">
        <x:v>Rocio</x:v>
      </x:c>
      <x:c r="E24" t="str">
        <x:v>Perez Fantini</x:v>
      </x:c>
      <x:c r="F24" t="str">
        <x:v>rperez@salentein.com</x:v>
      </x:c>
      <x:c r="G24" t="str">
        <x:v>Bodegas Salentein</x:v>
      </x:c>
      <x:c r="H24" t="str">
        <x:v>Argentina</x:v>
      </x:c>
      <x:c r="I24" s="32" t="n">
        <x:v>0.6995</x:v>
      </x:c>
      <x:c r="J24" t="n">
        <x:v>49</x:v>
      </x:c>
      <x:c r="K24" t="n">
        <x:v>0</x:v>
      </x:c>
      <x:c r="L24" t="str">
        <x:v>Personalized nurture follow-up</x:v>
      </x:c>
    </x:row>
    <x:row r="25">
      <x:c r="A25" t="n">
        <x:v>24</x:v>
      </x:c>
      <x:c r="B25" t="str">
        <x:v>Warm</x:v>
      </x:c>
      <x:c r="C25" t="n">
        <x:v>57.9</x:v>
      </x:c>
      <x:c r="D25" t="str">
        <x:v>Jennifer</x:v>
      </x:c>
      <x:c r="E25" t="str">
        <x:v>Ferré</x:v>
      </x:c>
      <x:c r="F25" t="str">
        <x:v>calidad.amalaya@grupocolome.com</x:v>
      </x:c>
      <x:c r="G25" t="str"/>
      <x:c r="H25" t="str"/>
      <x:c r="I25" s="32" t="n">
        <x:v>0.6969</x:v>
      </x:c>
      <x:c r="J25" t="n">
        <x:v>48.8</x:v>
      </x:c>
      <x:c r="K25" t="n">
        <x:v>0</x:v>
      </x:c>
      <x:c r="L25" t="str">
        <x:v>Personalized nurture follow-up</x:v>
      </x:c>
    </x:row>
    <x:row r="26">
      <x:c r="A26" t="n">
        <x:v>25</x:v>
      </x:c>
      <x:c r="B26" t="str">
        <x:v>Warm</x:v>
      </x:c>
      <x:c r="C26" t="n">
        <x:v>57.8</x:v>
      </x:c>
      <x:c r="D26" t="str">
        <x:v>María Laura</x:v>
      </x:c>
      <x:c r="E26" t="str">
        <x:v>Meschini Gonzalez</x:v>
      </x:c>
      <x:c r="F26" t="str">
        <x:v>mlgonzalez@catenazapata.com</x:v>
      </x:c>
      <x:c r="G26" t="str"/>
      <x:c r="H26" t="str"/>
      <x:c r="I26" s="32" t="n">
        <x:v>0.6945</x:v>
      </x:c>
      <x:c r="J26" t="n">
        <x:v>48.6</x:v>
      </x:c>
      <x:c r="K26" t="n">
        <x:v>0</x:v>
      </x:c>
      <x:c r="L26" t="str">
        <x:v>Personalized nurture follow-up</x:v>
      </x:c>
    </x:row>
    <x:row r="27">
      <x:c r="A27" t="n">
        <x:v>26</x:v>
      </x:c>
      <x:c r="B27" t="str">
        <x:v>Warm</x:v>
      </x:c>
      <x:c r="C27" t="n">
        <x:v>57.7</x:v>
      </x:c>
      <x:c r="D27" t="str">
        <x:v>Mariana</x:v>
      </x:c>
      <x:c r="E27" t="str">
        <x:v>Mrozek</x:v>
      </x:c>
      <x:c r="F27" t="str">
        <x:v>mariana@pai-argentina.com</x:v>
      </x:c>
      <x:c r="G27" t="str">
        <x:v>PAI S.A.</x:v>
      </x:c>
      <x:c r="H27" t="str">
        <x:v>Argentina</x:v>
      </x:c>
      <x:c r="I27" s="32" t="n">
        <x:v>0.6917</x:v>
      </x:c>
      <x:c r="J27" t="n">
        <x:v>48.4</x:v>
      </x:c>
      <x:c r="K27" t="n">
        <x:v>0</x:v>
      </x:c>
      <x:c r="L27" t="str">
        <x:v>Personalized nurture follow-up</x:v>
      </x:c>
    </x:row>
    <x:row r="28">
      <x:c r="A28" t="n">
        <x:v>27</x:v>
      </x:c>
      <x:c r="B28" t="str">
        <x:v>Warm</x:v>
      </x:c>
      <x:c r="C28" t="n">
        <x:v>57.6</x:v>
      </x:c>
      <x:c r="D28" t="str">
        <x:v>Dalia</x:v>
      </x:c>
      <x:c r="E28" t="str">
        <x:v>Orlinski</x:v>
      </x:c>
      <x:c r="F28" t="str">
        <x:v>dalia.orlinski@grupoavinea.com</x:v>
      </x:c>
      <x:c r="G28" t="str"/>
      <x:c r="H28" t="str"/>
      <x:c r="I28" s="32" t="n">
        <x:v>0.6893</x:v>
      </x:c>
      <x:c r="J28" t="n">
        <x:v>48.2</x:v>
      </x:c>
      <x:c r="K28" t="n">
        <x:v>0</x:v>
      </x:c>
      <x:c r="L28" t="str">
        <x:v>Personalized nurture follow-up</x:v>
      </x:c>
    </x:row>
    <x:row r="29">
      <x:c r="A29" t="n">
        <x:v>28</x:v>
      </x:c>
      <x:c r="B29" t="str">
        <x:v>Warm</x:v>
      </x:c>
      <x:c r="C29" t="n">
        <x:v>57.5</x:v>
      </x:c>
      <x:c r="D29" t="str">
        <x:v>María Teresa</x:v>
      </x:c>
      <x:c r="E29" t="str">
        <x:v>Juri</x:v>
      </x:c>
      <x:c r="F29" t="str">
        <x:v>marite.juri@bodegasbianchi.com.ar</x:v>
      </x:c>
      <x:c r="G29" t="str"/>
      <x:c r="H29" t="str"/>
      <x:c r="I29" s="32" t="n">
        <x:v>0.6881</x:v>
      </x:c>
      <x:c r="J29" t="n">
        <x:v>48.2</x:v>
      </x:c>
      <x:c r="K29" t="n">
        <x:v>0</x:v>
      </x:c>
      <x:c r="L29" t="str">
        <x:v>Personalized nurture follow-up</x:v>
      </x:c>
    </x:row>
    <x:row r="30">
      <x:c r="A30" t="n">
        <x:v>29</x:v>
      </x:c>
      <x:c r="B30" t="str">
        <x:v>Warm</x:v>
      </x:c>
      <x:c r="C30" t="n">
        <x:v>57.5</x:v>
      </x:c>
      <x:c r="D30" t="str">
        <x:v>Constanza</x:v>
      </x:c>
      <x:c r="E30" t="str">
        <x:v>DiVico</x:v>
      </x:c>
      <x:c r="F30" t="str">
        <x:v>constanza.divico@seaboard.com.ar</x:v>
      </x:c>
      <x:c r="G30" t="str">
        <x:v>Seaboard Energías Renovables y Alimentos S.R.L.</x:v>
      </x:c>
      <x:c r="H30" t="str">
        <x:v>Argentina</x:v>
      </x:c>
      <x:c r="I30" s="32" t="n">
        <x:v>0.6864</x:v>
      </x:c>
      <x:c r="J30" t="n">
        <x:v>48</x:v>
      </x:c>
      <x:c r="K30" t="n">
        <x:v>0</x:v>
      </x:c>
      <x:c r="L30" t="str">
        <x:v>Personalized nurture follow-up</x:v>
      </x:c>
    </x:row>
    <x:row r="31">
      <x:c r="A31" t="n">
        <x:v>30</x:v>
      </x:c>
      <x:c r="B31" t="str">
        <x:v>Warm</x:v>
      </x:c>
      <x:c r="C31" t="n">
        <x:v>57.4</x:v>
      </x:c>
      <x:c r="D31" t="str">
        <x:v>Nadia</x:v>
      </x:c>
      <x:c r="E31" t="str">
        <x:v>Engler</x:v>
      </x:c>
      <x:c r="F31" t="str">
        <x:v>nadia.engler@austinpowder.com</x:v>
      </x:c>
      <x:c r="G31" t="str">
        <x:v>AUSTIN POWDER ARGNETINA</x:v>
      </x:c>
      <x:c r="H31" t="str">
        <x:v>Argentina</x:v>
      </x:c>
      <x:c r="I31" s="32" t="n">
        <x:v>0.6855</x:v>
      </x:c>
      <x:c r="J31" t="n">
        <x:v>48</x:v>
      </x:c>
      <x:c r="K31" t="n">
        <x:v>0</x:v>
      </x:c>
      <x:c r="L31" t="str">
        <x:v>Personalized nurture follow-up</x:v>
      </x:c>
    </x:row>
    <x:row r="32">
      <x:c r="A32" t="n">
        <x:v>31</x:v>
      </x:c>
      <x:c r="B32" t="str">
        <x:v>Warm</x:v>
      </x:c>
      <x:c r="C32" t="n">
        <x:v>57.3</x:v>
      </x:c>
      <x:c r="D32" t="str">
        <x:v>Sofía Macarena</x:v>
      </x:c>
      <x:c r="E32" t="str">
        <x:v>Orelogio</x:v>
      </x:c>
      <x:c r="F32" t="str">
        <x:v>sofia.orelogio@lagarde.com.ar</x:v>
      </x:c>
      <x:c r="G32" t="str"/>
      <x:c r="H32" t="str"/>
      <x:c r="I32" s="32" t="n">
        <x:v>0.6833</x:v>
      </x:c>
      <x:c r="J32" t="n">
        <x:v>47.8</x:v>
      </x:c>
      <x:c r="K32" t="n">
        <x:v>0</x:v>
      </x:c>
      <x:c r="L32" t="str">
        <x:v>Personalized nurture follow-up</x:v>
      </x:c>
    </x:row>
    <x:row r="33">
      <x:c r="A33" t="n">
        <x:v>32</x:v>
      </x:c>
      <x:c r="B33" t="str">
        <x:v>Warm</x:v>
      </x:c>
      <x:c r="C33" t="n">
        <x:v>57.3</x:v>
      </x:c>
      <x:c r="D33" t="str">
        <x:v>Alejandra</x:v>
      </x:c>
      <x:c r="E33" t="str">
        <x:v>Serrano Rivas</x:v>
      </x:c>
      <x:c r="F33" t="str">
        <x:v>asrivas@dacas.com</x:v>
      </x:c>
      <x:c r="G33" t="str">
        <x:v>DACAS</x:v>
      </x:c>
      <x:c r="H33" t="str">
        <x:v>ARGENTINA</x:v>
      </x:c>
      <x:c r="I33" s="32" t="n">
        <x:v>0.6826</x:v>
      </x:c>
      <x:c r="J33" t="n">
        <x:v>47.8</x:v>
      </x:c>
      <x:c r="K33" t="n">
        <x:v>0</x:v>
      </x:c>
      <x:c r="L33" t="str">
        <x:v>Personalized nurture follow-up</x:v>
      </x:c>
    </x:row>
    <x:row r="34">
      <x:c r="A34" t="n">
        <x:v>33</x:v>
      </x:c>
      <x:c r="B34" t="str">
        <x:v>Warm</x:v>
      </x:c>
      <x:c r="C34" t="n">
        <x:v>57.2</x:v>
      </x:c>
      <x:c r="D34" t="str">
        <x:v>ANDRES</x:v>
      </x:c>
      <x:c r="E34" t="str">
        <x:v>STOCCO</x:v>
      </x:c>
      <x:c r="F34" t="str">
        <x:v>andres.stocco@chakanawines.com.ar</x:v>
      </x:c>
      <x:c r="G34" t="str"/>
      <x:c r="H34" t="str"/>
      <x:c r="I34" s="32" t="n">
        <x:v>0.6805</x:v>
      </x:c>
      <x:c r="J34" t="n">
        <x:v>47.6</x:v>
      </x:c>
      <x:c r="K34" t="n">
        <x:v>0</x:v>
      </x:c>
      <x:c r="L34" t="str">
        <x:v>Personalized nurture follow-up</x:v>
      </x:c>
    </x:row>
    <x:row r="35">
      <x:c r="A35" t="n">
        <x:v>34</x:v>
      </x:c>
      <x:c r="B35" t="str">
        <x:v>Warm</x:v>
      </x:c>
      <x:c r="C35" t="n">
        <x:v>57.2</x:v>
      </x:c>
      <x:c r="D35" t="str">
        <x:v>Florencia</x:v>
      </x:c>
      <x:c r="E35" t="str">
        <x:v>Gomez</x:v>
      </x:c>
      <x:c r="F35" t="str">
        <x:v>florencia.gomez@grupoavinea.com</x:v>
      </x:c>
      <x:c r="G35" t="str"/>
      <x:c r="H35" t="str"/>
      <x:c r="I35" s="32" t="n">
        <x:v>0.6802</x:v>
      </x:c>
      <x:c r="J35" t="n">
        <x:v>47.6</x:v>
      </x:c>
      <x:c r="K35" t="n">
        <x:v>0</x:v>
      </x:c>
      <x:c r="L35" t="str">
        <x:v>Personalized nurture follow-up</x:v>
      </x:c>
    </x:row>
    <x:row r="36">
      <x:c r="A36" t="n">
        <x:v>35</x:v>
      </x:c>
      <x:c r="B36" t="str">
        <x:v>Warm</x:v>
      </x:c>
      <x:c r="C36" t="n">
        <x:v>57.2</x:v>
      </x:c>
      <x:c r="D36" t="str">
        <x:v>Pablo Esteban</x:v>
      </x:c>
      <x:c r="E36" t="str">
        <x:v>Rodriguez</x:v>
      </x:c>
      <x:c r="F36" t="str">
        <x:v>import@tresvins.dk</x:v>
      </x:c>
      <x:c r="G36" t="str"/>
      <x:c r="H36" t="str"/>
      <x:c r="I36" s="32" t="n">
        <x:v>0.6812</x:v>
      </x:c>
      <x:c r="J36" t="n">
        <x:v>47.7</x:v>
      </x:c>
      <x:c r="K36" t="n">
        <x:v>0</x:v>
      </x:c>
      <x:c r="L36" t="str">
        <x:v>Personalized nurture follow-up</x:v>
      </x:c>
    </x:row>
    <x:row r="37">
      <x:c r="A37" t="n">
        <x:v>36</x:v>
      </x:c>
      <x:c r="B37" t="str">
        <x:v>Warm</x:v>
      </x:c>
      <x:c r="C37" t="n">
        <x:v>57.2</x:v>
      </x:c>
      <x:c r="D37" t="str">
        <x:v>Jesica</x:v>
      </x:c>
      <x:c r="E37" t="str">
        <x:v>Giovanini</x:v>
      </x:c>
      <x:c r="F37" t="str">
        <x:v>jgiovanini@rutiniwines.com</x:v>
      </x:c>
      <x:c r="G37" t="str"/>
      <x:c r="H37" t="str"/>
      <x:c r="I37" s="32" t="n">
        <x:v>0.6793</x:v>
      </x:c>
      <x:c r="J37" t="n">
        <x:v>47.5</x:v>
      </x:c>
      <x:c r="K37" t="n">
        <x:v>0</x:v>
      </x:c>
      <x:c r="L37" t="str">
        <x:v>Personalized nurture follow-up</x:v>
      </x:c>
    </x:row>
    <x:row r="38">
      <x:c r="A38" t="n">
        <x:v>37</x:v>
      </x:c>
      <x:c r="B38" t="str">
        <x:v>Warm</x:v>
      </x:c>
      <x:c r="C38" t="n">
        <x:v>57.2</x:v>
      </x:c>
      <x:c r="D38" t="str">
        <x:v>Camila</x:v>
      </x:c>
      <x:c r="E38" t="str">
        <x:v>Oliva</x:v>
      </x:c>
      <x:c r="F38" t="str">
        <x:v>camilaoliva@cofcointernational.com</x:v>
      </x:c>
      <x:c r="G38" t="str">
        <x:v>COFCO INTL</x:v>
      </x:c>
      <x:c r="H38" t="str">
        <x:v>Argentina</x:v>
      </x:c>
      <x:c r="I38" s="32" t="n">
        <x:v>0.6798</x:v>
      </x:c>
      <x:c r="J38" t="n">
        <x:v>47.6</x:v>
      </x:c>
      <x:c r="K38" t="n">
        <x:v>0</x:v>
      </x:c>
      <x:c r="L38" t="str">
        <x:v>Personalized nurture follow-up</x:v>
      </x:c>
    </x:row>
    <x:row r="39">
      <x:c r="A39" t="n">
        <x:v>38</x:v>
      </x:c>
      <x:c r="B39" t="str">
        <x:v>Warm</x:v>
      </x:c>
      <x:c r="C39" t="n">
        <x:v>57.2</x:v>
      </x:c>
      <x:c r="D39" t="str">
        <x:v>Valentina</x:v>
      </x:c>
      <x:c r="E39" t="str">
        <x:v>Dinamarca</x:v>
      </x:c>
      <x:c r="F39" t="str">
        <x:v>vdinamarca@domainebousquet.com</x:v>
      </x:c>
      <x:c r="G39" t="str">
        <x:v>Domaine Bousquet</x:v>
      </x:c>
      <x:c r="H39" t="str">
        <x:v>Argentina</x:v>
      </x:c>
      <x:c r="I39" s="32" t="n">
        <x:v>0.6793</x:v>
      </x:c>
      <x:c r="J39" t="n">
        <x:v>47.6</x:v>
      </x:c>
      <x:c r="K39" t="n">
        <x:v>0</x:v>
      </x:c>
      <x:c r="L39" t="str">
        <x:v>Personalized nurture follow-up</x:v>
      </x:c>
    </x:row>
    <x:row r="40">
      <x:c r="A40" t="n">
        <x:v>39</x:v>
      </x:c>
      <x:c r="B40" t="str">
        <x:v>Warm</x:v>
      </x:c>
      <x:c r="C40" t="n">
        <x:v>57.1</x:v>
      </x:c>
      <x:c r="D40" t="str">
        <x:v>Daniela</x:v>
      </x:c>
      <x:c r="E40" t="str">
        <x:v>Mezzatesta</x:v>
      </x:c>
      <x:c r="F40" t="str">
        <x:v>dmezzatesta@terrazasdelosandes.com.ar</x:v>
      </x:c>
      <x:c r="G40" t="str"/>
      <x:c r="H40" t="str"/>
      <x:c r="I40" s="32" t="n">
        <x:v>0.6783</x:v>
      </x:c>
      <x:c r="J40" t="n">
        <x:v>47.5</x:v>
      </x:c>
      <x:c r="K40" t="n">
        <x:v>0</x:v>
      </x:c>
      <x:c r="L40" t="str">
        <x:v>Personalized nurture follow-up</x:v>
      </x:c>
    </x:row>
    <x:row r="41">
      <x:c r="A41" t="n">
        <x:v>40</x:v>
      </x:c>
      <x:c r="B41" t="str">
        <x:v>Warm</x:v>
      </x:c>
      <x:c r="C41" t="n">
        <x:v>57.1</x:v>
      </x:c>
      <x:c r="D41" t="str">
        <x:v>Marisa</x:v>
      </x:c>
      <x:c r="E41" t="str">
        <x:v>Zapata</x:v>
      </x:c>
      <x:c r="F41" t="str">
        <x:v>mzapata@catenazapata.com</x:v>
      </x:c>
      <x:c r="G41" t="str"/>
      <x:c r="H41" t="str"/>
      <x:c r="I41" s="32" t="n">
        <x:v>0.6774</x:v>
      </x:c>
      <x:c r="J41" t="n">
        <x:v>47.4</x:v>
      </x:c>
      <x:c r="K41" t="n">
        <x:v>0</x:v>
      </x:c>
      <x:c r="L41" t="str">
        <x:v>Personalized nurture follow-up</x:v>
      </x:c>
    </x:row>
    <x:row r="42">
      <x:c r="A42" t="n">
        <x:v>41</x:v>
      </x:c>
      <x:c r="B42" t="str">
        <x:v>Warm</x:v>
      </x:c>
      <x:c r="C42" t="n">
        <x:v>57</x:v>
      </x:c>
      <x:c r="D42" t="str">
        <x:v>Kathya</x:v>
      </x:c>
      <x:c r="E42" t="str">
        <x:v>Briceño</x:v>
      </x:c>
      <x:c r="F42" t="str">
        <x:v>kathyabriceno@gmail.com</x:v>
      </x:c>
      <x:c r="G42" t="str"/>
      <x:c r="H42" t="str">
        <x:v>Spain</x:v>
      </x:c>
      <x:c r="I42" s="32" t="n">
        <x:v>0.674</x:v>
      </x:c>
      <x:c r="J42" t="n">
        <x:v>47.2</x:v>
      </x:c>
      <x:c r="K42" t="n">
        <x:v>0</x:v>
      </x:c>
      <x:c r="L42" t="str">
        <x:v>Personalized nurture follow-up</x:v>
      </x:c>
    </x:row>
    <x:row r="43">
      <x:c r="A43" t="n">
        <x:v>42</x:v>
      </x:c>
      <x:c r="B43" t="str">
        <x:v>Warm</x:v>
      </x:c>
      <x:c r="C43" t="n">
        <x:v>56.9</x:v>
      </x:c>
      <x:c r="D43" t="str">
        <x:v>Tomas</x:v>
      </x:c>
      <x:c r="E43" t="str">
        <x:v>Buscalia</x:v>
      </x:c>
      <x:c r="F43" t="str">
        <x:v>tbuscalia@cofcointernational.com</x:v>
      </x:c>
      <x:c r="G43" t="str">
        <x:v>COFCO INTERNATIONAL ARGENTINA</x:v>
      </x:c>
      <x:c r="H43" t="str">
        <x:v>Argentina</x:v>
      </x:c>
      <x:c r="I43" s="32" t="n">
        <x:v>0.6733</x:v>
      </x:c>
      <x:c r="J43" t="n">
        <x:v>47.1</x:v>
      </x:c>
      <x:c r="K43" t="n">
        <x:v>0</x:v>
      </x:c>
      <x:c r="L43" t="str">
        <x:v>Personalized nurture follow-up</x:v>
      </x:c>
    </x:row>
    <x:row r="44">
      <x:c r="A44" t="n">
        <x:v>43</x:v>
      </x:c>
      <x:c r="B44" t="str">
        <x:v>Warm</x:v>
      </x:c>
      <x:c r="C44" t="n">
        <x:v>56.9</x:v>
      </x:c>
      <x:c r="D44" t="str">
        <x:v>Maria Gabriela</x:v>
      </x:c>
      <x:c r="E44" t="str">
        <x:v>Montenegro</x:v>
      </x:c>
      <x:c r="F44" t="str">
        <x:v>gmontenegro@cofcointernational.com</x:v>
      </x:c>
      <x:c r="G44" t="str">
        <x:v>COFCO INTERNATIONAL ARGENTINA S.A.</x:v>
      </x:c>
      <x:c r="H44" t="str">
        <x:v>Argentina</x:v>
      </x:c>
      <x:c r="I44" s="32" t="n">
        <x:v>0.6717</x:v>
      </x:c>
      <x:c r="J44" t="n">
        <x:v>47</x:v>
      </x:c>
      <x:c r="K44" t="n">
        <x:v>0</x:v>
      </x:c>
      <x:c r="L44" t="str">
        <x:v>Personalized nurture follow-up</x:v>
      </x:c>
    </x:row>
    <x:row r="45">
      <x:c r="A45" t="n">
        <x:v>44</x:v>
      </x:c>
      <x:c r="B45" t="str">
        <x:v>Warm</x:v>
      </x:c>
      <x:c r="C45" t="n">
        <x:v>56.8</x:v>
      </x:c>
      <x:c r="D45" t="str">
        <x:v>Ornella</x:v>
      </x:c>
      <x:c r="E45" t="str">
        <x:v>Corallo</x:v>
      </x:c>
      <x:c r="F45" t="str">
        <x:v>ornellacorallo@cofcointernational.com</x:v>
      </x:c>
      <x:c r="G45" t="str">
        <x:v>COFCO INTERNATIONAL</x:v>
      </x:c>
      <x:c r="H45" t="str">
        <x:v>Argentina</x:v>
      </x:c>
      <x:c r="I45" s="32" t="n">
        <x:v>0.6702</x:v>
      </x:c>
      <x:c r="J45" t="n">
        <x:v>46.9</x:v>
      </x:c>
      <x:c r="K45" t="n">
        <x:v>0</x:v>
      </x:c>
      <x:c r="L45" t="str">
        <x:v>Personalized nurture follow-up</x:v>
      </x:c>
    </x:row>
    <x:row r="46">
      <x:c r="A46" t="n">
        <x:v>45</x:v>
      </x:c>
      <x:c r="B46" t="str">
        <x:v>Warm</x:v>
      </x:c>
      <x:c r="C46" t="n">
        <x:v>56.8</x:v>
      </x:c>
      <x:c r="D46" t="str">
        <x:v>Erika</x:v>
      </x:c>
      <x:c r="E46" t="str">
        <x:v>Villagran</x:v>
      </x:c>
      <x:c r="F46" t="str">
        <x:v>evillagran@pft.com.ar</x:v>
      </x:c>
      <x:c r="G46" t="str">
        <x:v>Patagonian Fruits S.A.</x:v>
      </x:c>
      <x:c r="H46" t="str">
        <x:v>Argentina</x:v>
      </x:c>
      <x:c r="I46" s="32" t="n">
        <x:v>0.6705</x:v>
      </x:c>
      <x:c r="J46" t="n">
        <x:v>46.9</x:v>
      </x:c>
      <x:c r="K46" t="n">
        <x:v>0</x:v>
      </x:c>
      <x:c r="L46" t="str">
        <x:v>Personalized nurture follow-up</x:v>
      </x:c>
    </x:row>
    <x:row r="47">
      <x:c r="A47" t="n">
        <x:v>46</x:v>
      </x:c>
      <x:c r="B47" t="str">
        <x:v>Warm</x:v>
      </x:c>
      <x:c r="C47" t="n">
        <x:v>56.8</x:v>
      </x:c>
      <x:c r="D47" t="str">
        <x:v>Romina</x:v>
      </x:c>
      <x:c r="E47" t="str">
        <x:v>De Los Santos</x:v>
      </x:c>
      <x:c r="F47" t="str">
        <x:v>rdelossantos@sanmiguelglobal.com</x:v>
      </x:c>
      <x:c r="G47" t="str">
        <x:v>SAN MIGUEL</x:v>
      </x:c>
      <x:c r="H47" t="str">
        <x:v>Argentina</x:v>
      </x:c>
      <x:c r="I47" s="32" t="n">
        <x:v>0.669</x:v>
      </x:c>
      <x:c r="J47" t="n">
        <x:v>46.8</x:v>
      </x:c>
      <x:c r="K47" t="n">
        <x:v>0</x:v>
      </x:c>
      <x:c r="L47" t="str">
        <x:v>Personalized nurture follow-up</x:v>
      </x:c>
    </x:row>
    <x:row r="48">
      <x:c r="A48" t="n">
        <x:v>47</x:v>
      </x:c>
      <x:c r="B48" t="str">
        <x:v>Warm</x:v>
      </x:c>
      <x:c r="C48" t="n">
        <x:v>56.7</x:v>
      </x:c>
      <x:c r="D48" t="str">
        <x:v>Sol</x:v>
      </x:c>
      <x:c r="E48" t="str">
        <x:v>Cornejo</x:v>
      </x:c>
      <x:c r="F48" t="str">
        <x:v>scornejo@rutiniwines.com</x:v>
      </x:c>
      <x:c r="G48" t="str"/>
      <x:c r="H48" t="str"/>
      <x:c r="I48" s="32" t="n">
        <x:v>0.6674</x:v>
      </x:c>
      <x:c r="J48" t="n">
        <x:v>46.7</x:v>
      </x:c>
      <x:c r="K48" t="n">
        <x:v>0</x:v>
      </x:c>
      <x:c r="L48" t="str">
        <x:v>Personalized nurture follow-up</x:v>
      </x:c>
    </x:row>
    <x:row r="49">
      <x:c r="A49" t="n">
        <x:v>48</x:v>
      </x:c>
      <x:c r="B49" t="str">
        <x:v>Warm</x:v>
      </x:c>
      <x:c r="C49" t="n">
        <x:v>56.7</x:v>
      </x:c>
      <x:c r="D49" t="str">
        <x:v>Angelina</x:v>
      </x:c>
      <x:c r="E49" t="str">
        <x:v>Achilli</x:v>
      </x:c>
      <x:c r="F49" t="str">
        <x:v>aachilli@laanonima.com.ar</x:v>
      </x:c>
      <x:c r="G49" t="str">
        <x:v>La Anonima </x:v>
      </x:c>
      <x:c r="H49" t="str">
        <x:v>Argentina </x:v>
      </x:c>
      <x:c r="I49" s="32" t="n">
        <x:v>0.6679</x:v>
      </x:c>
      <x:c r="J49" t="n">
        <x:v>46.8</x:v>
      </x:c>
      <x:c r="K49" t="n">
        <x:v>0</x:v>
      </x:c>
      <x:c r="L49" t="str">
        <x:v>Personalized nurture follow-up</x:v>
      </x:c>
    </x:row>
    <x:row r="50">
      <x:c r="A50" t="n">
        <x:v>49</x:v>
      </x:c>
      <x:c r="B50" t="str">
        <x:v>Warm</x:v>
      </x:c>
      <x:c r="C50" t="n">
        <x:v>56.7</x:v>
      </x:c>
      <x:c r="D50" t="str">
        <x:v>Ana</x:v>
      </x:c>
      <x:c r="E50" t="str">
        <x:v>GUERELLO</x:v>
      </x:c>
      <x:c r="F50" t="str">
        <x:v>ana.guerello@laserenisima.com</x:v>
      </x:c>
      <x:c r="G50" t="str">
        <x:v>La Serenisima</x:v>
      </x:c>
      <x:c r="H50" t="str">
        <x:v>Argentina</x:v>
      </x:c>
      <x:c r="I50" s="32" t="n">
        <x:v>0.6674</x:v>
      </x:c>
      <x:c r="J50" t="n">
        <x:v>46.7</x:v>
      </x:c>
      <x:c r="K50" t="n">
        <x:v>0</x:v>
      </x:c>
      <x:c r="L50" t="str">
        <x:v>Personalized nurture follow-up</x:v>
      </x:c>
    </x:row>
    <x:row r="51">
      <x:c r="A51" t="n">
        <x:v>50</x:v>
      </x:c>
      <x:c r="B51" t="str">
        <x:v>Warm</x:v>
      </x:c>
      <x:c r="C51" t="n">
        <x:v>56.6</x:v>
      </x:c>
      <x:c r="D51" t="str">
        <x:v>Virginia</x:v>
      </x:c>
      <x:c r="E51" t="str">
        <x:v>Cabral</x:v>
      </x:c>
      <x:c r="F51" t="str">
        <x:v>virginiacabral@cofcointernational.com</x:v>
      </x:c>
      <x:c r="G51" t="str">
        <x:v>COFCO International Argentina</x:v>
      </x:c>
      <x:c r="H51" t="str">
        <x:v>Argentina</x:v>
      </x:c>
      <x:c r="I51" s="32" t="n">
        <x:v>0.665</x:v>
      </x:c>
      <x:c r="J51" t="n">
        <x:v>46.5</x:v>
      </x:c>
      <x:c r="K51" t="n">
        <x:v>0</x:v>
      </x:c>
      <x:c r="L51" t="str">
        <x:v>Personalized nurture follow-up</x:v>
      </x:c>
    </x:row>
    <x:row r="52">
      <x:c r="A52" t="n">
        <x:v>51</x:v>
      </x:c>
      <x:c r="B52" t="str">
        <x:v>Warm</x:v>
      </x:c>
      <x:c r="C52" t="n">
        <x:v>56.5</x:v>
      </x:c>
      <x:c r="D52" t="str">
        <x:v>ANA MARIA</x:v>
      </x:c>
      <x:c r="E52" t="str">
        <x:v>CHERASCO</x:v>
      </x:c>
      <x:c r="F52" t="str">
        <x:v>acherasco@liafcontrol.com</x:v>
      </x:c>
      <x:c r="G52" t="str"/>
      <x:c r="H52" t="str"/>
      <x:c r="I52" s="32" t="n">
        <x:v>0.6619</x:v>
      </x:c>
      <x:c r="J52" t="n">
        <x:v>46.3</x:v>
      </x:c>
      <x:c r="K52" t="n">
        <x:v>0</x:v>
      </x:c>
      <x:c r="L52" t="str">
        <x:v>Personalized nurture follow-up</x:v>
      </x:c>
    </x:row>
    <x:row r="53">
      <x:c r="A53" t="n">
        <x:v>52</x:v>
      </x:c>
      <x:c r="B53" t="str">
        <x:v>Warm</x:v>
      </x:c>
      <x:c r="C53" t="n">
        <x:v>56.5</x:v>
      </x:c>
      <x:c r="D53" t="str">
        <x:v>Majo</x:v>
      </x:c>
      <x:c r="E53" t="str">
        <x:v>Peroni</x:v>
      </x:c>
      <x:c r="F53" t="str">
        <x:v>mp.branding.content@gmail.com</x:v>
      </x:c>
      <x:c r="G53" t="str"/>
      <x:c r="H53" t="str"/>
      <x:c r="I53" s="32" t="n">
        <x:v>0.6631</x:v>
      </x:c>
      <x:c r="J53" t="n">
        <x:v>46.4</x:v>
      </x:c>
      <x:c r="K53" t="n">
        <x:v>0</x:v>
      </x:c>
      <x:c r="L53" t="str">
        <x:v>Personalized nurture follow-up</x:v>
      </x:c>
    </x:row>
    <x:row r="54">
      <x:c r="A54" t="n">
        <x:v>53</x:v>
      </x:c>
      <x:c r="B54" t="str">
        <x:v>Warm</x:v>
      </x:c>
      <x:c r="C54" t="n">
        <x:v>56.4</x:v>
      </x:c>
      <x:c r="D54" t="str">
        <x:v>Natalia</x:v>
      </x:c>
      <x:c r="E54" t="str">
        <x:v>Delgado</x:v>
      </x:c>
      <x:c r="F54" t="str">
        <x:v>natalia.delgado@aris-mining.co</x:v>
      </x:c>
      <x:c r="G54" t="str">
        <x:v>Aris Mining</x:v>
      </x:c>
      <x:c r="H54" t="str">
        <x:v>Colombia</x:v>
      </x:c>
      <x:c r="I54" s="32" t="n">
        <x:v>0.661</x:v>
      </x:c>
      <x:c r="J54" t="n">
        <x:v>46.3</x:v>
      </x:c>
      <x:c r="K54" t="n">
        <x:v>0</x:v>
      </x:c>
      <x:c r="L54" t="str">
        <x:v>Personalized nurture follow-up</x:v>
      </x:c>
    </x:row>
    <x:row r="55">
      <x:c r="A55" t="n">
        <x:v>54</x:v>
      </x:c>
      <x:c r="B55" t="str">
        <x:v>Warm</x:v>
      </x:c>
      <x:c r="C55" t="n">
        <x:v>56.2</x:v>
      </x:c>
      <x:c r="D55" t="str">
        <x:v>Julieta</x:v>
      </x:c>
      <x:c r="E55" t="str">
        <x:v>CAPRETI</x:v>
      </x:c>
      <x:c r="F55" t="str">
        <x:v>jcapreti@chandon.com.ar</x:v>
      </x:c>
      <x:c r="G55" t="str"/>
      <x:c r="H55" t="str"/>
      <x:c r="I55" s="32" t="n">
        <x:v>0.654</x:v>
      </x:c>
      <x:c r="J55" t="n">
        <x:v>45.8</x:v>
      </x:c>
      <x:c r="K55" t="n">
        <x:v>0</x:v>
      </x:c>
      <x:c r="L55" t="str">
        <x:v>Personalized nurture follow-up</x:v>
      </x:c>
    </x:row>
    <x:row r="56">
      <x:c r="A56" t="n">
        <x:v>55</x:v>
      </x:c>
      <x:c r="B56" t="str">
        <x:v>Warm</x:v>
      </x:c>
      <x:c r="C56" t="n">
        <x:v>56.1</x:v>
      </x:c>
      <x:c r="D56" t="str">
        <x:v>Evelyn</x:v>
      </x:c>
      <x:c r="E56" t="str">
        <x:v>Ortiz</x:v>
      </x:c>
      <x:c r="F56" t="str">
        <x:v>evelyn.ortiz@aris-mining.co</x:v>
      </x:c>
      <x:c r="G56" t="str">
        <x:v>Aris Mining</x:v>
      </x:c>
      <x:c r="H56" t="str">
        <x:v>Colombia</x:v>
      </x:c>
      <x:c r="I56" s="32" t="n">
        <x:v>0.6526</x:v>
      </x:c>
      <x:c r="J56" t="n">
        <x:v>45.7</x:v>
      </x:c>
      <x:c r="K56" t="n">
        <x:v>0</x:v>
      </x:c>
      <x:c r="L56" t="str">
        <x:v>Personalized nurture follow-up</x:v>
      </x:c>
    </x:row>
    <x:row r="57">
      <x:c r="A57" t="n">
        <x:v>56</x:v>
      </x:c>
      <x:c r="B57" t="str">
        <x:v>Warm</x:v>
      </x:c>
      <x:c r="C57" t="n">
        <x:v>56</x:v>
      </x:c>
      <x:c r="D57" t="str">
        <x:v>Ignacio</x:v>
      </x:c>
      <x:c r="E57" t="str">
        <x:v>Ciancio</x:v>
      </x:c>
      <x:c r="F57" t="str">
        <x:v>ignaciociancio@hotmail.com</x:v>
      </x:c>
      <x:c r="G57" t="str"/>
      <x:c r="H57" t="str"/>
      <x:c r="I57" s="32" t="n">
        <x:v>0.649</x:v>
      </x:c>
      <x:c r="J57" t="n">
        <x:v>45.4</x:v>
      </x:c>
      <x:c r="K57" t="n">
        <x:v>0</x:v>
      </x:c>
      <x:c r="L57" t="str">
        <x:v>Personalized nurture follow-up</x:v>
      </x:c>
    </x:row>
    <x:row r="58">
      <x:c r="A58" t="n">
        <x:v>57</x:v>
      </x:c>
      <x:c r="B58" t="str">
        <x:v>Warm</x:v>
      </x:c>
      <x:c r="C58" t="n">
        <x:v>55.9</x:v>
      </x:c>
      <x:c r="D58" t="str">
        <x:v>Agustina</x:v>
      </x:c>
      <x:c r="E58" t="str">
        <x:v>Merlo Vallone</x:v>
      </x:c>
      <x:c r="F58" t="str">
        <x:v>agustina.merlo@lagarde.com.ar</x:v>
      </x:c>
      <x:c r="G58" t="str"/>
      <x:c r="H58" t="str"/>
      <x:c r="I58" s="32" t="n">
        <x:v>0.6481</x:v>
      </x:c>
      <x:c r="J58" t="n">
        <x:v>45.4</x:v>
      </x:c>
      <x:c r="K58" t="n">
        <x:v>0</x:v>
      </x:c>
      <x:c r="L58" t="str">
        <x:v>Personalized nurture follow-up</x:v>
      </x:c>
    </x:row>
    <x:row r="59">
      <x:c r="A59" t="n">
        <x:v>58</x:v>
      </x:c>
      <x:c r="B59" t="str">
        <x:v>Warm</x:v>
      </x:c>
      <x:c r="C59" t="n">
        <x:v>55.9</x:v>
      </x:c>
      <x:c r="D59" t="str">
        <x:v>Matias</x:v>
      </x:c>
      <x:c r="E59" t="str">
        <x:v>Stortini</x:v>
      </x:c>
      <x:c r="F59" t="str">
        <x:v>stortini@justla.com.ar</x:v>
      </x:c>
      <x:c r="G59" t="str">
        <x:v>Just</x:v>
      </x:c>
      <x:c r="H59" t="str">
        <x:v>Argentina</x:v>
      </x:c>
      <x:c r="I59" s="32" t="n">
        <x:v>0.6479</x:v>
      </x:c>
      <x:c r="J59" t="n">
        <x:v>45.4</x:v>
      </x:c>
      <x:c r="K59" t="n">
        <x:v>0</x:v>
      </x:c>
      <x:c r="L59" t="str">
        <x:v>Personalized nurture follow-up</x:v>
      </x:c>
    </x:row>
    <x:row r="60">
      <x:c r="A60" t="n">
        <x:v>59</x:v>
      </x:c>
      <x:c r="B60" t="str">
        <x:v>Warm</x:v>
      </x:c>
      <x:c r="C60" t="n">
        <x:v>55.8</x:v>
      </x:c>
      <x:c r="D60" t="str">
        <x:v>Leticia</x:v>
      </x:c>
      <x:c r="E60" t="str">
        <x:v>Viazzo</x:v>
      </x:c>
      <x:c r="F60" t="str">
        <x:v>lviazzo@terrazasdelosandes.com.ar</x:v>
      </x:c>
      <x:c r="G60" t="str"/>
      <x:c r="H60" t="str"/>
      <x:c r="I60" s="32" t="n">
        <x:v>0.6457</x:v>
      </x:c>
      <x:c r="J60" t="n">
        <x:v>45.2</x:v>
      </x:c>
      <x:c r="K60" t="n">
        <x:v>0</x:v>
      </x:c>
      <x:c r="L60" t="str">
        <x:v>Personalized nurture follow-up</x:v>
      </x:c>
    </x:row>
    <x:row r="61">
      <x:c r="A61" t="n">
        <x:v>60</x:v>
      </x:c>
      <x:c r="B61" t="str">
        <x:v>Warm</x:v>
      </x:c>
      <x:c r="C61" t="n">
        <x:v>55.5</x:v>
      </x:c>
      <x:c r="D61" t="str">
        <x:v>Agustina</x:v>
      </x:c>
      <x:c r="E61" t="str">
        <x:v>Espinola</x:v>
      </x:c>
      <x:c r="F61" t="str">
        <x:v>aespinola@westons-cider.co.uk</x:v>
      </x:c>
      <x:c r="G61" t="str">
        <x:v>Westons Cider</x:v>
      </x:c>
      <x:c r="H61" t="str">
        <x:v>United Kingdom</x:v>
      </x:c>
      <x:c r="I61" s="32" t="n">
        <x:v>0.6381</x:v>
      </x:c>
      <x:c r="J61" t="n">
        <x:v>44.7</x:v>
      </x:c>
      <x:c r="K61" t="n">
        <x:v>0</x:v>
      </x:c>
      <x:c r="L61" t="str">
        <x:v>Personalized nurture follow-up</x:v>
      </x:c>
    </x:row>
    <x:row r="62">
      <x:c r="A62" t="n">
        <x:v>61</x:v>
      </x:c>
      <x:c r="B62" t="str">
        <x:v>Warm</x:v>
      </x:c>
      <x:c r="C62" t="n">
        <x:v>55.4</x:v>
      </x:c>
      <x:c r="D62" t="str">
        <x:v>Sebastian</x:v>
      </x:c>
      <x:c r="E62" t="str">
        <x:v>Lopez</x:v>
      </x:c>
      <x:c r="F62" t="str">
        <x:v>slopez@justla.com.ar</x:v>
      </x:c>
      <x:c r="G62" t="str">
        <x:v>Just International LATAM</x:v>
      </x:c>
      <x:c r="H62" t="str">
        <x:v>Argentina</x:v>
      </x:c>
      <x:c r="I62" s="32" t="n">
        <x:v>0.6348</x:v>
      </x:c>
      <x:c r="J62" t="n">
        <x:v>44.4</x:v>
      </x:c>
      <x:c r="K62" t="n">
        <x:v>0</x:v>
      </x:c>
      <x:c r="L62" t="str">
        <x:v>Personalized nurture follow-up</x:v>
      </x:c>
    </x:row>
    <x:row r="63">
      <x:c r="A63" t="n">
        <x:v>62</x:v>
      </x:c>
      <x:c r="B63" t="str">
        <x:v>Warm</x:v>
      </x:c>
      <x:c r="C63" t="n">
        <x:v>55.3</x:v>
      </x:c>
      <x:c r="D63" t="str">
        <x:v>ROCÍO</x:v>
      </x:c>
      <x:c r="E63" t="str">
        <x:v>PAREJA POQUET</x:v>
      </x:c>
      <x:c r="F63" t="str">
        <x:v>rpareja@luigibosca.com</x:v>
      </x:c>
      <x:c r="G63" t="str"/>
      <x:c r="H63" t="str"/>
      <x:c r="I63" s="32" t="n">
        <x:v>0.6319</x:v>
      </x:c>
      <x:c r="J63" t="n">
        <x:v>44.2</x:v>
      </x:c>
      <x:c r="K63" t="n">
        <x:v>0</x:v>
      </x:c>
      <x:c r="L63" t="str">
        <x:v>Personalized nurture follow-up</x:v>
      </x:c>
    </x:row>
    <x:row r="64">
      <x:c r="A64" t="n">
        <x:v>63</x:v>
      </x:c>
      <x:c r="B64" t="str">
        <x:v>Warm</x:v>
      </x:c>
      <x:c r="C64" t="n">
        <x:v>55.2</x:v>
      </x:c>
      <x:c r="D64" t="str">
        <x:v>andrea</x:v>
      </x:c>
      <x:c r="E64" t="str">
        <x:v>carparelli</x:v>
      </x:c>
      <x:c r="F64" t="str">
        <x:v>acarparelli@antigal.com</x:v>
      </x:c>
      <x:c r="G64" t="str"/>
      <x:c r="H64" t="str"/>
      <x:c r="I64" s="32" t="n">
        <x:v>0.6312</x:v>
      </x:c>
      <x:c r="J64" t="n">
        <x:v>44.2</x:v>
      </x:c>
      <x:c r="K64" t="n">
        <x:v>0</x:v>
      </x:c>
      <x:c r="L64" t="str">
        <x:v>Personalized nurture follow-up</x:v>
      </x:c>
    </x:row>
    <x:row r="65">
      <x:c r="A65" t="n">
        <x:v>64</x:v>
      </x:c>
      <x:c r="B65" t="str">
        <x:v>Warm</x:v>
      </x:c>
      <x:c r="C65" t="n">
        <x:v>55</x:v>
      </x:c>
      <x:c r="D65" t="str">
        <x:v>Sebastian</x:v>
      </x:c>
      <x:c r="E65" t="str">
        <x:v>Garzón Rodríguez</x:v>
      </x:c>
      <x:c r="F65" t="str">
        <x:v>sebastian.garzon@aris-mining.co</x:v>
      </x:c>
      <x:c r="G65" t="str">
        <x:v>Aris Mining</x:v>
      </x:c>
      <x:c r="H65" t="str">
        <x:v>Colombia</x:v>
      </x:c>
      <x:c r="I65" s="32" t="n">
        <x:v>0.625</x:v>
      </x:c>
      <x:c r="J65" t="n">
        <x:v>43.8</x:v>
      </x:c>
      <x:c r="K65" t="n">
        <x:v>0</x:v>
      </x:c>
      <x:c r="L65" t="str">
        <x:v>Personalized nurture follow-up</x:v>
      </x:c>
    </x:row>
    <x:row r="66">
      <x:c r="A66" t="n">
        <x:v>65</x:v>
      </x:c>
      <x:c r="B66" t="str">
        <x:v>Warm</x:v>
      </x:c>
      <x:c r="C66" t="n">
        <x:v>54.8</x:v>
      </x:c>
      <x:c r="D66" t="str">
        <x:v>Noelia</x:v>
      </x:c>
      <x:c r="E66" t="str">
        <x:v>Peralta</x:v>
      </x:c>
      <x:c r="F66" t="str">
        <x:v>noelia.peralta@decero.com</x:v>
      </x:c>
      <x:c r="G66" t="str"/>
      <x:c r="H66" t="str"/>
      <x:c r="I66" s="32" t="n">
        <x:v>0.619</x:v>
      </x:c>
      <x:c r="J66" t="n">
        <x:v>43.3</x:v>
      </x:c>
      <x:c r="K66" t="n">
        <x:v>0</x:v>
      </x:c>
      <x:c r="L66" t="str">
        <x:v>Personalized nurture follow-up</x:v>
      </x:c>
    </x:row>
    <x:row r="67">
      <x:c r="A67" t="n">
        <x:v>66</x:v>
      </x:c>
      <x:c r="B67" t="str">
        <x:v>Warm</x:v>
      </x:c>
      <x:c r="C67" t="n">
        <x:v>54.4</x:v>
      </x:c>
      <x:c r="D67" t="str">
        <x:v>Germán</x:v>
      </x:c>
      <x:c r="E67" t="str">
        <x:v>Turcuman</x:v>
      </x:c>
      <x:c r="F67" t="str">
        <x:v>gturcuman@familiazuccardi.com</x:v>
      </x:c>
      <x:c r="G67" t="str"/>
      <x:c r="H67" t="str"/>
      <x:c r="I67" s="32" t="n">
        <x:v>0.611</x:v>
      </x:c>
      <x:c r="J67" t="n">
        <x:v>42.8</x:v>
      </x:c>
      <x:c r="K67" t="n">
        <x:v>0</x:v>
      </x:c>
      <x:c r="L67" t="str">
        <x:v>Personalized nurture follow-up</x:v>
      </x:c>
    </x:row>
    <x:row r="68">
      <x:c r="A68" t="n">
        <x:v>67</x:v>
      </x:c>
      <x:c r="B68" t="str">
        <x:v>Warm</x:v>
      </x:c>
      <x:c r="C68" t="n">
        <x:v>54.2</x:v>
      </x:c>
      <x:c r="D68" t="str">
        <x:v>Andrea</x:v>
      </x:c>
      <x:c r="E68" t="str">
        <x:v>Rivarola</x:v>
      </x:c>
      <x:c r="F68" t="str">
        <x:v>drivarola@inti.gob.ar</x:v>
      </x:c>
      <x:c r="G68" t="str"/>
      <x:c r="H68" t="str"/>
      <x:c r="I68" s="32" t="n">
        <x:v>0.6055</x:v>
      </x:c>
      <x:c r="J68" t="n">
        <x:v>42.4</x:v>
      </x:c>
      <x:c r="K68" t="n">
        <x:v>0</x:v>
      </x:c>
      <x:c r="L68" t="str">
        <x:v>Personalized nurture follow-up</x:v>
      </x:c>
    </x:row>
    <x:row r="69">
      <x:c r="A69" t="n">
        <x:v>68</x:v>
      </x:c>
      <x:c r="B69" t="str">
        <x:v>Warm</x:v>
      </x:c>
      <x:c r="C69" t="n">
        <x:v>54.2</x:v>
      </x:c>
      <x:c r="D69" t="str">
        <x:v>Soledad</x:v>
      </x:c>
      <x:c r="E69" t="str">
        <x:v>Juncosa</x:v>
      </x:c>
      <x:c r="F69" t="str">
        <x:v>sjuncosa@winesofargentina.com</x:v>
      </x:c>
      <x:c r="G69" t="str"/>
      <x:c r="H69" t="str"/>
      <x:c r="I69" s="32" t="n">
        <x:v>0.6045</x:v>
      </x:c>
      <x:c r="J69" t="n">
        <x:v>42.3</x:v>
      </x:c>
      <x:c r="K69" t="n">
        <x:v>0</x:v>
      </x:c>
      <x:c r="L69" t="str">
        <x:v>Personalized nurture follow-up</x:v>
      </x:c>
    </x:row>
    <x:row r="70">
      <x:c r="A70" t="n">
        <x:v>69</x:v>
      </x:c>
      <x:c r="B70" t="str">
        <x:v>Warm</x:v>
      </x:c>
      <x:c r="C70" t="n">
        <x:v>53.8</x:v>
      </x:c>
      <x:c r="D70" t="str">
        <x:v>Ana</x:v>
      </x:c>
      <x:c r="E70" t="str">
        <x:v>Fraisse</x:v>
      </x:c>
      <x:c r="F70" t="str">
        <x:v>ana.fraisse@grupobimbo.com</x:v>
      </x:c>
      <x:c r="G70" t="str">
        <x:v>Bimbo QSR</x:v>
      </x:c>
      <x:c r="H70" t="str">
        <x:v>United States</x:v>
      </x:c>
      <x:c r="I70" s="32" t="n">
        <x:v>0.5948</x:v>
      </x:c>
      <x:c r="J70" t="n">
        <x:v>41.6</x:v>
      </x:c>
      <x:c r="K70" t="n">
        <x:v>0</x:v>
      </x:c>
      <x:c r="L70" t="str">
        <x:v>Personalized nurture follow-up</x:v>
      </x:c>
    </x:row>
    <x:row r="71">
      <x:c r="A71" t="n">
        <x:v>70</x:v>
      </x:c>
      <x:c r="B71" t="str">
        <x:v>Warm</x:v>
      </x:c>
      <x:c r="C71" t="n">
        <x:v>53.4</x:v>
      </x:c>
      <x:c r="D71" t="str">
        <x:v>Lourdes</x:v>
      </x:c>
      <x:c r="E71" t="str">
        <x:v>Manrique</x:v>
      </x:c>
      <x:c r="F71" t="str">
        <x:v>lourdes.manrique@regrow.ag</x:v>
      </x:c>
      <x:c r="G71" t="str">
        <x:v>Regrow</x:v>
      </x:c>
      <x:c r="H71" t="str">
        <x:v>Argentina</x:v>
      </x:c>
      <x:c r="I71" s="32" t="n">
        <x:v>0.5843</x:v>
      </x:c>
      <x:c r="J71" t="n">
        <x:v>40.9</x:v>
      </x:c>
      <x:c r="K71" t="n">
        <x:v>0</x:v>
      </x:c>
      <x:c r="L71" t="str">
        <x:v>Personalized nurture follow-up</x:v>
      </x:c>
    </x:row>
    <x:row r="72">
      <x:c r="A72" t="n">
        <x:v>71</x:v>
      </x:c>
      <x:c r="B72" t="str">
        <x:v>Warm</x:v>
      </x:c>
      <x:c r="C72" t="n">
        <x:v>53.1</x:v>
      </x:c>
      <x:c r="D72" t="str">
        <x:v>Sergio</x:v>
      </x:c>
      <x:c r="E72" t="str">
        <x:v>Tiberi</x:v>
      </x:c>
      <x:c r="F72" t="str">
        <x:v>stiberi@familiazuccardi.com</x:v>
      </x:c>
      <x:c r="G72" t="str"/>
      <x:c r="H72" t="str"/>
      <x:c r="I72" s="32" t="n">
        <x:v>0.5786</x:v>
      </x:c>
      <x:c r="J72" t="n">
        <x:v>40.5</x:v>
      </x:c>
      <x:c r="K72" t="n">
        <x:v>0</x:v>
      </x:c>
      <x:c r="L72" t="str">
        <x:v>Personalized nurture follow-up</x:v>
      </x:c>
    </x:row>
    <x:row r="73">
      <x:c r="A73" t="n">
        <x:v>72</x:v>
      </x:c>
      <x:c r="B73" t="str">
        <x:v>Warm</x:v>
      </x:c>
      <x:c r="C73" t="n">
        <x:v>52.4</x:v>
      </x:c>
      <x:c r="D73" t="str">
        <x:v>ROCIO</x:v>
      </x:c>
      <x:c r="E73" t="str">
        <x:v>FRETTES</x:v>
      </x:c>
      <x:c r="F73" t="str">
        <x:v>rocio@pulentaestate.com</x:v>
      </x:c>
      <x:c r="G73" t="str"/>
      <x:c r="H73" t="str"/>
      <x:c r="I73" s="32" t="n">
        <x:v>0.5595</x:v>
      </x:c>
      <x:c r="J73" t="n">
        <x:v>39.2</x:v>
      </x:c>
      <x:c r="K73" t="n">
        <x:v>0</x:v>
      </x:c>
      <x:c r="L73" t="str">
        <x:v>Personalized nurture follow-up</x:v>
      </x:c>
    </x:row>
    <x:row r="74">
      <x:c r="A74" t="n">
        <x:v>73</x:v>
      </x:c>
      <x:c r="B74" t="str">
        <x:v>Warm</x:v>
      </x:c>
      <x:c r="C74" t="n">
        <x:v>52.1</x:v>
      </x:c>
      <x:c r="D74" t="str">
        <x:v>Macarena</x:v>
      </x:c>
      <x:c r="E74" t="str">
        <x:v>Mora</x:v>
      </x:c>
      <x:c r="F74" t="str">
        <x:v>administracion@casayague.com</x:v>
      </x:c>
      <x:c r="G74" t="str"/>
      <x:c r="H74" t="str"/>
      <x:c r="I74" s="32" t="n">
        <x:v>0.5531</x:v>
      </x:c>
      <x:c r="J74" t="n">
        <x:v>38.7</x:v>
      </x:c>
      <x:c r="K74" t="n">
        <x:v>0</x:v>
      </x:c>
      <x:c r="L74" t="str">
        <x:v>Personalized nurture follow-up</x:v>
      </x:c>
    </x:row>
    <x:row r="75">
      <x:c r="A75" t="n">
        <x:v>74</x:v>
      </x:c>
      <x:c r="B75" t="str">
        <x:v>Warm</x:v>
      </x:c>
      <x:c r="C75" t="n">
        <x:v>51.9</x:v>
      </x:c>
      <x:c r="D75" t="str">
        <x:v>Pamela</x:v>
      </x:c>
      <x:c r="E75" t="str">
        <x:v>Posse</x:v>
      </x:c>
      <x:c r="F75" t="str">
        <x:v>pame_posse@yahoo.com.ar</x:v>
      </x:c>
      <x:c r="G75" t="str"/>
      <x:c r="H75" t="str"/>
      <x:c r="I75" s="32" t="n">
        <x:v>0.5469</x:v>
      </x:c>
      <x:c r="J75" t="n">
        <x:v>38.3</x:v>
      </x:c>
      <x:c r="K75" t="n">
        <x:v>0</x:v>
      </x:c>
      <x:c r="L75" t="str">
        <x:v>Personalized nurture follow-up</x:v>
      </x:c>
    </x:row>
    <x:row r="76">
      <x:c r="A76" t="n">
        <x:v>75</x:v>
      </x:c>
      <x:c r="B76" t="str">
        <x:v>Warm</x:v>
      </x:c>
      <x:c r="C76" t="n">
        <x:v>51.8</x:v>
      </x:c>
      <x:c r="D76" t="str">
        <x:v>Pablo</x:v>
      </x:c>
      <x:c r="E76" t="str">
        <x:v>Palumbo</x:v>
      </x:c>
      <x:c r="F76" t="str">
        <x:v>ppalumbo@salentein.com</x:v>
      </x:c>
      <x:c r="G76" t="str">
        <x:v>Bodegas Salentein SA</x:v>
      </x:c>
      <x:c r="H76" t="str">
        <x:v>Argentina</x:v>
      </x:c>
      <x:c r="I76" s="32" t="n">
        <x:v>0.5457</x:v>
      </x:c>
      <x:c r="J76" t="n">
        <x:v>38.2</x:v>
      </x:c>
      <x:c r="K76" t="n">
        <x:v>0</x:v>
      </x:c>
      <x:c r="L76" t="str">
        <x:v>Personalized nurture follow-up</x:v>
      </x:c>
    </x:row>
    <x:row r="77">
      <x:c r="A77" t="n">
        <x:v>76</x:v>
      </x:c>
      <x:c r="B77" t="str">
        <x:v>Warm</x:v>
      </x:c>
      <x:c r="C77" t="n">
        <x:v>50.9</x:v>
      </x:c>
      <x:c r="D77" t="str">
        <x:v>Zoe</x:v>
      </x:c>
      <x:c r="E77" t="str">
        <x:v>Olivero</x:v>
      </x:c>
      <x:c r="F77" t="str">
        <x:v>zolivero@bio4.com.ar</x:v>
      </x:c>
      <x:c r="G77" t="str">
        <x:v>BIOETANOL RIO CUARTO SA</x:v>
      </x:c>
      <x:c r="H77" t="str">
        <x:v>ARGENTINA</x:v>
      </x:c>
      <x:c r="I77" s="32" t="n">
        <x:v>0.5233</x:v>
      </x:c>
      <x:c r="J77" t="n">
        <x:v>36.6</x:v>
      </x:c>
      <x:c r="K77" t="n">
        <x:v>0</x:v>
      </x:c>
      <x:c r="L77" t="str">
        <x:v>Personalized nurture follow-up</x:v>
      </x:c>
    </x:row>
    <x:row r="78">
      <x:c r="A78" t="n">
        <x:v>77</x:v>
      </x:c>
      <x:c r="B78" t="str">
        <x:v>Warm</x:v>
      </x:c>
      <x:c r="C78" t="n">
        <x:v>50.8</x:v>
      </x:c>
      <x:c r="D78" t="str">
        <x:v>Ángela</x:v>
      </x:c>
      <x:c r="E78" t="str">
        <x:v>Martín Pobo</x:v>
      </x:c>
      <x:c r="F78" t="str">
        <x:v>amartin@aimplas.es</x:v>
      </x:c>
      <x:c r="G78" t="str">
        <x:v>AIMPLAS</x:v>
      </x:c>
      <x:c r="H78" t="str">
        <x:v>España</x:v>
      </x:c>
      <x:c r="I78" s="32" t="n">
        <x:v>0.5193</x:v>
      </x:c>
      <x:c r="J78" t="n">
        <x:v>36.4</x:v>
      </x:c>
      <x:c r="K78" t="n">
        <x:v>0</x:v>
      </x:c>
      <x:c r="L78" t="str">
        <x:v>Personalized nurture follow-up</x:v>
      </x:c>
    </x:row>
    <x:row r="79">
      <x:c r="A79" t="n">
        <x:v>78</x:v>
      </x:c>
      <x:c r="B79" t="str">
        <x:v>Warm</x:v>
      </x:c>
      <x:c r="C79" t="n">
        <x:v>49.8</x:v>
      </x:c>
      <x:c r="D79" t="str">
        <x:v>Pablo</x:v>
      </x:c>
      <x:c r="E79" t="str">
        <x:v>cerutti</x:v>
      </x:c>
      <x:c r="F79" t="str">
        <x:v>pcerutti@inti.gob.ar</x:v>
      </x:c>
      <x:c r="G79" t="str"/>
      <x:c r="H79" t="str"/>
      <x:c r="I79" s="32" t="n">
        <x:v>0.4957</x:v>
      </x:c>
      <x:c r="J79" t="n">
        <x:v>34.7</x:v>
      </x:c>
      <x:c r="K79" t="n">
        <x:v>0</x:v>
      </x:c>
      <x:c r="L79" t="str">
        <x:v>Personalized nurture follow-up</x:v>
      </x:c>
    </x:row>
    <x:row r="80">
      <x:c r="A80" t="n">
        <x:v>79</x:v>
      </x:c>
      <x:c r="B80" t="str">
        <x:v>Warm</x:v>
      </x:c>
      <x:c r="C80" t="n">
        <x:v>49.6</x:v>
      </x:c>
      <x:c r="D80" t="str">
        <x:v>Natalia</x:v>
      </x:c>
      <x:c r="E80" t="str">
        <x:v>Bonassies</x:v>
      </x:c>
      <x:c r="F80" t="str">
        <x:v>nbonassies@cera.org.ar</x:v>
      </x:c>
      <x:c r="G80" t="str">
        <x:v>Cera</x:v>
      </x:c>
      <x:c r="H80" t="str">
        <x:v>Argentina </x:v>
      </x:c>
      <x:c r="I80" s="32" t="n">
        <x:v>0.4905</x:v>
      </x:c>
      <x:c r="J80" t="n">
        <x:v>34.3</x:v>
      </x:c>
      <x:c r="K80" t="n">
        <x:v>0</x:v>
      </x:c>
      <x:c r="L80" t="str">
        <x:v>Personalized nurture follow-up</x:v>
      </x:c>
    </x:row>
    <x:row r="81">
      <x:c r="A81" t="n">
        <x:v>80</x:v>
      </x:c>
      <x:c r="B81" t="str">
        <x:v>Warm</x:v>
      </x:c>
      <x:c r="C81" t="n">
        <x:v>49.1</x:v>
      </x:c>
      <x:c r="D81" t="str">
        <x:v>Vanesa</x:v>
      </x:c>
      <x:c r="E81" t="str">
        <x:v>Zupel</x:v>
      </x:c>
      <x:c r="F81" t="str">
        <x:v>vanesa.zupel@buyatti.com.ar</x:v>
      </x:c>
      <x:c r="G81" t="str">
        <x:v>Buyatti SAICA</x:v>
      </x:c>
      <x:c r="H81" t="str">
        <x:v>Argentina</x:v>
      </x:c>
      <x:c r="I81" s="32" t="n">
        <x:v>0.4781</x:v>
      </x:c>
      <x:c r="J81" t="n">
        <x:v>33.5</x:v>
      </x:c>
      <x:c r="K81" t="n">
        <x:v>0</x:v>
      </x:c>
      <x:c r="L81" t="str">
        <x:v>Personalized nurture follow-up</x:v>
      </x:c>
    </x:row>
    <x:row r="82">
      <x:c r="A82" t="n">
        <x:v>81</x:v>
      </x:c>
      <x:c r="B82" t="str">
        <x:v>Warm</x:v>
      </x:c>
      <x:c r="C82" t="n">
        <x:v>48.6</x:v>
      </x:c>
      <x:c r="D82" t="str">
        <x:v>MARIA JOSE</x:v>
      </x:c>
      <x:c r="E82" t="str">
        <x:v>PELEITAY PINTO</x:v>
      </x:c>
      <x:c r="F82" t="str">
        <x:v>mariajose@bodegafosterlorca.com</x:v>
      </x:c>
      <x:c r="G82" t="str"/>
      <x:c r="H82" t="str"/>
      <x:c r="I82" s="32" t="n">
        <x:v>0.4652</x:v>
      </x:c>
      <x:c r="J82" t="n">
        <x:v>32.6</x:v>
      </x:c>
      <x:c r="K82" t="n">
        <x:v>0</x:v>
      </x:c>
      <x:c r="L82" t="str">
        <x:v>Personalized nurture follow-up</x:v>
      </x:c>
    </x:row>
    <x:row r="83">
      <x:c r="A83" t="n">
        <x:v>82</x:v>
      </x:c>
      <x:c r="B83" t="str">
        <x:v>Warm</x:v>
      </x:c>
      <x:c r="C83" t="n">
        <x:v>48.1</x:v>
      </x:c>
      <x:c r="D83" t="str">
        <x:v>MARÍA BELÉN</x:v>
      </x:c>
      <x:c r="E83" t="str">
        <x:v>CASSATA</x:v>
      </x:c>
      <x:c r="F83" t="str">
        <x:v>cassatab@coopsve.com</x:v>
      </x:c>
      <x:c r="G83" t="str"/>
      <x:c r="H83" t="str"/>
      <x:c r="I83" s="32" t="n">
        <x:v>0.4524</x:v>
      </x:c>
      <x:c r="J83" t="n">
        <x:v>31.7</x:v>
      </x:c>
      <x:c r="K83" t="n">
        <x:v>0</x:v>
      </x:c>
      <x:c r="L83" t="str">
        <x:v>Personalized nurture follow-up</x:v>
      </x:c>
    </x:row>
    <x:row r="84">
      <x:c r="A84" t="n">
        <x:v>83</x:v>
      </x:c>
      <x:c r="B84" t="str">
        <x:v>Warm</x:v>
      </x:c>
      <x:c r="C84" t="n">
        <x:v>47</x:v>
      </x:c>
      <x:c r="D84" t="str">
        <x:v>Ana Belén</x:v>
      </x:c>
      <x:c r="E84" t="str">
        <x:v>Orioli</x:v>
      </x:c>
      <x:c r="F84" t="str">
        <x:v>borioli@norton.com.ar</x:v>
      </x:c>
      <x:c r="G84" t="str"/>
      <x:c r="H84" t="str"/>
      <x:c r="I84" s="32" t="n">
        <x:v>0.4252</x:v>
      </x:c>
      <x:c r="J84" t="n">
        <x:v>29.8</x:v>
      </x:c>
      <x:c r="K84" t="n">
        <x:v>0</x:v>
      </x:c>
      <x:c r="L84" t="str">
        <x:v>Personalized nurture follow-up</x:v>
      </x:c>
    </x:row>
    <x:row r="85">
      <x:c r="A85" t="n">
        <x:v>84</x:v>
      </x:c>
      <x:c r="B85" t="str">
        <x:v>Warm</x:v>
      </x:c>
      <x:c r="C85" t="n">
        <x:v>46.3</x:v>
      </x:c>
      <x:c r="D85" t="str">
        <x:v>Nora Beatriz</x:v>
      </x:c>
      <x:c r="E85" t="str">
        <x:v>Rubio</x:v>
      </x:c>
      <x:c r="F85" t="str">
        <x:v>nrubio@salentein.com</x:v>
      </x:c>
      <x:c r="G85" t="str"/>
      <x:c r="H85" t="str"/>
      <x:c r="I85" s="32" t="n">
        <x:v>0.4074</x:v>
      </x:c>
      <x:c r="J85" t="n">
        <x:v>28.5</x:v>
      </x:c>
      <x:c r="K85" t="n">
        <x:v>0</x:v>
      </x:c>
      <x:c r="L85" t="str">
        <x:v>Personalized nurture follow-up</x:v>
      </x:c>
    </x:row>
    <x:row r="86">
      <x:c r="A86" t="n">
        <x:v>85</x:v>
      </x:c>
      <x:c r="B86" t="str">
        <x:v>Warm</x:v>
      </x:c>
      <x:c r="C86" t="n">
        <x:v>46.1</x:v>
      </x:c>
      <x:c r="D86" t="str">
        <x:v>Fabián</x:v>
      </x:c>
      <x:c r="E86" t="str">
        <x:v>Garófalo</x:v>
      </x:c>
      <x:c r="F86" t="str">
        <x:v>fabian.garofalo@ecoetika.com</x:v>
      </x:c>
      <x:c r="G86" t="str">
        <x:v>EcoEtika</x:v>
      </x:c>
      <x:c r="H86" t="str">
        <x:v>Argentina</x:v>
      </x:c>
      <x:c r="I86" s="32" t="n">
        <x:v>0.4019</x:v>
      </x:c>
      <x:c r="J86" t="n">
        <x:v>28.1</x:v>
      </x:c>
      <x:c r="K86" t="n">
        <x:v>0</x:v>
      </x:c>
      <x:c r="L86" t="str">
        <x:v>Personalized nurture follow-up</x:v>
      </x:c>
    </x:row>
    <x:row r="87">
      <x:c r="A87" t="n">
        <x:v>86</x:v>
      </x:c>
      <x:c r="B87" t="str">
        <x:v>Warm</x:v>
      </x:c>
      <x:c r="C87" t="n">
        <x:v>45.1</x:v>
      </x:c>
      <x:c r="D87" t="str">
        <x:v>Pippa</x:v>
      </x:c>
      <x:c r="E87" t="str">
        <x:v>Townley</x:v>
      </x:c>
      <x:c r="F87" t="str">
        <x:v>pippat@blendswineestates.com</x:v>
      </x:c>
      <x:c r="G87" t="str"/>
      <x:c r="H87" t="str"/>
      <x:c r="I87" s="32" t="n">
        <x:v>0.3774</x:v>
      </x:c>
      <x:c r="J87" t="n">
        <x:v>26.4</x:v>
      </x:c>
      <x:c r="K87" t="n">
        <x:v>0</x:v>
      </x:c>
      <x:c r="L87" t="str">
        <x:v>Personalized nurture follow-up</x:v>
      </x:c>
    </x:row>
    <x:row r="88">
      <x:c r="A88" t="n">
        <x:v>87</x:v>
      </x:c>
      <x:c r="B88" t="str">
        <x:v>Warm</x:v>
      </x:c>
      <x:c r="C88" t="n">
        <x:v>44.8</x:v>
      </x:c>
      <x:c r="D88" t="str">
        <x:v>Berenice</x:v>
      </x:c>
      <x:c r="E88" t="str">
        <x:v>Burdet</x:v>
      </x:c>
      <x:c r="F88" t="str">
        <x:v>bereniceburdet@masitupungato.com</x:v>
      </x:c>
      <x:c r="G88" t="str"/>
      <x:c r="H88" t="str"/>
      <x:c r="I88" s="32" t="n">
        <x:v>0.3707</x:v>
      </x:c>
      <x:c r="J88" t="n">
        <x:v>25.9</x:v>
      </x:c>
      <x:c r="K88" t="n">
        <x:v>0</x:v>
      </x:c>
      <x:c r="L88" t="str">
        <x:v>Personalized nurture follow-up</x:v>
      </x:c>
    </x:row>
    <x:row r="89">
      <x:c r="A89" t="n">
        <x:v>88</x:v>
      </x:c>
      <x:c r="B89" t="str">
        <x:v>Warm</x:v>
      </x:c>
      <x:c r="C89" t="n">
        <x:v>44.8</x:v>
      </x:c>
      <x:c r="D89" t="str">
        <x:v>Gustavo</x:v>
      </x:c>
      <x:c r="E89" t="str">
        <x:v>Crespo</x:v>
      </x:c>
      <x:c r="F89" t="str">
        <x:v>gustavoc@blendswineestates.com</x:v>
      </x:c>
      <x:c r="G89" t="str"/>
      <x:c r="H89" t="str"/>
      <x:c r="I89" s="32" t="n">
        <x:v>0.3712</x:v>
      </x:c>
      <x:c r="J89" t="n">
        <x:v>26</x:v>
      </x:c>
      <x:c r="K89" t="n">
        <x:v>0</x:v>
      </x:c>
      <x:c r="L89" t="str">
        <x:v>Personalized nurture follow-up</x:v>
      </x:c>
    </x:row>
    <x:row r="90">
      <x:c r="A90" t="n">
        <x:v>89</x:v>
      </x:c>
      <x:c r="B90" t="str">
        <x:v>Warm</x:v>
      </x:c>
      <x:c r="C90" t="n">
        <x:v>43.7</x:v>
      </x:c>
      <x:c r="D90" t="str">
        <x:v>Agostina Daniela</x:v>
      </x:c>
      <x:c r="E90" t="str">
        <x:v>Guerrero</x:v>
      </x:c>
      <x:c r="F90" t="str">
        <x:v>agosdaguer.info@gmail.com</x:v>
      </x:c>
      <x:c r="G90" t="str"/>
      <x:c r="H90" t="str"/>
      <x:c r="I90" s="32" t="n">
        <x:v>0.3431</x:v>
      </x:c>
      <x:c r="J90" t="n">
        <x:v>24</x:v>
      </x:c>
      <x:c r="K90" t="n">
        <x:v>0</x:v>
      </x:c>
      <x:c r="L90" t="str">
        <x:v>Personalized nurture follow-up</x:v>
      </x:c>
    </x:row>
    <x:row r="91">
      <x:c r="A91" t="n">
        <x:v>90</x:v>
      </x:c>
      <x:c r="B91" t="str">
        <x:v>Warm</x:v>
      </x:c>
      <x:c r="C91" t="n">
        <x:v>43</x:v>
      </x:c>
      <x:c r="D91" t="str">
        <x:v>Emile</x:v>
      </x:c>
      <x:c r="E91" t="str">
        <x:v>Maerten</x:v>
      </x:c>
      <x:c r="F91" t="str">
        <x:v>emile.maerten@terratiogroup.com</x:v>
      </x:c>
      <x:c r="G91" t="str">
        <x:v>Terratio</x:v>
      </x:c>
      <x:c r="H91" t="str">
        <x:v>Argentine</x:v>
      </x:c>
      <x:c r="I91" s="32" t="n">
        <x:v>0.3255</x:v>
      </x:c>
      <x:c r="J91" t="n">
        <x:v>22.8</x:v>
      </x:c>
      <x:c r="K91" t="n">
        <x:v>0</x:v>
      </x:c>
      <x:c r="L91" t="str">
        <x:v>Personalized nurture follow-up</x:v>
      </x:c>
    </x:row>
    <x:row r="92">
      <x:c r="A92" t="n">
        <x:v>91</x:v>
      </x:c>
      <x:c r="B92" t="str">
        <x:v>Warm</x:v>
      </x:c>
      <x:c r="C92" t="n">
        <x:v>42.8</x:v>
      </x:c>
      <x:c r="D92" t="str">
        <x:v>Carlos</x:v>
      </x:c>
      <x:c r="E92" t="str">
        <x:v>Cabrera</x:v>
      </x:c>
      <x:c r="F92" t="str">
        <x:v>ccabrera@acpagro.com</x:v>
      </x:c>
      <x:c r="G92" t="str">
        <x:v>Agricola Cerro Prieto SA</x:v>
      </x:c>
      <x:c r="H92" t="str">
        <x:v>Perú </x:v>
      </x:c>
      <x:c r="I92" s="32" t="n">
        <x:v>0.3205</x:v>
      </x:c>
      <x:c r="J92" t="n">
        <x:v>22.4</x:v>
      </x:c>
      <x:c r="K92" t="n">
        <x:v>0</x:v>
      </x:c>
      <x:c r="L92" t="str">
        <x:v>Personalized nurture follow-up</x:v>
      </x:c>
    </x:row>
    <x:row r="93">
      <x:c r="A93" t="n">
        <x:v>92</x:v>
      </x:c>
      <x:c r="B93" t="str">
        <x:v>Warm</x:v>
      </x:c>
      <x:c r="C93" t="n">
        <x:v>41.7</x:v>
      </x:c>
      <x:c r="D93" t="str">
        <x:v>Mauro Andrés</x:v>
      </x:c>
      <x:c r="E93" t="str">
        <x:v>Povedano</x:v>
      </x:c>
      <x:c r="F93" t="str">
        <x:v>apovedano@bodegasfabre.com</x:v>
      </x:c>
      <x:c r="G93" t="str"/>
      <x:c r="H93" t="str"/>
      <x:c r="I93" s="32" t="n">
        <x:v>0.2926</x:v>
      </x:c>
      <x:c r="J93" t="n">
        <x:v>20.5</x:v>
      </x:c>
      <x:c r="K93" t="n">
        <x:v>0</x:v>
      </x:c>
      <x:c r="L93" t="str">
        <x:v>Personalized nurture follow-up</x:v>
      </x:c>
    </x:row>
    <x:row r="94">
      <x:c r="A94" t="n">
        <x:v>93</x:v>
      </x:c>
      <x:c r="B94" t="str">
        <x:v>Warm</x:v>
      </x:c>
      <x:c r="C94" t="n">
        <x:v>41.2</x:v>
      </x:c>
      <x:c r="D94" t="str">
        <x:v>Alejandra</x:v>
      </x:c>
      <x:c r="E94" t="str">
        <x:v>Farías</x:v>
      </x:c>
      <x:c r="F94" t="str">
        <x:v>alejandra.farias@imcdchile.com</x:v>
      </x:c>
      <x:c r="G94" t="str">
        <x:v>IMCD Chile</x:v>
      </x:c>
      <x:c r="H94" t="str">
        <x:v>Chile</x:v>
      </x:c>
      <x:c r="I94" s="32" t="n">
        <x:v>0.2795</x:v>
      </x:c>
      <x:c r="J94" t="n">
        <x:v>19.6</x:v>
      </x:c>
      <x:c r="K94" t="n">
        <x:v>0</x:v>
      </x:c>
      <x:c r="L94" t="str">
        <x:v>Personalized nurture follow-up</x:v>
      </x:c>
    </x:row>
    <x:row r="95">
      <x:c r="A95" t="n">
        <x:v>94</x:v>
      </x:c>
      <x:c r="B95" t="str">
        <x:v>Warm</x:v>
      </x:c>
      <x:c r="C95" t="n">
        <x:v>40.4</x:v>
      </x:c>
      <x:c r="D95" t="str">
        <x:v>Daniel</x:v>
      </x:c>
      <x:c r="E95" t="str">
        <x:v>Velásquez</x:v>
      </x:c>
      <x:c r="F95" t="str">
        <x:v>contacto@bywine.com.ar</x:v>
      </x:c>
      <x:c r="G95" t="str"/>
      <x:c r="H95" t="str"/>
      <x:c r="I95" s="32" t="n">
        <x:v>0.2607</x:v>
      </x:c>
      <x:c r="J95" t="n">
        <x:v>18.2</x:v>
      </x:c>
      <x:c r="K95" t="n">
        <x:v>0</x:v>
      </x:c>
      <x:c r="L95" t="str">
        <x:v>Personalized nurture follow-up</x:v>
      </x:c>
    </x:row>
  </x:sheetData>
  <x:conditionalFormatting sqref="B2:B95">
    <x:cfRule type="expression" dxfId="4" priority="1">
      <x:formula>B2="Hot"</x:formula>
    </x:cfRule>
    <x:cfRule type="expression" dxfId="5" priority="2">
      <x:formula>B2="Warm"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bd71f0a2604d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30" hidden="0" customWidth="1"/>
    <x:col min="5" max="5" width="27" hidden="0" customWidth="1"/>
    <x:col min="6" max="6" width="16" hidden="0" customWidth="1"/>
    <x:col min="7" max="7" width="11" hidden="0" customWidth="1"/>
    <x:col min="8" max="8" width="14" hidden="0" customWidth="1"/>
    <x:col min="9" max="9" width="13" hidden="0" customWidth="1"/>
    <x:col min="10" max="10" width="11" hidden="0" customWidth="1"/>
    <x:col min="11" max="11" width="11" hidden="0" customWidth="1"/>
    <x:col min="12" max="12" width="18" hidden="0" customWidth="1"/>
    <x:col min="13" max="13" width="10" hidden="0" customWidth="1"/>
    <x:col min="14" max="14" width="24" hidden="0" customWidth="1"/>
  </x:cols>
  <x:sheetData>
    <x:row r="1">
      <x:c r="A1" s="62" t="str">
        <x:v>Rank</x:v>
      </x:c>
      <x:c r="B1" s="62" t="str">
        <x:v>First Name</x:v>
      </x:c>
      <x:c r="C1" s="62" t="str">
        <x:v>Last Name</x:v>
      </x:c>
      <x:c r="D1" s="62" t="str">
        <x:v>Email</x:v>
      </x:c>
      <x:c r="E1" s="62" t="str">
        <x:v>Organization</x:v>
      </x:c>
      <x:c r="F1" s="62" t="str">
        <x:v>Country/Region</x:v>
      </x:c>
      <x:c r="G1" s="62" t="str">
        <x:v>Attended</x:v>
      </x:c>
      <x:c r="H1" s="62" t="str">
        <x:v>Duration (min)</x:v>
      </x:c>
      <x:c r="I1" s="62" t="str">
        <x:v>Attendance %</x:v>
      </x:c>
      <x:c r="J1" s="62" t="str">
        <x:v>Questions</x:v>
      </x:c>
      <x:c r="K1" s="62" t="str">
        <x:v>Other Q&amp;A</x:v>
      </x:c>
      <x:c r="L1" s="62" t="str">
        <x:v>Internal / Partner</x:v>
      </x:c>
      <x:c r="M1" s="62" t="str">
        <x:v>Score</x:v>
      </x:c>
      <x:c r="N1" s="62" t="str">
        <x:v>Lead Status</x:v>
      </x:c>
    </x:row>
    <x:row r="2">
      <x:c r="A2" t="n">
        <x:v>1</x:v>
      </x:c>
      <x:c r="B2" t="str">
        <x:v>EMILIA</x:v>
      </x:c>
      <x:c r="C2" t="str">
        <x:v>CANAVATI PEREZ</x:v>
      </x:c>
      <x:c r="D2" t="str">
        <x:v>emilia.canavati@grupobimbo.com</x:v>
      </x:c>
      <x:c r="E2" t="str">
        <x:v>Grupo Bimbo</x:v>
      </x:c>
      <x:c r="F2" t="str">
        <x:v>México</x:v>
      </x:c>
      <x:c r="G2" t="str">
        <x:v>Yes</x:v>
      </x:c>
      <x:c r="H2" t="n">
        <x:v>47.5</x:v>
      </x:c>
      <x:c r="I2" s="32" t="n">
        <x:v>0.6779</x:v>
      </x:c>
      <x:c r="J2" t="n">
        <x:v>1</x:v>
      </x:c>
      <x:c r="K2" t="n">
        <x:v>0</x:v>
      </x:c>
      <x:c r="L2" t="str">
        <x:v>No</x:v>
      </x:c>
      <x:c r="M2" s="64" t="n">
        <x:f>'Scoring Model'!$B$4+IF(G2="Yes",'Scoring Model'!$B$5,0)+MIN('Scoring Model'!$B$7,H2/'Scoring Model'!$B$6*'Scoring Model'!$B$7)+MIN('Scoring Model'!$B$8,J2*'Scoring Model'!$B$8)+MIN('Scoring Model'!$B$10,K2*'Scoring Model'!$B$9)</x:f>
        <x:v>77.14285714285714</x:v>
      </x:c>
      <x:c r="N2" t="str">
        <x:f>IF(L2="Yes","Internal / Partner / Excluded",IF(M2&gt;='Scoring Model'!$B$11,"Hot",IF(M2&gt;='Scoring Model'!$B$12,"Warm","Cold")))</x:f>
        <x:v>Hot</x:v>
      </x:c>
    </x:row>
    <x:row r="3">
      <x:c r="A3" t="n">
        <x:v>2</x:v>
      </x:c>
      <x:c r="B3" t="str">
        <x:v>Laura</x:v>
      </x:c>
      <x:c r="C3" t="str">
        <x:v>González</x:v>
      </x:c>
      <x:c r="D3" t="str">
        <x:v>lgonzalez@catenazapata.com</x:v>
      </x:c>
      <x:c r="E3" t="str"/>
      <x:c r="F3" t="str"/>
      <x:c r="G3" t="str">
        <x:v>Yes</x:v>
      </x:c>
      <x:c r="H3" t="n">
        <x:v>41.4</x:v>
      </x:c>
      <x:c r="I3" s="32" t="n">
        <x:v>0.5912</x:v>
      </x:c>
      <x:c r="J3" t="n">
        <x:v>2</x:v>
      </x:c>
      <x:c r="K3" t="n">
        <x:v>0</x:v>
      </x:c>
      <x:c r="L3" t="str">
        <x:v>No</x:v>
      </x:c>
      <x:c r="M3" s="64" t="n">
        <x:f>'Scoring Model'!$B$4+IF(G3="Yes",'Scoring Model'!$B$5,0)+MIN('Scoring Model'!$B$7,H3/'Scoring Model'!$B$6*'Scoring Model'!$B$7)+MIN('Scoring Model'!$B$8,J3*'Scoring Model'!$B$8)+MIN('Scoring Model'!$B$10,K3*'Scoring Model'!$B$9)</x:f>
        <x:v>73.65714285714286</x:v>
      </x:c>
      <x:c r="N3" t="str">
        <x:f>IF(L3="Yes","Internal / Partner / Excluded",IF(M3&gt;='Scoring Model'!$B$11,"Hot",IF(M3&gt;='Scoring Model'!$B$12,"Warm","Cold")))</x:f>
        <x:v>Hot</x:v>
      </x:c>
    </x:row>
    <x:row r="4">
      <x:c r="A4" t="n">
        <x:v>3</x:v>
      </x:c>
      <x:c r="B4" t="str">
        <x:v>Viviana</x:v>
      </x:c>
      <x:c r="C4" t="str">
        <x:v>Michel</x:v>
      </x:c>
      <x:c r="D4" t="str">
        <x:v>alejandravivianamichel17@gmail.com</x:v>
      </x:c>
      <x:c r="E4" t="str"/>
      <x:c r="F4" t="str"/>
      <x:c r="G4" t="str">
        <x:v>Yes</x:v>
      </x:c>
      <x:c r="H4" t="n">
        <x:v>70</x:v>
      </x:c>
      <x:c r="I4" s="32" t="n">
        <x:v>1</x:v>
      </x:c>
      <x:c r="J4" t="n">
        <x:v>0</x:v>
      </x:c>
      <x:c r="K4" t="n">
        <x:v>0</x:v>
      </x:c>
      <x:c r="L4" t="str">
        <x:v>No</x:v>
      </x:c>
      <x:c r="M4" s="64" t="n">
        <x:f>'Scoring Model'!$B$4+IF(G4="Yes",'Scoring Model'!$B$5,0)+MIN('Scoring Model'!$B$7,H4/'Scoring Model'!$B$6*'Scoring Model'!$B$7)+MIN('Scoring Model'!$B$8,J4*'Scoring Model'!$B$8)+MIN('Scoring Model'!$B$10,K4*'Scoring Model'!$B$9)</x:f>
        <x:v>70</x:v>
      </x:c>
      <x:c r="N4" t="str">
        <x:f>IF(L4="Yes","Internal / Partner / Excluded",IF(M4&gt;='Scoring Model'!$B$11,"Hot",IF(M4&gt;='Scoring Model'!$B$12,"Warm","Cold")))</x:f>
        <x:v>Hot</x:v>
      </x:c>
    </x:row>
    <x:row r="5">
      <x:c r="A5" t="n">
        <x:v>4</x:v>
      </x:c>
      <x:c r="B5" t="str">
        <x:v>SEBASTIAN</x:v>
      </x:c>
      <x:c r="C5" t="str">
        <x:v>CASTRO</x:v>
      </x:c>
      <x:c r="D5" t="str">
        <x:v>scastro@familiazuccardi.com</x:v>
      </x:c>
      <x:c r="E5" t="str"/>
      <x:c r="F5" t="str"/>
      <x:c r="G5" t="str">
        <x:v>Yes</x:v>
      </x:c>
      <x:c r="H5" t="n">
        <x:v>70</x:v>
      </x:c>
      <x:c r="I5" s="32" t="n">
        <x:v>1</x:v>
      </x:c>
      <x:c r="J5" t="n">
        <x:v>0</x:v>
      </x:c>
      <x:c r="K5" t="n">
        <x:v>0</x:v>
      </x:c>
      <x:c r="L5" t="str">
        <x:v>No</x:v>
      </x:c>
      <x:c r="M5" s="64" t="n">
        <x:f>'Scoring Model'!$B$4+IF(G5="Yes",'Scoring Model'!$B$5,0)+MIN('Scoring Model'!$B$7,H5/'Scoring Model'!$B$6*'Scoring Model'!$B$7)+MIN('Scoring Model'!$B$8,J5*'Scoring Model'!$B$8)+MIN('Scoring Model'!$B$10,K5*'Scoring Model'!$B$9)</x:f>
        <x:v>70</x:v>
      </x:c>
      <x:c r="N5" t="str">
        <x:f>IF(L5="Yes","Internal / Partner / Excluded",IF(M5&gt;='Scoring Model'!$B$11,"Hot",IF(M5&gt;='Scoring Model'!$B$12,"Warm","Cold")))</x:f>
        <x:v>Hot</x:v>
      </x:c>
    </x:row>
    <x:row r="6">
      <x:c r="A6" t="n">
        <x:v>5</x:v>
      </x:c>
      <x:c r="B6" t="str">
        <x:v>Silvana</x:v>
      </x:c>
      <x:c r="C6" t="str">
        <x:v>Beccarini</x:v>
      </x:c>
      <x:c r="D6" t="str">
        <x:v>calidad@biovanda.com.ar</x:v>
      </x:c>
      <x:c r="E6" t="str">
        <x:v>Bio Vanda S.A.</x:v>
      </x:c>
      <x:c r="F6" t="str">
        <x:v>Argentina</x:v>
      </x:c>
      <x:c r="G6" t="str">
        <x:v>Yes</x:v>
      </x:c>
      <x:c r="H6" t="n">
        <x:v>70</x:v>
      </x:c>
      <x:c r="I6" s="32" t="n">
        <x:v>1</x:v>
      </x:c>
      <x:c r="J6" t="n">
        <x:v>0</x:v>
      </x:c>
      <x:c r="K6" t="n">
        <x:v>0</x:v>
      </x:c>
      <x:c r="L6" t="str">
        <x:v>No</x:v>
      </x:c>
      <x:c r="M6" s="64" t="n">
        <x:f>'Scoring Model'!$B$4+IF(G6="Yes",'Scoring Model'!$B$5,0)+MIN('Scoring Model'!$B$7,H6/'Scoring Model'!$B$6*'Scoring Model'!$B$7)+MIN('Scoring Model'!$B$8,J6*'Scoring Model'!$B$8)+MIN('Scoring Model'!$B$10,K6*'Scoring Model'!$B$9)</x:f>
        <x:v>70</x:v>
      </x:c>
      <x:c r="N6" t="str">
        <x:f>IF(L6="Yes","Internal / Partner / Excluded",IF(M6&gt;='Scoring Model'!$B$11,"Hot",IF(M6&gt;='Scoring Model'!$B$12,"Warm","Cold")))</x:f>
        <x:v>Hot</x:v>
      </x:c>
    </x:row>
    <x:row r="7">
      <x:c r="A7" t="n">
        <x:v>6</x:v>
      </x:c>
      <x:c r="B7" t="str">
        <x:v>Rosario</x:v>
      </x:c>
      <x:c r="C7" t="str">
        <x:v>Sotelo</x:v>
      </x:c>
      <x:c r="D7" t="str">
        <x:v>rosario.sotelo@grupocolome.com</x:v>
      </x:c>
      <x:c r="E7" t="str"/>
      <x:c r="F7" t="str"/>
      <x:c r="G7" t="str">
        <x:v>Yes</x:v>
      </x:c>
      <x:c r="H7" t="n">
        <x:v>58.4</x:v>
      </x:c>
      <x:c r="I7" s="32" t="n">
        <x:v>0.834</x:v>
      </x:c>
      <x:c r="J7" t="n">
        <x:v>0</x:v>
      </x:c>
      <x:c r="K7" t="n">
        <x:v>0</x:v>
      </x:c>
      <x:c r="L7" t="str">
        <x:v>No</x:v>
      </x:c>
      <x:c r="M7" s="64" t="n">
        <x:f>'Scoring Model'!$B$4+IF(G7="Yes",'Scoring Model'!$B$5,0)+MIN('Scoring Model'!$B$7,H7/'Scoring Model'!$B$6*'Scoring Model'!$B$7)+MIN('Scoring Model'!$B$8,J7*'Scoring Model'!$B$8)+MIN('Scoring Model'!$B$10,K7*'Scoring Model'!$B$9)</x:f>
        <x:v>63.371428571428574</x:v>
      </x:c>
      <x:c r="N7" t="str">
        <x:f>IF(L7="Yes","Internal / Partner / Excluded",IF(M7&gt;='Scoring Model'!$B$11,"Hot",IF(M7&gt;='Scoring Model'!$B$12,"Warm","Cold")))</x:f>
        <x:v>Warm</x:v>
      </x:c>
    </x:row>
    <x:row r="8">
      <x:c r="A8" t="n">
        <x:v>7</x:v>
      </x:c>
      <x:c r="B8" t="str">
        <x:v>Clara</x:v>
      </x:c>
      <x:c r="C8" t="str">
        <x:v>Foresi</x:v>
      </x:c>
      <x:c r="D8" t="str">
        <x:v>claraforesi@gmail.com</x:v>
      </x:c>
      <x:c r="E8" t="str">
        <x:v>WOFA</x:v>
      </x:c>
      <x:c r="F8" t="str">
        <x:v>Argentina</x:v>
      </x:c>
      <x:c r="G8" t="str">
        <x:v>Yes</x:v>
      </x:c>
      <x:c r="H8" t="n">
        <x:v>58</x:v>
      </x:c>
      <x:c r="I8" s="32" t="n">
        <x:v>0.8283</x:v>
      </x:c>
      <x:c r="J8" t="n">
        <x:v>0</x:v>
      </x:c>
      <x:c r="K8" t="n">
        <x:v>0</x:v>
      </x:c>
      <x:c r="L8" t="str">
        <x:v>No</x:v>
      </x:c>
      <x:c r="M8" s="64" t="n">
        <x:f>'Scoring Model'!$B$4+IF(G8="Yes",'Scoring Model'!$B$5,0)+MIN('Scoring Model'!$B$7,H8/'Scoring Model'!$B$6*'Scoring Model'!$B$7)+MIN('Scoring Model'!$B$8,J8*'Scoring Model'!$B$8)+MIN('Scoring Model'!$B$10,K8*'Scoring Model'!$B$9)</x:f>
        <x:v>63.142857142857146</x:v>
      </x:c>
      <x:c r="N8" t="str">
        <x:f>IF(L8="Yes","Internal / Partner / Excluded",IF(M8&gt;='Scoring Model'!$B$11,"Hot",IF(M8&gt;='Scoring Model'!$B$12,"Warm","Cold")))</x:f>
        <x:v>Warm</x:v>
      </x:c>
    </x:row>
    <x:row r="9">
      <x:c r="A9" t="n">
        <x:v>8</x:v>
      </x:c>
      <x:c r="B9" t="str">
        <x:v>Carolina</x:v>
      </x:c>
      <x:c r="C9" t="str">
        <x:v>Barbuzza</x:v>
      </x:c>
      <x:c r="D9" t="str">
        <x:v>cfbarbuzza@gmail.com</x:v>
      </x:c>
      <x:c r="E9" t="str">
        <x:v>Ingeniería Ambiental Consultora</x:v>
      </x:c>
      <x:c r="F9" t="str">
        <x:v>Argentina</x:v>
      </x:c>
      <x:c r="G9" t="str">
        <x:v>Yes</x:v>
      </x:c>
      <x:c r="H9" t="n">
        <x:v>56.8</x:v>
      </x:c>
      <x:c r="I9" s="32" t="n">
        <x:v>0.8114</x:v>
      </x:c>
      <x:c r="J9" t="n">
        <x:v>0</x:v>
      </x:c>
      <x:c r="K9" t="n">
        <x:v>0</x:v>
      </x:c>
      <x:c r="L9" t="str">
        <x:v>No</x:v>
      </x:c>
      <x:c r="M9" s="64" t="n">
        <x:f>'Scoring Model'!$B$4+IF(G9="Yes",'Scoring Model'!$B$5,0)+MIN('Scoring Model'!$B$7,H9/'Scoring Model'!$B$6*'Scoring Model'!$B$7)+MIN('Scoring Model'!$B$8,J9*'Scoring Model'!$B$8)+MIN('Scoring Model'!$B$10,K9*'Scoring Model'!$B$9)</x:f>
        <x:v>62.457142857142856</x:v>
      </x:c>
      <x:c r="N9" t="str">
        <x:f>IF(L9="Yes","Internal / Partner / Excluded",IF(M9&gt;='Scoring Model'!$B$11,"Hot",IF(M9&gt;='Scoring Model'!$B$12,"Warm","Cold")))</x:f>
        <x:v>Warm</x:v>
      </x:c>
    </x:row>
    <x:row r="10">
      <x:c r="A10" t="n">
        <x:v>9</x:v>
      </x:c>
      <x:c r="B10" t="str">
        <x:v>Alejandro</x:v>
      </x:c>
      <x:c r="C10" t="str">
        <x:v>Mónaco</x:v>
      </x:c>
      <x:c r="D10" t="str">
        <x:v>monacoale@hotmail.com</x:v>
      </x:c>
      <x:c r="E10" t="str"/>
      <x:c r="F10" t="str"/>
      <x:c r="G10" t="str">
        <x:v>Yes</x:v>
      </x:c>
      <x:c r="H10" t="n">
        <x:v>56</x:v>
      </x:c>
      <x:c r="I10" s="32" t="n">
        <x:v>0.8002</x:v>
      </x:c>
      <x:c r="J10" t="n">
        <x:v>0</x:v>
      </x:c>
      <x:c r="K10" t="n">
        <x:v>0</x:v>
      </x:c>
      <x:c r="L10" t="str">
        <x:v>No</x:v>
      </x:c>
      <x:c r="M10" s="64" t="n">
        <x:f>'Scoring Model'!$B$4+IF(G10="Yes",'Scoring Model'!$B$5,0)+MIN('Scoring Model'!$B$7,H10/'Scoring Model'!$B$6*'Scoring Model'!$B$7)+MIN('Scoring Model'!$B$8,J10*'Scoring Model'!$B$8)+MIN('Scoring Model'!$B$10,K10*'Scoring Model'!$B$9)</x:f>
        <x:v>62</x:v>
      </x:c>
      <x:c r="N10" t="str">
        <x:f>IF(L10="Yes","Internal / Partner / Excluded",IF(M10&gt;='Scoring Model'!$B$11,"Hot",IF(M10&gt;='Scoring Model'!$B$12,"Warm","Cold")))</x:f>
        <x:v>Warm</x:v>
      </x:c>
    </x:row>
    <x:row r="11">
      <x:c r="A11" t="n">
        <x:v>10</x:v>
      </x:c>
      <x:c r="B11" t="str">
        <x:v>Silvana</x:v>
      </x:c>
      <x:c r="C11" t="str">
        <x:v>Di Marco</x:v>
      </x:c>
      <x:c r="D11" t="str">
        <x:v>silvanadimarco@mendozavineyards.com</x:v>
      </x:c>
      <x:c r="E11" t="str"/>
      <x:c r="F11" t="str"/>
      <x:c r="G11" t="str">
        <x:v>Yes</x:v>
      </x:c>
      <x:c r="H11" t="n">
        <x:v>54.2</x:v>
      </x:c>
      <x:c r="I11" s="32" t="n">
        <x:v>0.7738</x:v>
      </x:c>
      <x:c r="J11" t="n">
        <x:v>0</x:v>
      </x:c>
      <x:c r="K11" t="n">
        <x:v>0</x:v>
      </x:c>
      <x:c r="L11" t="str">
        <x:v>No</x:v>
      </x:c>
      <x:c r="M11" s="64" t="n">
        <x:f>'Scoring Model'!$B$4+IF(G11="Yes",'Scoring Model'!$B$5,0)+MIN('Scoring Model'!$B$7,H11/'Scoring Model'!$B$6*'Scoring Model'!$B$7)+MIN('Scoring Model'!$B$8,J11*'Scoring Model'!$B$8)+MIN('Scoring Model'!$B$10,K11*'Scoring Model'!$B$9)</x:f>
        <x:v>60.971428571428575</x:v>
      </x:c>
      <x:c r="N11" t="str">
        <x:f>IF(L11="Yes","Internal / Partner / Excluded",IF(M11&gt;='Scoring Model'!$B$11,"Hot",IF(M11&gt;='Scoring Model'!$B$12,"Warm","Cold")))</x:f>
        <x:v>Warm</x:v>
      </x:c>
    </x:row>
    <x:row r="12">
      <x:c r="A12" t="n">
        <x:v>11</x:v>
      </x:c>
      <x:c r="B12" t="str">
        <x:v>Lucía</x:v>
      </x:c>
      <x:c r="C12" t="str">
        <x:v>del Barrio</x:v>
      </x:c>
      <x:c r="D12" t="str">
        <x:v>liris.ambiente@gmail.com</x:v>
      </x:c>
      <x:c r="E12" t="str"/>
      <x:c r="F12" t="str"/>
      <x:c r="G12" t="str">
        <x:v>Yes</x:v>
      </x:c>
      <x:c r="H12" t="n">
        <x:v>52.6</x:v>
      </x:c>
      <x:c r="I12" s="32" t="n">
        <x:v>0.7519</x:v>
      </x:c>
      <x:c r="J12" t="n">
        <x:v>0</x:v>
      </x:c>
      <x:c r="K12" t="n">
        <x:v>0</x:v>
      </x:c>
      <x:c r="L12" t="str">
        <x:v>No</x:v>
      </x:c>
      <x:c r="M12" s="64" t="n">
        <x:f>'Scoring Model'!$B$4+IF(G12="Yes",'Scoring Model'!$B$5,0)+MIN('Scoring Model'!$B$7,H12/'Scoring Model'!$B$6*'Scoring Model'!$B$7)+MIN('Scoring Model'!$B$8,J12*'Scoring Model'!$B$8)+MIN('Scoring Model'!$B$10,K12*'Scoring Model'!$B$9)</x:f>
        <x:v>60.05714285714286</x:v>
      </x:c>
      <x:c r="N12" t="str">
        <x:f>IF(L12="Yes","Internal / Partner / Excluded",IF(M12&gt;='Scoring Model'!$B$11,"Hot",IF(M12&gt;='Scoring Model'!$B$12,"Warm","Cold")))</x:f>
        <x:v>Warm</x:v>
      </x:c>
    </x:row>
    <x:row r="13">
      <x:c r="A13" t="n">
        <x:v>12</x:v>
      </x:c>
      <x:c r="B13" t="str">
        <x:v>Lucas</x:v>
      </x:c>
      <x:c r="C13" t="str">
        <x:v>Escudero</x:v>
      </x:c>
      <x:c r="D13" t="str">
        <x:v>lucas.escudero90@gmail.com</x:v>
      </x:c>
      <x:c r="E13" t="str"/>
      <x:c r="F13" t="str"/>
      <x:c r="G13" t="str">
        <x:v>Yes</x:v>
      </x:c>
      <x:c r="H13" t="n">
        <x:v>52.6</x:v>
      </x:c>
      <x:c r="I13" s="32" t="n">
        <x:v>0.7519</x:v>
      </x:c>
      <x:c r="J13" t="n">
        <x:v>0</x:v>
      </x:c>
      <x:c r="K13" t="n">
        <x:v>0</x:v>
      </x:c>
      <x:c r="L13" t="str">
        <x:v>No</x:v>
      </x:c>
      <x:c r="M13" s="64" t="n">
        <x:f>'Scoring Model'!$B$4+IF(G13="Yes",'Scoring Model'!$B$5,0)+MIN('Scoring Model'!$B$7,H13/'Scoring Model'!$B$6*'Scoring Model'!$B$7)+MIN('Scoring Model'!$B$8,J13*'Scoring Model'!$B$8)+MIN('Scoring Model'!$B$10,K13*'Scoring Model'!$B$9)</x:f>
        <x:v>60.05714285714286</x:v>
      </x:c>
      <x:c r="N13" t="str">
        <x:f>IF(L13="Yes","Internal / Partner / Excluded",IF(M13&gt;='Scoring Model'!$B$11,"Hot",IF(M13&gt;='Scoring Model'!$B$12,"Warm","Cold")))</x:f>
        <x:v>Warm</x:v>
      </x:c>
    </x:row>
    <x:row r="14">
      <x:c r="A14" t="n">
        <x:v>13</x:v>
      </x:c>
      <x:c r="B14" t="str">
        <x:v>Natalia</x:v>
      </x:c>
      <x:c r="C14" t="str">
        <x:v>Tolin</x:v>
      </x:c>
      <x:c r="D14" t="str">
        <x:v>natalia.tolin@ojodeagua.global</x:v>
      </x:c>
      <x:c r="E14" t="str"/>
      <x:c r="F14" t="str"/>
      <x:c r="G14" t="str">
        <x:v>Yes</x:v>
      </x:c>
      <x:c r="H14" t="n">
        <x:v>52</x:v>
      </x:c>
      <x:c r="I14" s="32" t="n">
        <x:v>0.7421</x:v>
      </x:c>
      <x:c r="J14" t="n">
        <x:v>0</x:v>
      </x:c>
      <x:c r="K14" t="n">
        <x:v>0</x:v>
      </x:c>
      <x:c r="L14" t="str">
        <x:v>No</x:v>
      </x:c>
      <x:c r="M14" s="64" t="n">
        <x:f>'Scoring Model'!$B$4+IF(G14="Yes",'Scoring Model'!$B$5,0)+MIN('Scoring Model'!$B$7,H14/'Scoring Model'!$B$6*'Scoring Model'!$B$7)+MIN('Scoring Model'!$B$8,J14*'Scoring Model'!$B$8)+MIN('Scoring Model'!$B$10,K14*'Scoring Model'!$B$9)</x:f>
        <x:v>59.714285714285715</x:v>
      </x:c>
      <x:c r="N14" t="str">
        <x:f>IF(L14="Yes","Internal / Partner / Excluded",IF(M14&gt;='Scoring Model'!$B$11,"Hot",IF(M14&gt;='Scoring Model'!$B$12,"Warm","Cold")))</x:f>
        <x:v>Warm</x:v>
      </x:c>
    </x:row>
    <x:row r="15">
      <x:c r="A15" t="n">
        <x:v>14</x:v>
      </x:c>
      <x:c r="B15" t="str">
        <x:v>LOURDES</x:v>
      </x:c>
      <x:c r="C15" t="str">
        <x:v>CASASOLA</x:v>
      </x:c>
      <x:c r="D15" t="str">
        <x:v>lourdes.casasola@grupocolome.com</x:v>
      </x:c>
      <x:c r="E15" t="str">
        <x:v>GRUPO COLOME S A </x:v>
      </x:c>
      <x:c r="F15" t="str">
        <x:v>Argentina</x:v>
      </x:c>
      <x:c r="G15" t="str">
        <x:v>Yes</x:v>
      </x:c>
      <x:c r="H15" t="n">
        <x:v>51.9</x:v>
      </x:c>
      <x:c r="I15" s="32" t="n">
        <x:v>0.7407</x:v>
      </x:c>
      <x:c r="J15" t="n">
        <x:v>0</x:v>
      </x:c>
      <x:c r="K15" t="n">
        <x:v>0</x:v>
      </x:c>
      <x:c r="L15" t="str">
        <x:v>No</x:v>
      </x:c>
      <x:c r="M15" s="64" t="n">
        <x:f>'Scoring Model'!$B$4+IF(G15="Yes",'Scoring Model'!$B$5,0)+MIN('Scoring Model'!$B$7,H15/'Scoring Model'!$B$6*'Scoring Model'!$B$7)+MIN('Scoring Model'!$B$8,J15*'Scoring Model'!$B$8)+MIN('Scoring Model'!$B$10,K15*'Scoring Model'!$B$9)</x:f>
        <x:v>59.65714285714286</x:v>
      </x:c>
      <x:c r="N15" t="str">
        <x:f>IF(L15="Yes","Internal / Partner / Excluded",IF(M15&gt;='Scoring Model'!$B$11,"Hot",IF(M15&gt;='Scoring Model'!$B$12,"Warm","Cold")))</x:f>
        <x:v>Warm</x:v>
      </x:c>
    </x:row>
    <x:row r="16">
      <x:c r="A16" t="n">
        <x:v>15</x:v>
      </x:c>
      <x:c r="B16" t="str">
        <x:v>Mercedes</x:v>
      </x:c>
      <x:c r="C16" t="str">
        <x:v>Alvarez</x:v>
      </x:c>
      <x:c r="D16" t="str">
        <x:v>mercedes.alvarez@trivento.com</x:v>
      </x:c>
      <x:c r="E16" t="str"/>
      <x:c r="F16" t="str"/>
      <x:c r="G16" t="str">
        <x:v>Yes</x:v>
      </x:c>
      <x:c r="H16" t="n">
        <x:v>51.2</x:v>
      </x:c>
      <x:c r="I16" s="32" t="n">
        <x:v>0.7321</x:v>
      </x:c>
      <x:c r="J16" t="n">
        <x:v>0</x:v>
      </x:c>
      <x:c r="K16" t="n">
        <x:v>0</x:v>
      </x:c>
      <x:c r="L16" t="str">
        <x:v>No</x:v>
      </x:c>
      <x:c r="M16" s="64" t="n">
        <x:f>'Scoring Model'!$B$4+IF(G16="Yes",'Scoring Model'!$B$5,0)+MIN('Scoring Model'!$B$7,H16/'Scoring Model'!$B$6*'Scoring Model'!$B$7)+MIN('Scoring Model'!$B$8,J16*'Scoring Model'!$B$8)+MIN('Scoring Model'!$B$10,K16*'Scoring Model'!$B$9)</x:f>
        <x:v>59.25714285714285</x:v>
      </x:c>
      <x:c r="N16" t="str">
        <x:f>IF(L16="Yes","Internal / Partner / Excluded",IF(M16&gt;='Scoring Model'!$B$11,"Hot",IF(M16&gt;='Scoring Model'!$B$12,"Warm","Cold")))</x:f>
        <x:v>Warm</x:v>
      </x:c>
    </x:row>
    <x:row r="17">
      <x:c r="A17" t="n">
        <x:v>16</x:v>
      </x:c>
      <x:c r="B17" t="str">
        <x:v>Irma</x:v>
      </x:c>
      <x:c r="C17" t="str">
        <x:v>Remigio</x:v>
      </x:c>
      <x:c r="D17" t="str">
        <x:v>iremigio@domainebousquet.com</x:v>
      </x:c>
      <x:c r="E17" t="str">
        <x:v>Domaine Bousquet</x:v>
      </x:c>
      <x:c r="F17" t="str">
        <x:v>Argentina</x:v>
      </x:c>
      <x:c r="G17" t="str">
        <x:v>Yes</x:v>
      </x:c>
      <x:c r="H17" t="n">
        <x:v>50.9</x:v>
      </x:c>
      <x:c r="I17" s="32" t="n">
        <x:v>0.7264</x:v>
      </x:c>
      <x:c r="J17" t="n">
        <x:v>0</x:v>
      </x:c>
      <x:c r="K17" t="n">
        <x:v>0</x:v>
      </x:c>
      <x:c r="L17" t="str">
        <x:v>No</x:v>
      </x:c>
      <x:c r="M17" s="64" t="n">
        <x:f>'Scoring Model'!$B$4+IF(G17="Yes",'Scoring Model'!$B$5,0)+MIN('Scoring Model'!$B$7,H17/'Scoring Model'!$B$6*'Scoring Model'!$B$7)+MIN('Scoring Model'!$B$8,J17*'Scoring Model'!$B$8)+MIN('Scoring Model'!$B$10,K17*'Scoring Model'!$B$9)</x:f>
        <x:v>59.08571428571428</x:v>
      </x:c>
      <x:c r="N17" t="str">
        <x:f>IF(L17="Yes","Internal / Partner / Excluded",IF(M17&gt;='Scoring Model'!$B$11,"Hot",IF(M17&gt;='Scoring Model'!$B$12,"Warm","Cold")))</x:f>
        <x:v>Warm</x:v>
      </x:c>
    </x:row>
    <x:row r="18">
      <x:c r="A18" t="n">
        <x:v>17</x:v>
      </x:c>
      <x:c r="B18" t="str">
        <x:v>CELINA ANABEL</x:v>
      </x:c>
      <x:c r="C18" t="str">
        <x:v>ROSAS</x:v>
      </x:c>
      <x:c r="D18" t="str">
        <x:v>celinarosas@mendozavineyards.com</x:v>
      </x:c>
      <x:c r="E18" t="str"/>
      <x:c r="F18" t="str"/>
      <x:c r="G18" t="str">
        <x:v>Yes</x:v>
      </x:c>
      <x:c r="H18" t="n">
        <x:v>50.6</x:v>
      </x:c>
      <x:c r="I18" s="32" t="n">
        <x:v>0.7229</x:v>
      </x:c>
      <x:c r="J18" t="n">
        <x:v>0</x:v>
      </x:c>
      <x:c r="K18" t="n">
        <x:v>0</x:v>
      </x:c>
      <x:c r="L18" t="str">
        <x:v>No</x:v>
      </x:c>
      <x:c r="M18" s="64" t="n">
        <x:f>'Scoring Model'!$B$4+IF(G18="Yes",'Scoring Model'!$B$5,0)+MIN('Scoring Model'!$B$7,H18/'Scoring Model'!$B$6*'Scoring Model'!$B$7)+MIN('Scoring Model'!$B$8,J18*'Scoring Model'!$B$8)+MIN('Scoring Model'!$B$10,K18*'Scoring Model'!$B$9)</x:f>
        <x:v>58.91428571428571</x:v>
      </x:c>
      <x:c r="N18" t="str">
        <x:f>IF(L18="Yes","Internal / Partner / Excluded",IF(M18&gt;='Scoring Model'!$B$11,"Hot",IF(M18&gt;='Scoring Model'!$B$12,"Warm","Cold")))</x:f>
        <x:v>Warm</x:v>
      </x:c>
    </x:row>
    <x:row r="19">
      <x:c r="A19" t="n">
        <x:v>18</x:v>
      </x:c>
      <x:c r="B19" t="str">
        <x:v>Nicolas</x:v>
      </x:c>
      <x:c r="C19" t="str">
        <x:v>Heredia</x:v>
      </x:c>
      <x:c r="D19" t="str">
        <x:v>nicoheredia31@gmail.com</x:v>
      </x:c>
      <x:c r="E19" t="str"/>
      <x:c r="F19" t="str"/>
      <x:c r="G19" t="str">
        <x:v>Yes</x:v>
      </x:c>
      <x:c r="H19" t="n">
        <x:v>50.3</x:v>
      </x:c>
      <x:c r="I19" s="32" t="n">
        <x:v>0.7188</x:v>
      </x:c>
      <x:c r="J19" t="n">
        <x:v>0</x:v>
      </x:c>
      <x:c r="K19" t="n">
        <x:v>0</x:v>
      </x:c>
      <x:c r="L19" t="str">
        <x:v>No</x:v>
      </x:c>
      <x:c r="M19" s="64" t="n">
        <x:f>'Scoring Model'!$B$4+IF(G19="Yes",'Scoring Model'!$B$5,0)+MIN('Scoring Model'!$B$7,H19/'Scoring Model'!$B$6*'Scoring Model'!$B$7)+MIN('Scoring Model'!$B$8,J19*'Scoring Model'!$B$8)+MIN('Scoring Model'!$B$10,K19*'Scoring Model'!$B$9)</x:f>
        <x:v>58.74285714285714</x:v>
      </x:c>
      <x:c r="N19" t="str">
        <x:f>IF(L19="Yes","Internal / Partner / Excluded",IF(M19&gt;='Scoring Model'!$B$11,"Hot",IF(M19&gt;='Scoring Model'!$B$12,"Warm","Cold")))</x:f>
        <x:v>Warm</x:v>
      </x:c>
    </x:row>
    <x:row r="20">
      <x:c r="A20" t="n">
        <x:v>19</x:v>
      </x:c>
      <x:c r="B20" t="str">
        <x:v>Carina</x:v>
      </x:c>
      <x:c r="C20" t="str">
        <x:v>Barros</x:v>
      </x:c>
      <x:c r="D20" t="str">
        <x:v>carina@bodegafosterlorca.com</x:v>
      </x:c>
      <x:c r="E20" t="str">
        <x:v>Bodega y Viñedos Mauricio Lorca SA </x:v>
      </x:c>
      <x:c r="F20" t="str">
        <x:v>Argentina</x:v>
      </x:c>
      <x:c r="G20" t="str">
        <x:v>Yes</x:v>
      </x:c>
      <x:c r="H20" t="n">
        <x:v>49.5</x:v>
      </x:c>
      <x:c r="I20" s="32" t="n">
        <x:v>0.7071</x:v>
      </x:c>
      <x:c r="J20" t="n">
        <x:v>0</x:v>
      </x:c>
      <x:c r="K20" t="n">
        <x:v>0</x:v>
      </x:c>
      <x:c r="L20" t="str">
        <x:v>No</x:v>
      </x:c>
      <x:c r="M20" s="64" t="n">
        <x:f>'Scoring Model'!$B$4+IF(G20="Yes",'Scoring Model'!$B$5,0)+MIN('Scoring Model'!$B$7,H20/'Scoring Model'!$B$6*'Scoring Model'!$B$7)+MIN('Scoring Model'!$B$8,J20*'Scoring Model'!$B$8)+MIN('Scoring Model'!$B$10,K20*'Scoring Model'!$B$9)</x:f>
        <x:v>58.28571428571429</x:v>
      </x:c>
      <x:c r="N20" t="str">
        <x:f>IF(L20="Yes","Internal / Partner / Excluded",IF(M20&gt;='Scoring Model'!$B$11,"Hot",IF(M20&gt;='Scoring Model'!$B$12,"Warm","Cold")))</x:f>
        <x:v>Warm</x:v>
      </x:c>
    </x:row>
    <x:row r="21">
      <x:c r="A21" t="n">
        <x:v>20</x:v>
      </x:c>
      <x:c r="B21" t="str">
        <x:v>silvina</x:v>
      </x:c>
      <x:c r="C21" t="str">
        <x:v>Martinez</x:v>
      </x:c>
      <x:c r="D21" t="str">
        <x:v>smartinez@sophenia.com.ar</x:v>
      </x:c>
      <x:c r="E21" t="str">
        <x:v>Finca Sophenia</x:v>
      </x:c>
      <x:c r="F21" t="str">
        <x:v>Argentina</x:v>
      </x:c>
      <x:c r="G21" t="str">
        <x:v>Yes</x:v>
      </x:c>
      <x:c r="H21" t="n">
        <x:v>49.6</x:v>
      </x:c>
      <x:c r="I21" s="32" t="n">
        <x:v>0.7083</x:v>
      </x:c>
      <x:c r="J21" t="n">
        <x:v>0</x:v>
      </x:c>
      <x:c r="K21" t="n">
        <x:v>0</x:v>
      </x:c>
      <x:c r="L21" t="str">
        <x:v>No</x:v>
      </x:c>
      <x:c r="M21" s="64" t="n">
        <x:f>'Scoring Model'!$B$4+IF(G21="Yes",'Scoring Model'!$B$5,0)+MIN('Scoring Model'!$B$7,H21/'Scoring Model'!$B$6*'Scoring Model'!$B$7)+MIN('Scoring Model'!$B$8,J21*'Scoring Model'!$B$8)+MIN('Scoring Model'!$B$10,K21*'Scoring Model'!$B$9)</x:f>
        <x:v>58.34285714285714</x:v>
      </x:c>
      <x:c r="N21" t="str">
        <x:f>IF(L21="Yes","Internal / Partner / Excluded",IF(M21&gt;='Scoring Model'!$B$11,"Hot",IF(M21&gt;='Scoring Model'!$B$12,"Warm","Cold")))</x:f>
        <x:v>Warm</x:v>
      </x:c>
    </x:row>
    <x:row r="22">
      <x:c r="A22" t="n">
        <x:v>21</x:v>
      </x:c>
      <x:c r="B22" t="str">
        <x:v>Laura</x:v>
      </x:c>
      <x:c r="C22" t="str">
        <x:v>Contino</x:v>
      </x:c>
      <x:c r="D22" t="str">
        <x:v>lcontino@achaval-ferrer.com</x:v>
      </x:c>
      <x:c r="E22" t="str"/>
      <x:c r="F22" t="str"/>
      <x:c r="G22" t="str">
        <x:v>Yes</x:v>
      </x:c>
      <x:c r="H22" t="n">
        <x:v>49.2</x:v>
      </x:c>
      <x:c r="I22" s="32" t="n">
        <x:v>0.7033</x:v>
      </x:c>
      <x:c r="J22" t="n">
        <x:v>0</x:v>
      </x:c>
      <x:c r="K22" t="n">
        <x:v>0</x:v>
      </x:c>
      <x:c r="L22" t="str">
        <x:v>No</x:v>
      </x:c>
      <x:c r="M22" s="64" t="n">
        <x:f>'Scoring Model'!$B$4+IF(G22="Yes",'Scoring Model'!$B$5,0)+MIN('Scoring Model'!$B$7,H22/'Scoring Model'!$B$6*'Scoring Model'!$B$7)+MIN('Scoring Model'!$B$8,J22*'Scoring Model'!$B$8)+MIN('Scoring Model'!$B$10,K22*'Scoring Model'!$B$9)</x:f>
        <x:v>58.114285714285714</x:v>
      </x:c>
      <x:c r="N22" t="str">
        <x:f>IF(L22="Yes","Internal / Partner / Excluded",IF(M22&gt;='Scoring Model'!$B$11,"Hot",IF(M22&gt;='Scoring Model'!$B$12,"Warm","Cold")))</x:f>
        <x:v>Warm</x:v>
      </x:c>
    </x:row>
    <x:row r="23">
      <x:c r="A23" t="n">
        <x:v>22</x:v>
      </x:c>
      <x:c r="B23" t="str">
        <x:v>Lucia</x:v>
      </x:c>
      <x:c r="C23" t="str">
        <x:v>Frugoni</x:v>
      </x:c>
      <x:c r="D23" t="str">
        <x:v>lfrugoni@salentein.com</x:v>
      </x:c>
      <x:c r="E23" t="str">
        <x:v>Bodega Salentein SA</x:v>
      </x:c>
      <x:c r="F23" t="str">
        <x:v>Argentina</x:v>
      </x:c>
      <x:c r="G23" t="str">
        <x:v>Yes</x:v>
      </x:c>
      <x:c r="H23" t="n">
        <x:v>49.2</x:v>
      </x:c>
      <x:c r="I23" s="32" t="n">
        <x:v>0.7033</x:v>
      </x:c>
      <x:c r="J23" t="n">
        <x:v>0</x:v>
      </x:c>
      <x:c r="K23" t="n">
        <x:v>0</x:v>
      </x:c>
      <x:c r="L23" t="str">
        <x:v>No</x:v>
      </x:c>
      <x:c r="M23" s="64" t="n">
        <x:f>'Scoring Model'!$B$4+IF(G23="Yes",'Scoring Model'!$B$5,0)+MIN('Scoring Model'!$B$7,H23/'Scoring Model'!$B$6*'Scoring Model'!$B$7)+MIN('Scoring Model'!$B$8,J23*'Scoring Model'!$B$8)+MIN('Scoring Model'!$B$10,K23*'Scoring Model'!$B$9)</x:f>
        <x:v>58.114285714285714</x:v>
      </x:c>
      <x:c r="N23" t="str">
        <x:f>IF(L23="Yes","Internal / Partner / Excluded",IF(M23&gt;='Scoring Model'!$B$11,"Hot",IF(M23&gt;='Scoring Model'!$B$12,"Warm","Cold")))</x:f>
        <x:v>Warm</x:v>
      </x:c>
    </x:row>
    <x:row r="24">
      <x:c r="A24" t="n">
        <x:v>23</x:v>
      </x:c>
      <x:c r="B24" t="str">
        <x:v>Rocio</x:v>
      </x:c>
      <x:c r="C24" t="str">
        <x:v>Perez Fantini</x:v>
      </x:c>
      <x:c r="D24" t="str">
        <x:v>rperez@salentein.com</x:v>
      </x:c>
      <x:c r="E24" t="str">
        <x:v>Bodegas Salentein</x:v>
      </x:c>
      <x:c r="F24" t="str">
        <x:v>Argentina</x:v>
      </x:c>
      <x:c r="G24" t="str">
        <x:v>Yes</x:v>
      </x:c>
      <x:c r="H24" t="n">
        <x:v>49</x:v>
      </x:c>
      <x:c r="I24" s="32" t="n">
        <x:v>0.6995</x:v>
      </x:c>
      <x:c r="J24" t="n">
        <x:v>0</x:v>
      </x:c>
      <x:c r="K24" t="n">
        <x:v>0</x:v>
      </x:c>
      <x:c r="L24" t="str">
        <x:v>No</x:v>
      </x:c>
      <x:c r="M24" s="64" t="n">
        <x:f>'Scoring Model'!$B$4+IF(G24="Yes",'Scoring Model'!$B$5,0)+MIN('Scoring Model'!$B$7,H24/'Scoring Model'!$B$6*'Scoring Model'!$B$7)+MIN('Scoring Model'!$B$8,J24*'Scoring Model'!$B$8)+MIN('Scoring Model'!$B$10,K24*'Scoring Model'!$B$9)</x:f>
        <x:v>58</x:v>
      </x:c>
      <x:c r="N24" t="str">
        <x:f>IF(L24="Yes","Internal / Partner / Excluded",IF(M24&gt;='Scoring Model'!$B$11,"Hot",IF(M24&gt;='Scoring Model'!$B$12,"Warm","Cold")))</x:f>
        <x:v>Warm</x:v>
      </x:c>
    </x:row>
    <x:row r="25">
      <x:c r="A25" t="n">
        <x:v>24</x:v>
      </x:c>
      <x:c r="B25" t="str">
        <x:v>Jennifer</x:v>
      </x:c>
      <x:c r="C25" t="str">
        <x:v>Ferré</x:v>
      </x:c>
      <x:c r="D25" t="str">
        <x:v>calidad.amalaya@grupocolome.com</x:v>
      </x:c>
      <x:c r="E25" t="str"/>
      <x:c r="F25" t="str"/>
      <x:c r="G25" t="str">
        <x:v>Yes</x:v>
      </x:c>
      <x:c r="H25" t="n">
        <x:v>48.8</x:v>
      </x:c>
      <x:c r="I25" s="32" t="n">
        <x:v>0.6969</x:v>
      </x:c>
      <x:c r="J25" t="n">
        <x:v>0</x:v>
      </x:c>
      <x:c r="K25" t="n">
        <x:v>0</x:v>
      </x:c>
      <x:c r="L25" t="str">
        <x:v>No</x:v>
      </x:c>
      <x:c r="M25" s="64" t="n">
        <x:f>'Scoring Model'!$B$4+IF(G25="Yes",'Scoring Model'!$B$5,0)+MIN('Scoring Model'!$B$7,H25/'Scoring Model'!$B$6*'Scoring Model'!$B$7)+MIN('Scoring Model'!$B$8,J25*'Scoring Model'!$B$8)+MIN('Scoring Model'!$B$10,K25*'Scoring Model'!$B$9)</x:f>
        <x:v>57.885714285714286</x:v>
      </x:c>
      <x:c r="N25" t="str">
        <x:f>IF(L25="Yes","Internal / Partner / Excluded",IF(M25&gt;='Scoring Model'!$B$11,"Hot",IF(M25&gt;='Scoring Model'!$B$12,"Warm","Cold")))</x:f>
        <x:v>Warm</x:v>
      </x:c>
    </x:row>
    <x:row r="26">
      <x:c r="A26" t="n">
        <x:v>25</x:v>
      </x:c>
      <x:c r="B26" t="str">
        <x:v>María Laura</x:v>
      </x:c>
      <x:c r="C26" t="str">
        <x:v>Meschini Gonzalez</x:v>
      </x:c>
      <x:c r="D26" t="str">
        <x:v>mlgonzalez@catenazapata.com</x:v>
      </x:c>
      <x:c r="E26" t="str"/>
      <x:c r="F26" t="str"/>
      <x:c r="G26" t="str">
        <x:v>Yes</x:v>
      </x:c>
      <x:c r="H26" t="n">
        <x:v>48.6</x:v>
      </x:c>
      <x:c r="I26" s="32" t="n">
        <x:v>0.6945</x:v>
      </x:c>
      <x:c r="J26" t="n">
        <x:v>0</x:v>
      </x:c>
      <x:c r="K26" t="n">
        <x:v>0</x:v>
      </x:c>
      <x:c r="L26" t="str">
        <x:v>No</x:v>
      </x:c>
      <x:c r="M26" s="64" t="n">
        <x:f>'Scoring Model'!$B$4+IF(G26="Yes",'Scoring Model'!$B$5,0)+MIN('Scoring Model'!$B$7,H26/'Scoring Model'!$B$6*'Scoring Model'!$B$7)+MIN('Scoring Model'!$B$8,J26*'Scoring Model'!$B$8)+MIN('Scoring Model'!$B$10,K26*'Scoring Model'!$B$9)</x:f>
        <x:v>57.77142857142857</x:v>
      </x:c>
      <x:c r="N26" t="str">
        <x:f>IF(L26="Yes","Internal / Partner / Excluded",IF(M26&gt;='Scoring Model'!$B$11,"Hot",IF(M26&gt;='Scoring Model'!$B$12,"Warm","Cold")))</x:f>
        <x:v>Warm</x:v>
      </x:c>
    </x:row>
    <x:row r="27">
      <x:c r="A27" t="n">
        <x:v>26</x:v>
      </x:c>
      <x:c r="B27" t="str">
        <x:v>Mariana</x:v>
      </x:c>
      <x:c r="C27" t="str">
        <x:v>Mrozek</x:v>
      </x:c>
      <x:c r="D27" t="str">
        <x:v>mariana@pai-argentina.com</x:v>
      </x:c>
      <x:c r="E27" t="str">
        <x:v>PAI S.A.</x:v>
      </x:c>
      <x:c r="F27" t="str">
        <x:v>Argentina</x:v>
      </x:c>
      <x:c r="G27" t="str">
        <x:v>Yes</x:v>
      </x:c>
      <x:c r="H27" t="n">
        <x:v>48.4</x:v>
      </x:c>
      <x:c r="I27" s="32" t="n">
        <x:v>0.6917</x:v>
      </x:c>
      <x:c r="J27" t="n">
        <x:v>0</x:v>
      </x:c>
      <x:c r="K27" t="n">
        <x:v>0</x:v>
      </x:c>
      <x:c r="L27" t="str">
        <x:v>No</x:v>
      </x:c>
      <x:c r="M27" s="64" t="n">
        <x:f>'Scoring Model'!$B$4+IF(G27="Yes",'Scoring Model'!$B$5,0)+MIN('Scoring Model'!$B$7,H27/'Scoring Model'!$B$6*'Scoring Model'!$B$7)+MIN('Scoring Model'!$B$8,J27*'Scoring Model'!$B$8)+MIN('Scoring Model'!$B$10,K27*'Scoring Model'!$B$9)</x:f>
        <x:v>57.65714285714286</x:v>
      </x:c>
      <x:c r="N27" t="str">
        <x:f>IF(L27="Yes","Internal / Partner / Excluded",IF(M27&gt;='Scoring Model'!$B$11,"Hot",IF(M27&gt;='Scoring Model'!$B$12,"Warm","Cold")))</x:f>
        <x:v>Warm</x:v>
      </x:c>
    </x:row>
    <x:row r="28">
      <x:c r="A28" t="n">
        <x:v>27</x:v>
      </x:c>
      <x:c r="B28" t="str">
        <x:v>Dalia</x:v>
      </x:c>
      <x:c r="C28" t="str">
        <x:v>Orlinski</x:v>
      </x:c>
      <x:c r="D28" t="str">
        <x:v>dalia.orlinski@grupoavinea.com</x:v>
      </x:c>
      <x:c r="E28" t="str"/>
      <x:c r="F28" t="str"/>
      <x:c r="G28" t="str">
        <x:v>Yes</x:v>
      </x:c>
      <x:c r="H28" t="n">
        <x:v>48.2</x:v>
      </x:c>
      <x:c r="I28" s="32" t="n">
        <x:v>0.6893</x:v>
      </x:c>
      <x:c r="J28" t="n">
        <x:v>0</x:v>
      </x:c>
      <x:c r="K28" t="n">
        <x:v>0</x:v>
      </x:c>
      <x:c r="L28" t="str">
        <x:v>No</x:v>
      </x:c>
      <x:c r="M28" s="64" t="n">
        <x:f>'Scoring Model'!$B$4+IF(G28="Yes",'Scoring Model'!$B$5,0)+MIN('Scoring Model'!$B$7,H28/'Scoring Model'!$B$6*'Scoring Model'!$B$7)+MIN('Scoring Model'!$B$8,J28*'Scoring Model'!$B$8)+MIN('Scoring Model'!$B$10,K28*'Scoring Model'!$B$9)</x:f>
        <x:v>57.542857142857144</x:v>
      </x:c>
      <x:c r="N28" t="str">
        <x:f>IF(L28="Yes","Internal / Partner / Excluded",IF(M28&gt;='Scoring Model'!$B$11,"Hot",IF(M28&gt;='Scoring Model'!$B$12,"Warm","Cold")))</x:f>
        <x:v>Warm</x:v>
      </x:c>
    </x:row>
    <x:row r="29">
      <x:c r="A29" t="n">
        <x:v>28</x:v>
      </x:c>
      <x:c r="B29" t="str">
        <x:v>María Teresa</x:v>
      </x:c>
      <x:c r="C29" t="str">
        <x:v>Juri</x:v>
      </x:c>
      <x:c r="D29" t="str">
        <x:v>marite.juri@bodegasbianchi.com.ar</x:v>
      </x:c>
      <x:c r="E29" t="str"/>
      <x:c r="F29" t="str"/>
      <x:c r="G29" t="str">
        <x:v>Yes</x:v>
      </x:c>
      <x:c r="H29" t="n">
        <x:v>48.2</x:v>
      </x:c>
      <x:c r="I29" s="32" t="n">
        <x:v>0.6881</x:v>
      </x:c>
      <x:c r="J29" t="n">
        <x:v>0</x:v>
      </x:c>
      <x:c r="K29" t="n">
        <x:v>0</x:v>
      </x:c>
      <x:c r="L29" t="str">
        <x:v>No</x:v>
      </x:c>
      <x:c r="M29" s="64" t="n">
        <x:f>'Scoring Model'!$B$4+IF(G29="Yes",'Scoring Model'!$B$5,0)+MIN('Scoring Model'!$B$7,H29/'Scoring Model'!$B$6*'Scoring Model'!$B$7)+MIN('Scoring Model'!$B$8,J29*'Scoring Model'!$B$8)+MIN('Scoring Model'!$B$10,K29*'Scoring Model'!$B$9)</x:f>
        <x:v>57.542857142857144</x:v>
      </x:c>
      <x:c r="N29" t="str">
        <x:f>IF(L29="Yes","Internal / Partner / Excluded",IF(M29&gt;='Scoring Model'!$B$11,"Hot",IF(M29&gt;='Scoring Model'!$B$12,"Warm","Cold")))</x:f>
        <x:v>Warm</x:v>
      </x:c>
    </x:row>
    <x:row r="30">
      <x:c r="A30" t="n">
        <x:v>29</x:v>
      </x:c>
      <x:c r="B30" t="str">
        <x:v>Constanza</x:v>
      </x:c>
      <x:c r="C30" t="str">
        <x:v>DiVico</x:v>
      </x:c>
      <x:c r="D30" t="str">
        <x:v>constanza.divico@seaboard.com.ar</x:v>
      </x:c>
      <x:c r="E30" t="str">
        <x:v>Seaboard Energías Renovables y Alimentos S.R.L.</x:v>
      </x:c>
      <x:c r="F30" t="str">
        <x:v>Argentina</x:v>
      </x:c>
      <x:c r="G30" t="str">
        <x:v>Yes</x:v>
      </x:c>
      <x:c r="H30" t="n">
        <x:v>48</x:v>
      </x:c>
      <x:c r="I30" s="32" t="n">
        <x:v>0.6864</x:v>
      </x:c>
      <x:c r="J30" t="n">
        <x:v>0</x:v>
      </x:c>
      <x:c r="K30" t="n">
        <x:v>0</x:v>
      </x:c>
      <x:c r="L30" t="str">
        <x:v>No</x:v>
      </x:c>
      <x:c r="M30" s="64" t="n">
        <x:f>'Scoring Model'!$B$4+IF(G30="Yes",'Scoring Model'!$B$5,0)+MIN('Scoring Model'!$B$7,H30/'Scoring Model'!$B$6*'Scoring Model'!$B$7)+MIN('Scoring Model'!$B$8,J30*'Scoring Model'!$B$8)+MIN('Scoring Model'!$B$10,K30*'Scoring Model'!$B$9)</x:f>
        <x:v>57.42857142857143</x:v>
      </x:c>
      <x:c r="N30" t="str">
        <x:f>IF(L30="Yes","Internal / Partner / Excluded",IF(M30&gt;='Scoring Model'!$B$11,"Hot",IF(M30&gt;='Scoring Model'!$B$12,"Warm","Cold")))</x:f>
        <x:v>Warm</x:v>
      </x:c>
    </x:row>
    <x:row r="31">
      <x:c r="A31" t="n">
        <x:v>30</x:v>
      </x:c>
      <x:c r="B31" t="str">
        <x:v>Nadia</x:v>
      </x:c>
      <x:c r="C31" t="str">
        <x:v>Engler</x:v>
      </x:c>
      <x:c r="D31" t="str">
        <x:v>nadia.engler@austinpowder.com</x:v>
      </x:c>
      <x:c r="E31" t="str">
        <x:v>AUSTIN POWDER ARGNETINA</x:v>
      </x:c>
      <x:c r="F31" t="str">
        <x:v>Argentina</x:v>
      </x:c>
      <x:c r="G31" t="str">
        <x:v>Yes</x:v>
      </x:c>
      <x:c r="H31" t="n">
        <x:v>48</x:v>
      </x:c>
      <x:c r="I31" s="32" t="n">
        <x:v>0.6855</x:v>
      </x:c>
      <x:c r="J31" t="n">
        <x:v>0</x:v>
      </x:c>
      <x:c r="K31" t="n">
        <x:v>0</x:v>
      </x:c>
      <x:c r="L31" t="str">
        <x:v>No</x:v>
      </x:c>
      <x:c r="M31" s="64" t="n">
        <x:f>'Scoring Model'!$B$4+IF(G31="Yes",'Scoring Model'!$B$5,0)+MIN('Scoring Model'!$B$7,H31/'Scoring Model'!$B$6*'Scoring Model'!$B$7)+MIN('Scoring Model'!$B$8,J31*'Scoring Model'!$B$8)+MIN('Scoring Model'!$B$10,K31*'Scoring Model'!$B$9)</x:f>
        <x:v>57.42857142857143</x:v>
      </x:c>
      <x:c r="N31" t="str">
        <x:f>IF(L31="Yes","Internal / Partner / Excluded",IF(M31&gt;='Scoring Model'!$B$11,"Hot",IF(M31&gt;='Scoring Model'!$B$12,"Warm","Cold")))</x:f>
        <x:v>Warm</x:v>
      </x:c>
    </x:row>
    <x:row r="32">
      <x:c r="A32" t="n">
        <x:v>31</x:v>
      </x:c>
      <x:c r="B32" t="str">
        <x:v>Sofía Macarena</x:v>
      </x:c>
      <x:c r="C32" t="str">
        <x:v>Orelogio</x:v>
      </x:c>
      <x:c r="D32" t="str">
        <x:v>sofia.orelogio@lagarde.com.ar</x:v>
      </x:c>
      <x:c r="E32" t="str"/>
      <x:c r="F32" t="str"/>
      <x:c r="G32" t="str">
        <x:v>Yes</x:v>
      </x:c>
      <x:c r="H32" t="n">
        <x:v>47.8</x:v>
      </x:c>
      <x:c r="I32" s="32" t="n">
        <x:v>0.6833</x:v>
      </x:c>
      <x:c r="J32" t="n">
        <x:v>0</x:v>
      </x:c>
      <x:c r="K32" t="n">
        <x:v>0</x:v>
      </x:c>
      <x:c r="L32" t="str">
        <x:v>No</x:v>
      </x:c>
      <x:c r="M32" s="64" t="n">
        <x:f>'Scoring Model'!$B$4+IF(G32="Yes",'Scoring Model'!$B$5,0)+MIN('Scoring Model'!$B$7,H32/'Scoring Model'!$B$6*'Scoring Model'!$B$7)+MIN('Scoring Model'!$B$8,J32*'Scoring Model'!$B$8)+MIN('Scoring Model'!$B$10,K32*'Scoring Model'!$B$9)</x:f>
        <x:v>57.31428571428572</x:v>
      </x:c>
      <x:c r="N32" t="str">
        <x:f>IF(L32="Yes","Internal / Partner / Excluded",IF(M32&gt;='Scoring Model'!$B$11,"Hot",IF(M32&gt;='Scoring Model'!$B$12,"Warm","Cold")))</x:f>
        <x:v>Warm</x:v>
      </x:c>
    </x:row>
    <x:row r="33">
      <x:c r="A33" t="n">
        <x:v>32</x:v>
      </x:c>
      <x:c r="B33" t="str">
        <x:v>Alejandra</x:v>
      </x:c>
      <x:c r="C33" t="str">
        <x:v>Serrano Rivas</x:v>
      </x:c>
      <x:c r="D33" t="str">
        <x:v>asrivas@dacas.com</x:v>
      </x:c>
      <x:c r="E33" t="str">
        <x:v>DACAS</x:v>
      </x:c>
      <x:c r="F33" t="str">
        <x:v>ARGENTINA</x:v>
      </x:c>
      <x:c r="G33" t="str">
        <x:v>Yes</x:v>
      </x:c>
      <x:c r="H33" t="n">
        <x:v>47.8</x:v>
      </x:c>
      <x:c r="I33" s="32" t="n">
        <x:v>0.6826</x:v>
      </x:c>
      <x:c r="J33" t="n">
        <x:v>0</x:v>
      </x:c>
      <x:c r="K33" t="n">
        <x:v>0</x:v>
      </x:c>
      <x:c r="L33" t="str">
        <x:v>No</x:v>
      </x:c>
      <x:c r="M33" s="64" t="n">
        <x:f>'Scoring Model'!$B$4+IF(G33="Yes",'Scoring Model'!$B$5,0)+MIN('Scoring Model'!$B$7,H33/'Scoring Model'!$B$6*'Scoring Model'!$B$7)+MIN('Scoring Model'!$B$8,J33*'Scoring Model'!$B$8)+MIN('Scoring Model'!$B$10,K33*'Scoring Model'!$B$9)</x:f>
        <x:v>57.31428571428572</x:v>
      </x:c>
      <x:c r="N33" t="str">
        <x:f>IF(L33="Yes","Internal / Partner / Excluded",IF(M33&gt;='Scoring Model'!$B$11,"Hot",IF(M33&gt;='Scoring Model'!$B$12,"Warm","Cold")))</x:f>
        <x:v>Warm</x:v>
      </x:c>
    </x:row>
    <x:row r="34">
      <x:c r="A34" t="n">
        <x:v>33</x:v>
      </x:c>
      <x:c r="B34" t="str">
        <x:v>ANDRES</x:v>
      </x:c>
      <x:c r="C34" t="str">
        <x:v>STOCCO</x:v>
      </x:c>
      <x:c r="D34" t="str">
        <x:v>andres.stocco@chakanawines.com.ar</x:v>
      </x:c>
      <x:c r="E34" t="str"/>
      <x:c r="F34" t="str"/>
      <x:c r="G34" t="str">
        <x:v>Yes</x:v>
      </x:c>
      <x:c r="H34" t="n">
        <x:v>47.6</x:v>
      </x:c>
      <x:c r="I34" s="32" t="n">
        <x:v>0.6805</x:v>
      </x:c>
      <x:c r="J34" t="n">
        <x:v>0</x:v>
      </x:c>
      <x:c r="K34" t="n">
        <x:v>0</x:v>
      </x:c>
      <x:c r="L34" t="str">
        <x:v>No</x:v>
      </x:c>
      <x:c r="M34" s="64" t="n">
        <x:f>'Scoring Model'!$B$4+IF(G34="Yes",'Scoring Model'!$B$5,0)+MIN('Scoring Model'!$B$7,H34/'Scoring Model'!$B$6*'Scoring Model'!$B$7)+MIN('Scoring Model'!$B$8,J34*'Scoring Model'!$B$8)+MIN('Scoring Model'!$B$10,K34*'Scoring Model'!$B$9)</x:f>
        <x:v>57.2</x:v>
      </x:c>
      <x:c r="N34" t="str">
        <x:f>IF(L34="Yes","Internal / Partner / Excluded",IF(M34&gt;='Scoring Model'!$B$11,"Hot",IF(M34&gt;='Scoring Model'!$B$12,"Warm","Cold")))</x:f>
        <x:v>Warm</x:v>
      </x:c>
    </x:row>
    <x:row r="35">
      <x:c r="A35" t="n">
        <x:v>34</x:v>
      </x:c>
      <x:c r="B35" t="str">
        <x:v>Florencia</x:v>
      </x:c>
      <x:c r="C35" t="str">
        <x:v>Gomez</x:v>
      </x:c>
      <x:c r="D35" t="str">
        <x:v>florencia.gomez@grupoavinea.com</x:v>
      </x:c>
      <x:c r="E35" t="str"/>
      <x:c r="F35" t="str"/>
      <x:c r="G35" t="str">
        <x:v>Yes</x:v>
      </x:c>
      <x:c r="H35" t="n">
        <x:v>47.6</x:v>
      </x:c>
      <x:c r="I35" s="32" t="n">
        <x:v>0.6802</x:v>
      </x:c>
      <x:c r="J35" t="n">
        <x:v>0</x:v>
      </x:c>
      <x:c r="K35" t="n">
        <x:v>0</x:v>
      </x:c>
      <x:c r="L35" t="str">
        <x:v>No</x:v>
      </x:c>
      <x:c r="M35" s="64" t="n">
        <x:f>'Scoring Model'!$B$4+IF(G35="Yes",'Scoring Model'!$B$5,0)+MIN('Scoring Model'!$B$7,H35/'Scoring Model'!$B$6*'Scoring Model'!$B$7)+MIN('Scoring Model'!$B$8,J35*'Scoring Model'!$B$8)+MIN('Scoring Model'!$B$10,K35*'Scoring Model'!$B$9)</x:f>
        <x:v>57.2</x:v>
      </x:c>
      <x:c r="N35" t="str">
        <x:f>IF(L35="Yes","Internal / Partner / Excluded",IF(M35&gt;='Scoring Model'!$B$11,"Hot",IF(M35&gt;='Scoring Model'!$B$12,"Warm","Cold")))</x:f>
        <x:v>Warm</x:v>
      </x:c>
    </x:row>
    <x:row r="36">
      <x:c r="A36" t="n">
        <x:v>35</x:v>
      </x:c>
      <x:c r="B36" t="str">
        <x:v>Pablo Esteban</x:v>
      </x:c>
      <x:c r="C36" t="str">
        <x:v>Rodriguez</x:v>
      </x:c>
      <x:c r="D36" t="str">
        <x:v>import@tresvins.dk</x:v>
      </x:c>
      <x:c r="E36" t="str"/>
      <x:c r="F36" t="str"/>
      <x:c r="G36" t="str">
        <x:v>Yes</x:v>
      </x:c>
      <x:c r="H36" t="n">
        <x:v>47.7</x:v>
      </x:c>
      <x:c r="I36" s="32" t="n">
        <x:v>0.6812</x:v>
      </x:c>
      <x:c r="J36" t="n">
        <x:v>0</x:v>
      </x:c>
      <x:c r="K36" t="n">
        <x:v>0</x:v>
      </x:c>
      <x:c r="L36" t="str">
        <x:v>No</x:v>
      </x:c>
      <x:c r="M36" s="64" t="n">
        <x:f>'Scoring Model'!$B$4+IF(G36="Yes",'Scoring Model'!$B$5,0)+MIN('Scoring Model'!$B$7,H36/'Scoring Model'!$B$6*'Scoring Model'!$B$7)+MIN('Scoring Model'!$B$8,J36*'Scoring Model'!$B$8)+MIN('Scoring Model'!$B$10,K36*'Scoring Model'!$B$9)</x:f>
        <x:v>57.25714285714286</x:v>
      </x:c>
      <x:c r="N36" t="str">
        <x:f>IF(L36="Yes","Internal / Partner / Excluded",IF(M36&gt;='Scoring Model'!$B$11,"Hot",IF(M36&gt;='Scoring Model'!$B$12,"Warm","Cold")))</x:f>
        <x:v>Warm</x:v>
      </x:c>
    </x:row>
    <x:row r="37">
      <x:c r="A37" t="n">
        <x:v>36</x:v>
      </x:c>
      <x:c r="B37" t="str">
        <x:v>Jesica</x:v>
      </x:c>
      <x:c r="C37" t="str">
        <x:v>Giovanini</x:v>
      </x:c>
      <x:c r="D37" t="str">
        <x:v>jgiovanini@rutiniwines.com</x:v>
      </x:c>
      <x:c r="E37" t="str"/>
      <x:c r="F37" t="str"/>
      <x:c r="G37" t="str">
        <x:v>Yes</x:v>
      </x:c>
      <x:c r="H37" t="n">
        <x:v>47.5</x:v>
      </x:c>
      <x:c r="I37" s="32" t="n">
        <x:v>0.6793</x:v>
      </x:c>
      <x:c r="J37" t="n">
        <x:v>0</x:v>
      </x:c>
      <x:c r="K37" t="n">
        <x:v>0</x:v>
      </x:c>
      <x:c r="L37" t="str">
        <x:v>No</x:v>
      </x:c>
      <x:c r="M37" s="64" t="n">
        <x:f>'Scoring Model'!$B$4+IF(G37="Yes",'Scoring Model'!$B$5,0)+MIN('Scoring Model'!$B$7,H37/'Scoring Model'!$B$6*'Scoring Model'!$B$7)+MIN('Scoring Model'!$B$8,J37*'Scoring Model'!$B$8)+MIN('Scoring Model'!$B$10,K37*'Scoring Model'!$B$9)</x:f>
        <x:v>57.142857142857146</x:v>
      </x:c>
      <x:c r="N37" t="str">
        <x:f>IF(L37="Yes","Internal / Partner / Excluded",IF(M37&gt;='Scoring Model'!$B$11,"Hot",IF(M37&gt;='Scoring Model'!$B$12,"Warm","Cold")))</x:f>
        <x:v>Warm</x:v>
      </x:c>
    </x:row>
    <x:row r="38">
      <x:c r="A38" t="n">
        <x:v>37</x:v>
      </x:c>
      <x:c r="B38" t="str">
        <x:v>Camila</x:v>
      </x:c>
      <x:c r="C38" t="str">
        <x:v>Oliva</x:v>
      </x:c>
      <x:c r="D38" t="str">
        <x:v>camilaoliva@cofcointernational.com</x:v>
      </x:c>
      <x:c r="E38" t="str">
        <x:v>COFCO INTL</x:v>
      </x:c>
      <x:c r="F38" t="str">
        <x:v>Argentina</x:v>
      </x:c>
      <x:c r="G38" t="str">
        <x:v>Yes</x:v>
      </x:c>
      <x:c r="H38" t="n">
        <x:v>47.6</x:v>
      </x:c>
      <x:c r="I38" s="32" t="n">
        <x:v>0.6798</x:v>
      </x:c>
      <x:c r="J38" t="n">
        <x:v>0</x:v>
      </x:c>
      <x:c r="K38" t="n">
        <x:v>0</x:v>
      </x:c>
      <x:c r="L38" t="str">
        <x:v>No</x:v>
      </x:c>
      <x:c r="M38" s="64" t="n">
        <x:f>'Scoring Model'!$B$4+IF(G38="Yes",'Scoring Model'!$B$5,0)+MIN('Scoring Model'!$B$7,H38/'Scoring Model'!$B$6*'Scoring Model'!$B$7)+MIN('Scoring Model'!$B$8,J38*'Scoring Model'!$B$8)+MIN('Scoring Model'!$B$10,K38*'Scoring Model'!$B$9)</x:f>
        <x:v>57.2</x:v>
      </x:c>
      <x:c r="N38" t="str">
        <x:f>IF(L38="Yes","Internal / Partner / Excluded",IF(M38&gt;='Scoring Model'!$B$11,"Hot",IF(M38&gt;='Scoring Model'!$B$12,"Warm","Cold")))</x:f>
        <x:v>Warm</x:v>
      </x:c>
    </x:row>
    <x:row r="39">
      <x:c r="A39" t="n">
        <x:v>38</x:v>
      </x:c>
      <x:c r="B39" t="str">
        <x:v>Valentina</x:v>
      </x:c>
      <x:c r="C39" t="str">
        <x:v>Dinamarca</x:v>
      </x:c>
      <x:c r="D39" t="str">
        <x:v>vdinamarca@domainebousquet.com</x:v>
      </x:c>
      <x:c r="E39" t="str">
        <x:v>Domaine Bousquet</x:v>
      </x:c>
      <x:c r="F39" t="str">
        <x:v>Argentina</x:v>
      </x:c>
      <x:c r="G39" t="str">
        <x:v>Yes</x:v>
      </x:c>
      <x:c r="H39" t="n">
        <x:v>47.6</x:v>
      </x:c>
      <x:c r="I39" s="32" t="n">
        <x:v>0.6793</x:v>
      </x:c>
      <x:c r="J39" t="n">
        <x:v>0</x:v>
      </x:c>
      <x:c r="K39" t="n">
        <x:v>0</x:v>
      </x:c>
      <x:c r="L39" t="str">
        <x:v>No</x:v>
      </x:c>
      <x:c r="M39" s="64" t="n">
        <x:f>'Scoring Model'!$B$4+IF(G39="Yes",'Scoring Model'!$B$5,0)+MIN('Scoring Model'!$B$7,H39/'Scoring Model'!$B$6*'Scoring Model'!$B$7)+MIN('Scoring Model'!$B$8,J39*'Scoring Model'!$B$8)+MIN('Scoring Model'!$B$10,K39*'Scoring Model'!$B$9)</x:f>
        <x:v>57.2</x:v>
      </x:c>
      <x:c r="N39" t="str">
        <x:f>IF(L39="Yes","Internal / Partner / Excluded",IF(M39&gt;='Scoring Model'!$B$11,"Hot",IF(M39&gt;='Scoring Model'!$B$12,"Warm","Cold")))</x:f>
        <x:v>Warm</x:v>
      </x:c>
    </x:row>
    <x:row r="40">
      <x:c r="A40" t="n">
        <x:v>39</x:v>
      </x:c>
      <x:c r="B40" t="str">
        <x:v>Daniela</x:v>
      </x:c>
      <x:c r="C40" t="str">
        <x:v>Mezzatesta</x:v>
      </x:c>
      <x:c r="D40" t="str">
        <x:v>dmezzatesta@terrazasdelosandes.com.ar</x:v>
      </x:c>
      <x:c r="E40" t="str"/>
      <x:c r="F40" t="str"/>
      <x:c r="G40" t="str">
        <x:v>Yes</x:v>
      </x:c>
      <x:c r="H40" t="n">
        <x:v>47.5</x:v>
      </x:c>
      <x:c r="I40" s="32" t="n">
        <x:v>0.6783</x:v>
      </x:c>
      <x:c r="J40" t="n">
        <x:v>0</x:v>
      </x:c>
      <x:c r="K40" t="n">
        <x:v>0</x:v>
      </x:c>
      <x:c r="L40" t="str">
        <x:v>No</x:v>
      </x:c>
      <x:c r="M40" s="64" t="n">
        <x:f>'Scoring Model'!$B$4+IF(G40="Yes",'Scoring Model'!$B$5,0)+MIN('Scoring Model'!$B$7,H40/'Scoring Model'!$B$6*'Scoring Model'!$B$7)+MIN('Scoring Model'!$B$8,J40*'Scoring Model'!$B$8)+MIN('Scoring Model'!$B$10,K40*'Scoring Model'!$B$9)</x:f>
        <x:v>57.142857142857146</x:v>
      </x:c>
      <x:c r="N40" t="str">
        <x:f>IF(L40="Yes","Internal / Partner / Excluded",IF(M40&gt;='Scoring Model'!$B$11,"Hot",IF(M40&gt;='Scoring Model'!$B$12,"Warm","Cold")))</x:f>
        <x:v>Warm</x:v>
      </x:c>
    </x:row>
    <x:row r="41">
      <x:c r="A41" t="n">
        <x:v>40</x:v>
      </x:c>
      <x:c r="B41" t="str">
        <x:v>Marisa</x:v>
      </x:c>
      <x:c r="C41" t="str">
        <x:v>Zapata</x:v>
      </x:c>
      <x:c r="D41" t="str">
        <x:v>mzapata@catenazapata.com</x:v>
      </x:c>
      <x:c r="E41" t="str"/>
      <x:c r="F41" t="str"/>
      <x:c r="G41" t="str">
        <x:v>Yes</x:v>
      </x:c>
      <x:c r="H41" t="n">
        <x:v>47.4</x:v>
      </x:c>
      <x:c r="I41" s="32" t="n">
        <x:v>0.6774</x:v>
      </x:c>
      <x:c r="J41" t="n">
        <x:v>0</x:v>
      </x:c>
      <x:c r="K41" t="n">
        <x:v>0</x:v>
      </x:c>
      <x:c r="L41" t="str">
        <x:v>No</x:v>
      </x:c>
      <x:c r="M41" s="64" t="n">
        <x:f>'Scoring Model'!$B$4+IF(G41="Yes",'Scoring Model'!$B$5,0)+MIN('Scoring Model'!$B$7,H41/'Scoring Model'!$B$6*'Scoring Model'!$B$7)+MIN('Scoring Model'!$B$8,J41*'Scoring Model'!$B$8)+MIN('Scoring Model'!$B$10,K41*'Scoring Model'!$B$9)</x:f>
        <x:v>57.08571428571429</x:v>
      </x:c>
      <x:c r="N41" t="str">
        <x:f>IF(L41="Yes","Internal / Partner / Excluded",IF(M41&gt;='Scoring Model'!$B$11,"Hot",IF(M41&gt;='Scoring Model'!$B$12,"Warm","Cold")))</x:f>
        <x:v>Warm</x:v>
      </x:c>
    </x:row>
    <x:row r="42">
      <x:c r="A42" t="n">
        <x:v>41</x:v>
      </x:c>
      <x:c r="B42" t="str">
        <x:v>Kathya</x:v>
      </x:c>
      <x:c r="C42" t="str">
        <x:v>Briceño</x:v>
      </x:c>
      <x:c r="D42" t="str">
        <x:v>kathyabriceno@gmail.com</x:v>
      </x:c>
      <x:c r="E42" t="str"/>
      <x:c r="F42" t="str">
        <x:v>Spain</x:v>
      </x:c>
      <x:c r="G42" t="str">
        <x:v>Yes</x:v>
      </x:c>
      <x:c r="H42" t="n">
        <x:v>47.2</x:v>
      </x:c>
      <x:c r="I42" s="32" t="n">
        <x:v>0.674</x:v>
      </x:c>
      <x:c r="J42" t="n">
        <x:v>0</x:v>
      </x:c>
      <x:c r="K42" t="n">
        <x:v>0</x:v>
      </x:c>
      <x:c r="L42" t="str">
        <x:v>No</x:v>
      </x:c>
      <x:c r="M42" s="64" t="n">
        <x:f>'Scoring Model'!$B$4+IF(G42="Yes",'Scoring Model'!$B$5,0)+MIN('Scoring Model'!$B$7,H42/'Scoring Model'!$B$6*'Scoring Model'!$B$7)+MIN('Scoring Model'!$B$8,J42*'Scoring Model'!$B$8)+MIN('Scoring Model'!$B$10,K42*'Scoring Model'!$B$9)</x:f>
        <x:v>56.971428571428575</x:v>
      </x:c>
      <x:c r="N42" t="str">
        <x:f>IF(L42="Yes","Internal / Partner / Excluded",IF(M42&gt;='Scoring Model'!$B$11,"Hot",IF(M42&gt;='Scoring Model'!$B$12,"Warm","Cold")))</x:f>
        <x:v>Warm</x:v>
      </x:c>
    </x:row>
    <x:row r="43">
      <x:c r="A43" t="n">
        <x:v>42</x:v>
      </x:c>
      <x:c r="B43" t="str">
        <x:v>Tomas</x:v>
      </x:c>
      <x:c r="C43" t="str">
        <x:v>Buscalia</x:v>
      </x:c>
      <x:c r="D43" t="str">
        <x:v>tbuscalia@cofcointernational.com</x:v>
      </x:c>
      <x:c r="E43" t="str">
        <x:v>COFCO INTERNATIONAL ARGENTINA</x:v>
      </x:c>
      <x:c r="F43" t="str">
        <x:v>Argentina</x:v>
      </x:c>
      <x:c r="G43" t="str">
        <x:v>Yes</x:v>
      </x:c>
      <x:c r="H43" t="n">
        <x:v>47.1</x:v>
      </x:c>
      <x:c r="I43" s="32" t="n">
        <x:v>0.6733</x:v>
      </x:c>
      <x:c r="J43" t="n">
        <x:v>0</x:v>
      </x:c>
      <x:c r="K43" t="n">
        <x:v>0</x:v>
      </x:c>
      <x:c r="L43" t="str">
        <x:v>No</x:v>
      </x:c>
      <x:c r="M43" s="64" t="n">
        <x:f>'Scoring Model'!$B$4+IF(G43="Yes",'Scoring Model'!$B$5,0)+MIN('Scoring Model'!$B$7,H43/'Scoring Model'!$B$6*'Scoring Model'!$B$7)+MIN('Scoring Model'!$B$8,J43*'Scoring Model'!$B$8)+MIN('Scoring Model'!$B$10,K43*'Scoring Model'!$B$9)</x:f>
        <x:v>56.91428571428572</x:v>
      </x:c>
      <x:c r="N43" t="str">
        <x:f>IF(L43="Yes","Internal / Partner / Excluded",IF(M43&gt;='Scoring Model'!$B$11,"Hot",IF(M43&gt;='Scoring Model'!$B$12,"Warm","Cold")))</x:f>
        <x:v>Warm</x:v>
      </x:c>
    </x:row>
    <x:row r="44">
      <x:c r="A44" t="n">
        <x:v>43</x:v>
      </x:c>
      <x:c r="B44" t="str">
        <x:v>Maria Gabriela</x:v>
      </x:c>
      <x:c r="C44" t="str">
        <x:v>Montenegro</x:v>
      </x:c>
      <x:c r="D44" t="str">
        <x:v>gmontenegro@cofcointernational.com</x:v>
      </x:c>
      <x:c r="E44" t="str">
        <x:v>COFCO INTERNATIONAL ARGENTINA S.A.</x:v>
      </x:c>
      <x:c r="F44" t="str">
        <x:v>Argentina</x:v>
      </x:c>
      <x:c r="G44" t="str">
        <x:v>Yes</x:v>
      </x:c>
      <x:c r="H44" t="n">
        <x:v>47</x:v>
      </x:c>
      <x:c r="I44" s="32" t="n">
        <x:v>0.6717</x:v>
      </x:c>
      <x:c r="J44" t="n">
        <x:v>0</x:v>
      </x:c>
      <x:c r="K44" t="n">
        <x:v>0</x:v>
      </x:c>
      <x:c r="L44" t="str">
        <x:v>No</x:v>
      </x:c>
      <x:c r="M44" s="64" t="n">
        <x:f>'Scoring Model'!$B$4+IF(G44="Yes",'Scoring Model'!$B$5,0)+MIN('Scoring Model'!$B$7,H44/'Scoring Model'!$B$6*'Scoring Model'!$B$7)+MIN('Scoring Model'!$B$8,J44*'Scoring Model'!$B$8)+MIN('Scoring Model'!$B$10,K44*'Scoring Model'!$B$9)</x:f>
        <x:v>56.857142857142854</x:v>
      </x:c>
      <x:c r="N44" t="str">
        <x:f>IF(L44="Yes","Internal / Partner / Excluded",IF(M44&gt;='Scoring Model'!$B$11,"Hot",IF(M44&gt;='Scoring Model'!$B$12,"Warm","Cold")))</x:f>
        <x:v>Warm</x:v>
      </x:c>
    </x:row>
    <x:row r="45">
      <x:c r="A45" t="n">
        <x:v>44</x:v>
      </x:c>
      <x:c r="B45" t="str">
        <x:v>Ornella</x:v>
      </x:c>
      <x:c r="C45" t="str">
        <x:v>Corallo</x:v>
      </x:c>
      <x:c r="D45" t="str">
        <x:v>ornellacorallo@cofcointernational.com</x:v>
      </x:c>
      <x:c r="E45" t="str">
        <x:v>COFCO INTERNATIONAL</x:v>
      </x:c>
      <x:c r="F45" t="str">
        <x:v>Argentina</x:v>
      </x:c>
      <x:c r="G45" t="str">
        <x:v>Yes</x:v>
      </x:c>
      <x:c r="H45" t="n">
        <x:v>46.9</x:v>
      </x:c>
      <x:c r="I45" s="32" t="n">
        <x:v>0.6702</x:v>
      </x:c>
      <x:c r="J45" t="n">
        <x:v>0</x:v>
      </x:c>
      <x:c r="K45" t="n">
        <x:v>0</x:v>
      </x:c>
      <x:c r="L45" t="str">
        <x:v>No</x:v>
      </x:c>
      <x:c r="M45" s="64" t="n">
        <x:f>'Scoring Model'!$B$4+IF(G45="Yes",'Scoring Model'!$B$5,0)+MIN('Scoring Model'!$B$7,H45/'Scoring Model'!$B$6*'Scoring Model'!$B$7)+MIN('Scoring Model'!$B$8,J45*'Scoring Model'!$B$8)+MIN('Scoring Model'!$B$10,K45*'Scoring Model'!$B$9)</x:f>
        <x:v>56.8</x:v>
      </x:c>
      <x:c r="N45" t="str">
        <x:f>IF(L45="Yes","Internal / Partner / Excluded",IF(M45&gt;='Scoring Model'!$B$11,"Hot",IF(M45&gt;='Scoring Model'!$B$12,"Warm","Cold")))</x:f>
        <x:v>Warm</x:v>
      </x:c>
    </x:row>
    <x:row r="46">
      <x:c r="A46" t="n">
        <x:v>45</x:v>
      </x:c>
      <x:c r="B46" t="str">
        <x:v>Erika</x:v>
      </x:c>
      <x:c r="C46" t="str">
        <x:v>Villagran</x:v>
      </x:c>
      <x:c r="D46" t="str">
        <x:v>evillagran@pft.com.ar</x:v>
      </x:c>
      <x:c r="E46" t="str">
        <x:v>Patagonian Fruits S.A.</x:v>
      </x:c>
      <x:c r="F46" t="str">
        <x:v>Argentina</x:v>
      </x:c>
      <x:c r="G46" t="str">
        <x:v>Yes</x:v>
      </x:c>
      <x:c r="H46" t="n">
        <x:v>46.9</x:v>
      </x:c>
      <x:c r="I46" s="32" t="n">
        <x:v>0.6705</x:v>
      </x:c>
      <x:c r="J46" t="n">
        <x:v>0</x:v>
      </x:c>
      <x:c r="K46" t="n">
        <x:v>0</x:v>
      </x:c>
      <x:c r="L46" t="str">
        <x:v>No</x:v>
      </x:c>
      <x:c r="M46" s="64" t="n">
        <x:f>'Scoring Model'!$B$4+IF(G46="Yes",'Scoring Model'!$B$5,0)+MIN('Scoring Model'!$B$7,H46/'Scoring Model'!$B$6*'Scoring Model'!$B$7)+MIN('Scoring Model'!$B$8,J46*'Scoring Model'!$B$8)+MIN('Scoring Model'!$B$10,K46*'Scoring Model'!$B$9)</x:f>
        <x:v>56.8</x:v>
      </x:c>
      <x:c r="N46" t="str">
        <x:f>IF(L46="Yes","Internal / Partner / Excluded",IF(M46&gt;='Scoring Model'!$B$11,"Hot",IF(M46&gt;='Scoring Model'!$B$12,"Warm","Cold")))</x:f>
        <x:v>Warm</x:v>
      </x:c>
    </x:row>
    <x:row r="47">
      <x:c r="A47" t="n">
        <x:v>46</x:v>
      </x:c>
      <x:c r="B47" t="str">
        <x:v>Romina</x:v>
      </x:c>
      <x:c r="C47" t="str">
        <x:v>De Los Santos</x:v>
      </x:c>
      <x:c r="D47" t="str">
        <x:v>rdelossantos@sanmiguelglobal.com</x:v>
      </x:c>
      <x:c r="E47" t="str">
        <x:v>SAN MIGUEL</x:v>
      </x:c>
      <x:c r="F47" t="str">
        <x:v>Argentina</x:v>
      </x:c>
      <x:c r="G47" t="str">
        <x:v>Yes</x:v>
      </x:c>
      <x:c r="H47" t="n">
        <x:v>46.8</x:v>
      </x:c>
      <x:c r="I47" s="32" t="n">
        <x:v>0.669</x:v>
      </x:c>
      <x:c r="J47" t="n">
        <x:v>0</x:v>
      </x:c>
      <x:c r="K47" t="n">
        <x:v>0</x:v>
      </x:c>
      <x:c r="L47" t="str">
        <x:v>No</x:v>
      </x:c>
      <x:c r="M47" s="64" t="n">
        <x:f>'Scoring Model'!$B$4+IF(G47="Yes",'Scoring Model'!$B$5,0)+MIN('Scoring Model'!$B$7,H47/'Scoring Model'!$B$6*'Scoring Model'!$B$7)+MIN('Scoring Model'!$B$8,J47*'Scoring Model'!$B$8)+MIN('Scoring Model'!$B$10,K47*'Scoring Model'!$B$9)</x:f>
        <x:v>56.74285714285714</x:v>
      </x:c>
      <x:c r="N47" t="str">
        <x:f>IF(L47="Yes","Internal / Partner / Excluded",IF(M47&gt;='Scoring Model'!$B$11,"Hot",IF(M47&gt;='Scoring Model'!$B$12,"Warm","Cold")))</x:f>
        <x:v>Warm</x:v>
      </x:c>
    </x:row>
    <x:row r="48">
      <x:c r="A48" t="n">
        <x:v>47</x:v>
      </x:c>
      <x:c r="B48" t="str">
        <x:v>Sol</x:v>
      </x:c>
      <x:c r="C48" t="str">
        <x:v>Cornejo</x:v>
      </x:c>
      <x:c r="D48" t="str">
        <x:v>scornejo@rutiniwines.com</x:v>
      </x:c>
      <x:c r="E48" t="str"/>
      <x:c r="F48" t="str"/>
      <x:c r="G48" t="str">
        <x:v>Yes</x:v>
      </x:c>
      <x:c r="H48" t="n">
        <x:v>46.7</x:v>
      </x:c>
      <x:c r="I48" s="32" t="n">
        <x:v>0.6674</x:v>
      </x:c>
      <x:c r="J48" t="n">
        <x:v>0</x:v>
      </x:c>
      <x:c r="K48" t="n">
        <x:v>0</x:v>
      </x:c>
      <x:c r="L48" t="str">
        <x:v>No</x:v>
      </x:c>
      <x:c r="M48" s="64" t="n">
        <x:f>'Scoring Model'!$B$4+IF(G48="Yes",'Scoring Model'!$B$5,0)+MIN('Scoring Model'!$B$7,H48/'Scoring Model'!$B$6*'Scoring Model'!$B$7)+MIN('Scoring Model'!$B$8,J48*'Scoring Model'!$B$8)+MIN('Scoring Model'!$B$10,K48*'Scoring Model'!$B$9)</x:f>
        <x:v>56.68571428571428</x:v>
      </x:c>
      <x:c r="N48" t="str">
        <x:f>IF(L48="Yes","Internal / Partner / Excluded",IF(M48&gt;='Scoring Model'!$B$11,"Hot",IF(M48&gt;='Scoring Model'!$B$12,"Warm","Cold")))</x:f>
        <x:v>Warm</x:v>
      </x:c>
    </x:row>
    <x:row r="49">
      <x:c r="A49" t="n">
        <x:v>48</x:v>
      </x:c>
      <x:c r="B49" t="str">
        <x:v>Angelina</x:v>
      </x:c>
      <x:c r="C49" t="str">
        <x:v>Achilli</x:v>
      </x:c>
      <x:c r="D49" t="str">
        <x:v>aachilli@laanonima.com.ar</x:v>
      </x:c>
      <x:c r="E49" t="str">
        <x:v>La Anonima </x:v>
      </x:c>
      <x:c r="F49" t="str">
        <x:v>Argentina </x:v>
      </x:c>
      <x:c r="G49" t="str">
        <x:v>Yes</x:v>
      </x:c>
      <x:c r="H49" t="n">
        <x:v>46.8</x:v>
      </x:c>
      <x:c r="I49" s="32" t="n">
        <x:v>0.6679</x:v>
      </x:c>
      <x:c r="J49" t="n">
        <x:v>0</x:v>
      </x:c>
      <x:c r="K49" t="n">
        <x:v>0</x:v>
      </x:c>
      <x:c r="L49" t="str">
        <x:v>No</x:v>
      </x:c>
      <x:c r="M49" s="64" t="n">
        <x:f>'Scoring Model'!$B$4+IF(G49="Yes",'Scoring Model'!$B$5,0)+MIN('Scoring Model'!$B$7,H49/'Scoring Model'!$B$6*'Scoring Model'!$B$7)+MIN('Scoring Model'!$B$8,J49*'Scoring Model'!$B$8)+MIN('Scoring Model'!$B$10,K49*'Scoring Model'!$B$9)</x:f>
        <x:v>56.74285714285714</x:v>
      </x:c>
      <x:c r="N49" t="str">
        <x:f>IF(L49="Yes","Internal / Partner / Excluded",IF(M49&gt;='Scoring Model'!$B$11,"Hot",IF(M49&gt;='Scoring Model'!$B$12,"Warm","Cold")))</x:f>
        <x:v>Warm</x:v>
      </x:c>
    </x:row>
    <x:row r="50">
      <x:c r="A50" t="n">
        <x:v>49</x:v>
      </x:c>
      <x:c r="B50" t="str">
        <x:v>Ana</x:v>
      </x:c>
      <x:c r="C50" t="str">
        <x:v>GUERELLO</x:v>
      </x:c>
      <x:c r="D50" t="str">
        <x:v>ana.guerello@laserenisima.com</x:v>
      </x:c>
      <x:c r="E50" t="str">
        <x:v>La Serenisima</x:v>
      </x:c>
      <x:c r="F50" t="str">
        <x:v>Argentina</x:v>
      </x:c>
      <x:c r="G50" t="str">
        <x:v>Yes</x:v>
      </x:c>
      <x:c r="H50" t="n">
        <x:v>46.7</x:v>
      </x:c>
      <x:c r="I50" s="32" t="n">
        <x:v>0.6674</x:v>
      </x:c>
      <x:c r="J50" t="n">
        <x:v>0</x:v>
      </x:c>
      <x:c r="K50" t="n">
        <x:v>0</x:v>
      </x:c>
      <x:c r="L50" t="str">
        <x:v>No</x:v>
      </x:c>
      <x:c r="M50" s="64" t="n">
        <x:f>'Scoring Model'!$B$4+IF(G50="Yes",'Scoring Model'!$B$5,0)+MIN('Scoring Model'!$B$7,H50/'Scoring Model'!$B$6*'Scoring Model'!$B$7)+MIN('Scoring Model'!$B$8,J50*'Scoring Model'!$B$8)+MIN('Scoring Model'!$B$10,K50*'Scoring Model'!$B$9)</x:f>
        <x:v>56.68571428571428</x:v>
      </x:c>
      <x:c r="N50" t="str">
        <x:f>IF(L50="Yes","Internal / Partner / Excluded",IF(M50&gt;='Scoring Model'!$B$11,"Hot",IF(M50&gt;='Scoring Model'!$B$12,"Warm","Cold")))</x:f>
        <x:v>Warm</x:v>
      </x:c>
    </x:row>
    <x:row r="51">
      <x:c r="A51" t="n">
        <x:v>50</x:v>
      </x:c>
      <x:c r="B51" t="str">
        <x:v>Virginia</x:v>
      </x:c>
      <x:c r="C51" t="str">
        <x:v>Cabral</x:v>
      </x:c>
      <x:c r="D51" t="str">
        <x:v>virginiacabral@cofcointernational.com</x:v>
      </x:c>
      <x:c r="E51" t="str">
        <x:v>COFCO International Argentina</x:v>
      </x:c>
      <x:c r="F51" t="str">
        <x:v>Argentina</x:v>
      </x:c>
      <x:c r="G51" t="str">
        <x:v>Yes</x:v>
      </x:c>
      <x:c r="H51" t="n">
        <x:v>46.5</x:v>
      </x:c>
      <x:c r="I51" s="32" t="n">
        <x:v>0.665</x:v>
      </x:c>
      <x:c r="J51" t="n">
        <x:v>0</x:v>
      </x:c>
      <x:c r="K51" t="n">
        <x:v>0</x:v>
      </x:c>
      <x:c r="L51" t="str">
        <x:v>No</x:v>
      </x:c>
      <x:c r="M51" s="64" t="n">
        <x:f>'Scoring Model'!$B$4+IF(G51="Yes",'Scoring Model'!$B$5,0)+MIN('Scoring Model'!$B$7,H51/'Scoring Model'!$B$6*'Scoring Model'!$B$7)+MIN('Scoring Model'!$B$8,J51*'Scoring Model'!$B$8)+MIN('Scoring Model'!$B$10,K51*'Scoring Model'!$B$9)</x:f>
        <x:v>56.57142857142857</x:v>
      </x:c>
      <x:c r="N51" t="str">
        <x:f>IF(L51="Yes","Internal / Partner / Excluded",IF(M51&gt;='Scoring Model'!$B$11,"Hot",IF(M51&gt;='Scoring Model'!$B$12,"Warm","Cold")))</x:f>
        <x:v>Warm</x:v>
      </x:c>
    </x:row>
    <x:row r="52">
      <x:c r="A52" t="n">
        <x:v>51</x:v>
      </x:c>
      <x:c r="B52" t="str">
        <x:v>ANA MARIA</x:v>
      </x:c>
      <x:c r="C52" t="str">
        <x:v>CHERASCO</x:v>
      </x:c>
      <x:c r="D52" t="str">
        <x:v>acherasco@liafcontrol.com</x:v>
      </x:c>
      <x:c r="E52" t="str"/>
      <x:c r="F52" t="str"/>
      <x:c r="G52" t="str">
        <x:v>Yes</x:v>
      </x:c>
      <x:c r="H52" t="n">
        <x:v>46.3</x:v>
      </x:c>
      <x:c r="I52" s="32" t="n">
        <x:v>0.6619</x:v>
      </x:c>
      <x:c r="J52" t="n">
        <x:v>0</x:v>
      </x:c>
      <x:c r="K52" t="n">
        <x:v>0</x:v>
      </x:c>
      <x:c r="L52" t="str">
        <x:v>No</x:v>
      </x:c>
      <x:c r="M52" s="64" t="n">
        <x:f>'Scoring Model'!$B$4+IF(G52="Yes",'Scoring Model'!$B$5,0)+MIN('Scoring Model'!$B$7,H52/'Scoring Model'!$B$6*'Scoring Model'!$B$7)+MIN('Scoring Model'!$B$8,J52*'Scoring Model'!$B$8)+MIN('Scoring Model'!$B$10,K52*'Scoring Model'!$B$9)</x:f>
        <x:v>56.457142857142856</x:v>
      </x:c>
      <x:c r="N52" t="str">
        <x:f>IF(L52="Yes","Internal / Partner / Excluded",IF(M52&gt;='Scoring Model'!$B$11,"Hot",IF(M52&gt;='Scoring Model'!$B$12,"Warm","Cold")))</x:f>
        <x:v>Warm</x:v>
      </x:c>
    </x:row>
    <x:row r="53">
      <x:c r="A53" t="n">
        <x:v>52</x:v>
      </x:c>
      <x:c r="B53" t="str">
        <x:v>Majo</x:v>
      </x:c>
      <x:c r="C53" t="str">
        <x:v>Peroni</x:v>
      </x:c>
      <x:c r="D53" t="str">
        <x:v>mp.branding.content@gmail.com</x:v>
      </x:c>
      <x:c r="E53" t="str"/>
      <x:c r="F53" t="str"/>
      <x:c r="G53" t="str">
        <x:v>Yes</x:v>
      </x:c>
      <x:c r="H53" t="n">
        <x:v>46.4</x:v>
      </x:c>
      <x:c r="I53" s="32" t="n">
        <x:v>0.6631</x:v>
      </x:c>
      <x:c r="J53" t="n">
        <x:v>0</x:v>
      </x:c>
      <x:c r="K53" t="n">
        <x:v>0</x:v>
      </x:c>
      <x:c r="L53" t="str">
        <x:v>No</x:v>
      </x:c>
      <x:c r="M53" s="64" t="n">
        <x:f>'Scoring Model'!$B$4+IF(G53="Yes",'Scoring Model'!$B$5,0)+MIN('Scoring Model'!$B$7,H53/'Scoring Model'!$B$6*'Scoring Model'!$B$7)+MIN('Scoring Model'!$B$8,J53*'Scoring Model'!$B$8)+MIN('Scoring Model'!$B$10,K53*'Scoring Model'!$B$9)</x:f>
        <x:v>56.51428571428571</x:v>
      </x:c>
      <x:c r="N53" t="str">
        <x:f>IF(L53="Yes","Internal / Partner / Excluded",IF(M53&gt;='Scoring Model'!$B$11,"Hot",IF(M53&gt;='Scoring Model'!$B$12,"Warm","Cold")))</x:f>
        <x:v>Warm</x:v>
      </x:c>
    </x:row>
    <x:row r="54">
      <x:c r="A54" t="n">
        <x:v>53</x:v>
      </x:c>
      <x:c r="B54" t="str">
        <x:v>Natalia</x:v>
      </x:c>
      <x:c r="C54" t="str">
        <x:v>Delgado</x:v>
      </x:c>
      <x:c r="D54" t="str">
        <x:v>natalia.delgado@aris-mining.co</x:v>
      </x:c>
      <x:c r="E54" t="str">
        <x:v>Aris Mining</x:v>
      </x:c>
      <x:c r="F54" t="str">
        <x:v>Colombia</x:v>
      </x:c>
      <x:c r="G54" t="str">
        <x:v>Yes</x:v>
      </x:c>
      <x:c r="H54" t="n">
        <x:v>46.3</x:v>
      </x:c>
      <x:c r="I54" s="32" t="n">
        <x:v>0.661</x:v>
      </x:c>
      <x:c r="J54" t="n">
        <x:v>0</x:v>
      </x:c>
      <x:c r="K54" t="n">
        <x:v>0</x:v>
      </x:c>
      <x:c r="L54" t="str">
        <x:v>No</x:v>
      </x:c>
      <x:c r="M54" s="64" t="n">
        <x:f>'Scoring Model'!$B$4+IF(G54="Yes",'Scoring Model'!$B$5,0)+MIN('Scoring Model'!$B$7,H54/'Scoring Model'!$B$6*'Scoring Model'!$B$7)+MIN('Scoring Model'!$B$8,J54*'Scoring Model'!$B$8)+MIN('Scoring Model'!$B$10,K54*'Scoring Model'!$B$9)</x:f>
        <x:v>56.457142857142856</x:v>
      </x:c>
      <x:c r="N54" t="str">
        <x:f>IF(L54="Yes","Internal / Partner / Excluded",IF(M54&gt;='Scoring Model'!$B$11,"Hot",IF(M54&gt;='Scoring Model'!$B$12,"Warm","Cold")))</x:f>
        <x:v>Warm</x:v>
      </x:c>
    </x:row>
    <x:row r="55">
      <x:c r="A55" t="n">
        <x:v>54</x:v>
      </x:c>
      <x:c r="B55" t="str">
        <x:v>Julieta</x:v>
      </x:c>
      <x:c r="C55" t="str">
        <x:v>CAPRETI</x:v>
      </x:c>
      <x:c r="D55" t="str">
        <x:v>jcapreti@chandon.com.ar</x:v>
      </x:c>
      <x:c r="E55" t="str"/>
      <x:c r="F55" t="str"/>
      <x:c r="G55" t="str">
        <x:v>Yes</x:v>
      </x:c>
      <x:c r="H55" t="n">
        <x:v>45.8</x:v>
      </x:c>
      <x:c r="I55" s="32" t="n">
        <x:v>0.654</x:v>
      </x:c>
      <x:c r="J55" t="n">
        <x:v>0</x:v>
      </x:c>
      <x:c r="K55" t="n">
        <x:v>0</x:v>
      </x:c>
      <x:c r="L55" t="str">
        <x:v>No</x:v>
      </x:c>
      <x:c r="M55" s="64" t="n">
        <x:f>'Scoring Model'!$B$4+IF(G55="Yes",'Scoring Model'!$B$5,0)+MIN('Scoring Model'!$B$7,H55/'Scoring Model'!$B$6*'Scoring Model'!$B$7)+MIN('Scoring Model'!$B$8,J55*'Scoring Model'!$B$8)+MIN('Scoring Model'!$B$10,K55*'Scoring Model'!$B$9)</x:f>
        <x:v>56.17142857142857</x:v>
      </x:c>
      <x:c r="N55" t="str">
        <x:f>IF(L55="Yes","Internal / Partner / Excluded",IF(M55&gt;='Scoring Model'!$B$11,"Hot",IF(M55&gt;='Scoring Model'!$B$12,"Warm","Cold")))</x:f>
        <x:v>Warm</x:v>
      </x:c>
    </x:row>
    <x:row r="56">
      <x:c r="A56" t="n">
        <x:v>55</x:v>
      </x:c>
      <x:c r="B56" t="str">
        <x:v>Evelyn</x:v>
      </x:c>
      <x:c r="C56" t="str">
        <x:v>Ortiz</x:v>
      </x:c>
      <x:c r="D56" t="str">
        <x:v>evelyn.ortiz@aris-mining.co</x:v>
      </x:c>
      <x:c r="E56" t="str">
        <x:v>Aris Mining</x:v>
      </x:c>
      <x:c r="F56" t="str">
        <x:v>Colombia</x:v>
      </x:c>
      <x:c r="G56" t="str">
        <x:v>Yes</x:v>
      </x:c>
      <x:c r="H56" t="n">
        <x:v>45.7</x:v>
      </x:c>
      <x:c r="I56" s="32" t="n">
        <x:v>0.6526</x:v>
      </x:c>
      <x:c r="J56" t="n">
        <x:v>0</x:v>
      </x:c>
      <x:c r="K56" t="n">
        <x:v>0</x:v>
      </x:c>
      <x:c r="L56" t="str">
        <x:v>No</x:v>
      </x:c>
      <x:c r="M56" s="64" t="n">
        <x:f>'Scoring Model'!$B$4+IF(G56="Yes",'Scoring Model'!$B$5,0)+MIN('Scoring Model'!$B$7,H56/'Scoring Model'!$B$6*'Scoring Model'!$B$7)+MIN('Scoring Model'!$B$8,J56*'Scoring Model'!$B$8)+MIN('Scoring Model'!$B$10,K56*'Scoring Model'!$B$9)</x:f>
        <x:v>56.114285714285714</x:v>
      </x:c>
      <x:c r="N56" t="str">
        <x:f>IF(L56="Yes","Internal / Partner / Excluded",IF(M56&gt;='Scoring Model'!$B$11,"Hot",IF(M56&gt;='Scoring Model'!$B$12,"Warm","Cold")))</x:f>
        <x:v>Warm</x:v>
      </x:c>
    </x:row>
    <x:row r="57">
      <x:c r="A57" t="n">
        <x:v>56</x:v>
      </x:c>
      <x:c r="B57" t="str">
        <x:v>Ignacio</x:v>
      </x:c>
      <x:c r="C57" t="str">
        <x:v>Ciancio</x:v>
      </x:c>
      <x:c r="D57" t="str">
        <x:v>ignaciociancio@hotmail.com</x:v>
      </x:c>
      <x:c r="E57" t="str"/>
      <x:c r="F57" t="str"/>
      <x:c r="G57" t="str">
        <x:v>Yes</x:v>
      </x:c>
      <x:c r="H57" t="n">
        <x:v>45.4</x:v>
      </x:c>
      <x:c r="I57" s="32" t="n">
        <x:v>0.649</x:v>
      </x:c>
      <x:c r="J57" t="n">
        <x:v>0</x:v>
      </x:c>
      <x:c r="K57" t="n">
        <x:v>0</x:v>
      </x:c>
      <x:c r="L57" t="str">
        <x:v>No</x:v>
      </x:c>
      <x:c r="M57" s="64" t="n">
        <x:f>'Scoring Model'!$B$4+IF(G57="Yes",'Scoring Model'!$B$5,0)+MIN('Scoring Model'!$B$7,H57/'Scoring Model'!$B$6*'Scoring Model'!$B$7)+MIN('Scoring Model'!$B$8,J57*'Scoring Model'!$B$8)+MIN('Scoring Model'!$B$10,K57*'Scoring Model'!$B$9)</x:f>
        <x:v>55.94285714285714</x:v>
      </x:c>
      <x:c r="N57" t="str">
        <x:f>IF(L57="Yes","Internal / Partner / Excluded",IF(M57&gt;='Scoring Model'!$B$11,"Hot",IF(M57&gt;='Scoring Model'!$B$12,"Warm","Cold")))</x:f>
        <x:v>Warm</x:v>
      </x:c>
    </x:row>
    <x:row r="58">
      <x:c r="A58" t="n">
        <x:v>57</x:v>
      </x:c>
      <x:c r="B58" t="str">
        <x:v>Agustina</x:v>
      </x:c>
      <x:c r="C58" t="str">
        <x:v>Merlo Vallone</x:v>
      </x:c>
      <x:c r="D58" t="str">
        <x:v>agustina.merlo@lagarde.com.ar</x:v>
      </x:c>
      <x:c r="E58" t="str"/>
      <x:c r="F58" t="str"/>
      <x:c r="G58" t="str">
        <x:v>Yes</x:v>
      </x:c>
      <x:c r="H58" t="n">
        <x:v>45.4</x:v>
      </x:c>
      <x:c r="I58" s="32" t="n">
        <x:v>0.6481</x:v>
      </x:c>
      <x:c r="J58" t="n">
        <x:v>0</x:v>
      </x:c>
      <x:c r="K58" t="n">
        <x:v>0</x:v>
      </x:c>
      <x:c r="L58" t="str">
        <x:v>No</x:v>
      </x:c>
      <x:c r="M58" s="64" t="n">
        <x:f>'Scoring Model'!$B$4+IF(G58="Yes",'Scoring Model'!$B$5,0)+MIN('Scoring Model'!$B$7,H58/'Scoring Model'!$B$6*'Scoring Model'!$B$7)+MIN('Scoring Model'!$B$8,J58*'Scoring Model'!$B$8)+MIN('Scoring Model'!$B$10,K58*'Scoring Model'!$B$9)</x:f>
        <x:v>55.94285714285714</x:v>
      </x:c>
      <x:c r="N58" t="str">
        <x:f>IF(L58="Yes","Internal / Partner / Excluded",IF(M58&gt;='Scoring Model'!$B$11,"Hot",IF(M58&gt;='Scoring Model'!$B$12,"Warm","Cold")))</x:f>
        <x:v>Warm</x:v>
      </x:c>
    </x:row>
    <x:row r="59">
      <x:c r="A59" t="n">
        <x:v>58</x:v>
      </x:c>
      <x:c r="B59" t="str">
        <x:v>Matias</x:v>
      </x:c>
      <x:c r="C59" t="str">
        <x:v>Stortini</x:v>
      </x:c>
      <x:c r="D59" t="str">
        <x:v>stortini@justla.com.ar</x:v>
      </x:c>
      <x:c r="E59" t="str">
        <x:v>Just</x:v>
      </x:c>
      <x:c r="F59" t="str">
        <x:v>Argentina</x:v>
      </x:c>
      <x:c r="G59" t="str">
        <x:v>Yes</x:v>
      </x:c>
      <x:c r="H59" t="n">
        <x:v>45.4</x:v>
      </x:c>
      <x:c r="I59" s="32" t="n">
        <x:v>0.6479</x:v>
      </x:c>
      <x:c r="J59" t="n">
        <x:v>0</x:v>
      </x:c>
      <x:c r="K59" t="n">
        <x:v>0</x:v>
      </x:c>
      <x:c r="L59" t="str">
        <x:v>No</x:v>
      </x:c>
      <x:c r="M59" s="64" t="n">
        <x:f>'Scoring Model'!$B$4+IF(G59="Yes",'Scoring Model'!$B$5,0)+MIN('Scoring Model'!$B$7,H59/'Scoring Model'!$B$6*'Scoring Model'!$B$7)+MIN('Scoring Model'!$B$8,J59*'Scoring Model'!$B$8)+MIN('Scoring Model'!$B$10,K59*'Scoring Model'!$B$9)</x:f>
        <x:v>55.94285714285714</x:v>
      </x:c>
      <x:c r="N59" t="str">
        <x:f>IF(L59="Yes","Internal / Partner / Excluded",IF(M59&gt;='Scoring Model'!$B$11,"Hot",IF(M59&gt;='Scoring Model'!$B$12,"Warm","Cold")))</x:f>
        <x:v>Warm</x:v>
      </x:c>
    </x:row>
    <x:row r="60">
      <x:c r="A60" t="n">
        <x:v>59</x:v>
      </x:c>
      <x:c r="B60" t="str">
        <x:v>Leticia</x:v>
      </x:c>
      <x:c r="C60" t="str">
        <x:v>Viazzo</x:v>
      </x:c>
      <x:c r="D60" t="str">
        <x:v>lviazzo@terrazasdelosandes.com.ar</x:v>
      </x:c>
      <x:c r="E60" t="str"/>
      <x:c r="F60" t="str"/>
      <x:c r="G60" t="str">
        <x:v>Yes</x:v>
      </x:c>
      <x:c r="H60" t="n">
        <x:v>45.2</x:v>
      </x:c>
      <x:c r="I60" s="32" t="n">
        <x:v>0.6457</x:v>
      </x:c>
      <x:c r="J60" t="n">
        <x:v>0</x:v>
      </x:c>
      <x:c r="K60" t="n">
        <x:v>0</x:v>
      </x:c>
      <x:c r="L60" t="str">
        <x:v>No</x:v>
      </x:c>
      <x:c r="M60" s="64" t="n">
        <x:f>'Scoring Model'!$B$4+IF(G60="Yes",'Scoring Model'!$B$5,0)+MIN('Scoring Model'!$B$7,H60/'Scoring Model'!$B$6*'Scoring Model'!$B$7)+MIN('Scoring Model'!$B$8,J60*'Scoring Model'!$B$8)+MIN('Scoring Model'!$B$10,K60*'Scoring Model'!$B$9)</x:f>
        <x:v>55.828571428571436</x:v>
      </x:c>
      <x:c r="N60" t="str">
        <x:f>IF(L60="Yes","Internal / Partner / Excluded",IF(M60&gt;='Scoring Model'!$B$11,"Hot",IF(M60&gt;='Scoring Model'!$B$12,"Warm","Cold")))</x:f>
        <x:v>Warm</x:v>
      </x:c>
    </x:row>
    <x:row r="61">
      <x:c r="A61" t="n">
        <x:v>60</x:v>
      </x:c>
      <x:c r="B61" t="str">
        <x:v>Agustina</x:v>
      </x:c>
      <x:c r="C61" t="str">
        <x:v>Espinola</x:v>
      </x:c>
      <x:c r="D61" t="str">
        <x:v>aespinola@westons-cider.co.uk</x:v>
      </x:c>
      <x:c r="E61" t="str">
        <x:v>Westons Cider</x:v>
      </x:c>
      <x:c r="F61" t="str">
        <x:v>United Kingdom</x:v>
      </x:c>
      <x:c r="G61" t="str">
        <x:v>Yes</x:v>
      </x:c>
      <x:c r="H61" t="n">
        <x:v>44.7</x:v>
      </x:c>
      <x:c r="I61" s="32" t="n">
        <x:v>0.6381</x:v>
      </x:c>
      <x:c r="J61" t="n">
        <x:v>0</x:v>
      </x:c>
      <x:c r="K61" t="n">
        <x:v>0</x:v>
      </x:c>
      <x:c r="L61" t="str">
        <x:v>No</x:v>
      </x:c>
      <x:c r="M61" s="64" t="n">
        <x:f>'Scoring Model'!$B$4+IF(G61="Yes",'Scoring Model'!$B$5,0)+MIN('Scoring Model'!$B$7,H61/'Scoring Model'!$B$6*'Scoring Model'!$B$7)+MIN('Scoring Model'!$B$8,J61*'Scoring Model'!$B$8)+MIN('Scoring Model'!$B$10,K61*'Scoring Model'!$B$9)</x:f>
        <x:v>55.542857142857144</x:v>
      </x:c>
      <x:c r="N61" t="str">
        <x:f>IF(L61="Yes","Internal / Partner / Excluded",IF(M61&gt;='Scoring Model'!$B$11,"Hot",IF(M61&gt;='Scoring Model'!$B$12,"Warm","Cold")))</x:f>
        <x:v>Warm</x:v>
      </x:c>
    </x:row>
    <x:row r="62">
      <x:c r="A62" t="n">
        <x:v>61</x:v>
      </x:c>
      <x:c r="B62" t="str">
        <x:v>Sebastian</x:v>
      </x:c>
      <x:c r="C62" t="str">
        <x:v>Lopez</x:v>
      </x:c>
      <x:c r="D62" t="str">
        <x:v>slopez@justla.com.ar</x:v>
      </x:c>
      <x:c r="E62" t="str">
        <x:v>Just International LATAM</x:v>
      </x:c>
      <x:c r="F62" t="str">
        <x:v>Argentina</x:v>
      </x:c>
      <x:c r="G62" t="str">
        <x:v>Yes</x:v>
      </x:c>
      <x:c r="H62" t="n">
        <x:v>44.4</x:v>
      </x:c>
      <x:c r="I62" s="32" t="n">
        <x:v>0.6348</x:v>
      </x:c>
      <x:c r="J62" t="n">
        <x:v>0</x:v>
      </x:c>
      <x:c r="K62" t="n">
        <x:v>0</x:v>
      </x:c>
      <x:c r="L62" t="str">
        <x:v>No</x:v>
      </x:c>
      <x:c r="M62" s="64" t="n">
        <x:f>'Scoring Model'!$B$4+IF(G62="Yes",'Scoring Model'!$B$5,0)+MIN('Scoring Model'!$B$7,H62/'Scoring Model'!$B$6*'Scoring Model'!$B$7)+MIN('Scoring Model'!$B$8,J62*'Scoring Model'!$B$8)+MIN('Scoring Model'!$B$10,K62*'Scoring Model'!$B$9)</x:f>
        <x:v>55.37142857142857</x:v>
      </x:c>
      <x:c r="N62" t="str">
        <x:f>IF(L62="Yes","Internal / Partner / Excluded",IF(M62&gt;='Scoring Model'!$B$11,"Hot",IF(M62&gt;='Scoring Model'!$B$12,"Warm","Cold")))</x:f>
        <x:v>Warm</x:v>
      </x:c>
    </x:row>
    <x:row r="63">
      <x:c r="A63" t="n">
        <x:v>62</x:v>
      </x:c>
      <x:c r="B63" t="str">
        <x:v>ROCÍO</x:v>
      </x:c>
      <x:c r="C63" t="str">
        <x:v>PAREJA POQUET</x:v>
      </x:c>
      <x:c r="D63" t="str">
        <x:v>rpareja@luigibosca.com</x:v>
      </x:c>
      <x:c r="E63" t="str"/>
      <x:c r="F63" t="str"/>
      <x:c r="G63" t="str">
        <x:v>Yes</x:v>
      </x:c>
      <x:c r="H63" t="n">
        <x:v>44.2</x:v>
      </x:c>
      <x:c r="I63" s="32" t="n">
        <x:v>0.6319</x:v>
      </x:c>
      <x:c r="J63" t="n">
        <x:v>0</x:v>
      </x:c>
      <x:c r="K63" t="n">
        <x:v>0</x:v>
      </x:c>
      <x:c r="L63" t="str">
        <x:v>No</x:v>
      </x:c>
      <x:c r="M63" s="64" t="n">
        <x:f>'Scoring Model'!$B$4+IF(G63="Yes",'Scoring Model'!$B$5,0)+MIN('Scoring Model'!$B$7,H63/'Scoring Model'!$B$6*'Scoring Model'!$B$7)+MIN('Scoring Model'!$B$8,J63*'Scoring Model'!$B$8)+MIN('Scoring Model'!$B$10,K63*'Scoring Model'!$B$9)</x:f>
        <x:v>55.25714285714286</x:v>
      </x:c>
      <x:c r="N63" t="str">
        <x:f>IF(L63="Yes","Internal / Partner / Excluded",IF(M63&gt;='Scoring Model'!$B$11,"Hot",IF(M63&gt;='Scoring Model'!$B$12,"Warm","Cold")))</x:f>
        <x:v>Warm</x:v>
      </x:c>
    </x:row>
    <x:row r="64">
      <x:c r="A64" t="n">
        <x:v>63</x:v>
      </x:c>
      <x:c r="B64" t="str">
        <x:v>andrea</x:v>
      </x:c>
      <x:c r="C64" t="str">
        <x:v>carparelli</x:v>
      </x:c>
      <x:c r="D64" t="str">
        <x:v>acarparelli@antigal.com</x:v>
      </x:c>
      <x:c r="E64" t="str"/>
      <x:c r="F64" t="str"/>
      <x:c r="G64" t="str">
        <x:v>Yes</x:v>
      </x:c>
      <x:c r="H64" t="n">
        <x:v>44.2</x:v>
      </x:c>
      <x:c r="I64" s="32" t="n">
        <x:v>0.6312</x:v>
      </x:c>
      <x:c r="J64" t="n">
        <x:v>0</x:v>
      </x:c>
      <x:c r="K64" t="n">
        <x:v>0</x:v>
      </x:c>
      <x:c r="L64" t="str">
        <x:v>No</x:v>
      </x:c>
      <x:c r="M64" s="64" t="n">
        <x:f>'Scoring Model'!$B$4+IF(G64="Yes",'Scoring Model'!$B$5,0)+MIN('Scoring Model'!$B$7,H64/'Scoring Model'!$B$6*'Scoring Model'!$B$7)+MIN('Scoring Model'!$B$8,J64*'Scoring Model'!$B$8)+MIN('Scoring Model'!$B$10,K64*'Scoring Model'!$B$9)</x:f>
        <x:v>55.25714285714286</x:v>
      </x:c>
      <x:c r="N64" t="str">
        <x:f>IF(L64="Yes","Internal / Partner / Excluded",IF(M64&gt;='Scoring Model'!$B$11,"Hot",IF(M64&gt;='Scoring Model'!$B$12,"Warm","Cold")))</x:f>
        <x:v>Warm</x:v>
      </x:c>
    </x:row>
    <x:row r="65">
      <x:c r="A65" t="n">
        <x:v>64</x:v>
      </x:c>
      <x:c r="B65" t="str">
        <x:v>Sebastian</x:v>
      </x:c>
      <x:c r="C65" t="str">
        <x:v>Garzón Rodríguez</x:v>
      </x:c>
      <x:c r="D65" t="str">
        <x:v>sebastian.garzon@aris-mining.co</x:v>
      </x:c>
      <x:c r="E65" t="str">
        <x:v>Aris Mining</x:v>
      </x:c>
      <x:c r="F65" t="str">
        <x:v>Colombia</x:v>
      </x:c>
      <x:c r="G65" t="str">
        <x:v>Yes</x:v>
      </x:c>
      <x:c r="H65" t="n">
        <x:v>43.8</x:v>
      </x:c>
      <x:c r="I65" s="32" t="n">
        <x:v>0.625</x:v>
      </x:c>
      <x:c r="J65" t="n">
        <x:v>0</x:v>
      </x:c>
      <x:c r="K65" t="n">
        <x:v>0</x:v>
      </x:c>
      <x:c r="L65" t="str">
        <x:v>No</x:v>
      </x:c>
      <x:c r="M65" s="64" t="n">
        <x:f>'Scoring Model'!$B$4+IF(G65="Yes",'Scoring Model'!$B$5,0)+MIN('Scoring Model'!$B$7,H65/'Scoring Model'!$B$6*'Scoring Model'!$B$7)+MIN('Scoring Model'!$B$8,J65*'Scoring Model'!$B$8)+MIN('Scoring Model'!$B$10,K65*'Scoring Model'!$B$9)</x:f>
        <x:v>55.028571428571425</x:v>
      </x:c>
      <x:c r="N65" t="str">
        <x:f>IF(L65="Yes","Internal / Partner / Excluded",IF(M65&gt;='Scoring Model'!$B$11,"Hot",IF(M65&gt;='Scoring Model'!$B$12,"Warm","Cold")))</x:f>
        <x:v>Warm</x:v>
      </x:c>
    </x:row>
    <x:row r="66">
      <x:c r="A66" t="n">
        <x:v>65</x:v>
      </x:c>
      <x:c r="B66" t="str">
        <x:v>Noelia</x:v>
      </x:c>
      <x:c r="C66" t="str">
        <x:v>Peralta</x:v>
      </x:c>
      <x:c r="D66" t="str">
        <x:v>noelia.peralta@decero.com</x:v>
      </x:c>
      <x:c r="E66" t="str"/>
      <x:c r="F66" t="str"/>
      <x:c r="G66" t="str">
        <x:v>Yes</x:v>
      </x:c>
      <x:c r="H66" t="n">
        <x:v>43.3</x:v>
      </x:c>
      <x:c r="I66" s="32" t="n">
        <x:v>0.619</x:v>
      </x:c>
      <x:c r="J66" t="n">
        <x:v>0</x:v>
      </x:c>
      <x:c r="K66" t="n">
        <x:v>0</x:v>
      </x:c>
      <x:c r="L66" t="str">
        <x:v>No</x:v>
      </x:c>
      <x:c r="M66" s="64" t="n">
        <x:f>'Scoring Model'!$B$4+IF(G66="Yes",'Scoring Model'!$B$5,0)+MIN('Scoring Model'!$B$7,H66/'Scoring Model'!$B$6*'Scoring Model'!$B$7)+MIN('Scoring Model'!$B$8,J66*'Scoring Model'!$B$8)+MIN('Scoring Model'!$B$10,K66*'Scoring Model'!$B$9)</x:f>
        <x:v>54.74285714285714</x:v>
      </x:c>
      <x:c r="N66" t="str">
        <x:f>IF(L66="Yes","Internal / Partner / Excluded",IF(M66&gt;='Scoring Model'!$B$11,"Hot",IF(M66&gt;='Scoring Model'!$B$12,"Warm","Cold")))</x:f>
        <x:v>Warm</x:v>
      </x:c>
    </x:row>
    <x:row r="67">
      <x:c r="A67" t="n">
        <x:v>66</x:v>
      </x:c>
      <x:c r="B67" t="str">
        <x:v>Germán</x:v>
      </x:c>
      <x:c r="C67" t="str">
        <x:v>Turcuman</x:v>
      </x:c>
      <x:c r="D67" t="str">
        <x:v>gturcuman@familiazuccardi.com</x:v>
      </x:c>
      <x:c r="E67" t="str"/>
      <x:c r="F67" t="str"/>
      <x:c r="G67" t="str">
        <x:v>Yes</x:v>
      </x:c>
      <x:c r="H67" t="n">
        <x:v>42.8</x:v>
      </x:c>
      <x:c r="I67" s="32" t="n">
        <x:v>0.611</x:v>
      </x:c>
      <x:c r="J67" t="n">
        <x:v>0</x:v>
      </x:c>
      <x:c r="K67" t="n">
        <x:v>0</x:v>
      </x:c>
      <x:c r="L67" t="str">
        <x:v>No</x:v>
      </x:c>
      <x:c r="M67" s="64" t="n">
        <x:f>'Scoring Model'!$B$4+IF(G67="Yes",'Scoring Model'!$B$5,0)+MIN('Scoring Model'!$B$7,H67/'Scoring Model'!$B$6*'Scoring Model'!$B$7)+MIN('Scoring Model'!$B$8,J67*'Scoring Model'!$B$8)+MIN('Scoring Model'!$B$10,K67*'Scoring Model'!$B$9)</x:f>
        <x:v>54.457142857142856</x:v>
      </x:c>
      <x:c r="N67" t="str">
        <x:f>IF(L67="Yes","Internal / Partner / Excluded",IF(M67&gt;='Scoring Model'!$B$11,"Hot",IF(M67&gt;='Scoring Model'!$B$12,"Warm","Cold")))</x:f>
        <x:v>Warm</x:v>
      </x:c>
    </x:row>
    <x:row r="68">
      <x:c r="A68" t="n">
        <x:v>67</x:v>
      </x:c>
      <x:c r="B68" t="str">
        <x:v>Andrea</x:v>
      </x:c>
      <x:c r="C68" t="str">
        <x:v>Rivarola</x:v>
      </x:c>
      <x:c r="D68" t="str">
        <x:v>drivarola@inti.gob.ar</x:v>
      </x:c>
      <x:c r="E68" t="str"/>
      <x:c r="F68" t="str"/>
      <x:c r="G68" t="str">
        <x:v>Yes</x:v>
      </x:c>
      <x:c r="H68" t="n">
        <x:v>42.4</x:v>
      </x:c>
      <x:c r="I68" s="32" t="n">
        <x:v>0.6055</x:v>
      </x:c>
      <x:c r="J68" t="n">
        <x:v>0</x:v>
      </x:c>
      <x:c r="K68" t="n">
        <x:v>0</x:v>
      </x:c>
      <x:c r="L68" t="str">
        <x:v>No</x:v>
      </x:c>
      <x:c r="M68" s="64" t="n">
        <x:f>'Scoring Model'!$B$4+IF(G68="Yes",'Scoring Model'!$B$5,0)+MIN('Scoring Model'!$B$7,H68/'Scoring Model'!$B$6*'Scoring Model'!$B$7)+MIN('Scoring Model'!$B$8,J68*'Scoring Model'!$B$8)+MIN('Scoring Model'!$B$10,K68*'Scoring Model'!$B$9)</x:f>
        <x:v>54.22857142857143</x:v>
      </x:c>
      <x:c r="N68" t="str">
        <x:f>IF(L68="Yes","Internal / Partner / Excluded",IF(M68&gt;='Scoring Model'!$B$11,"Hot",IF(M68&gt;='Scoring Model'!$B$12,"Warm","Cold")))</x:f>
        <x:v>Warm</x:v>
      </x:c>
    </x:row>
    <x:row r="69">
      <x:c r="A69" t="n">
        <x:v>68</x:v>
      </x:c>
      <x:c r="B69" t="str">
        <x:v>Soledad</x:v>
      </x:c>
      <x:c r="C69" t="str">
        <x:v>Juncosa</x:v>
      </x:c>
      <x:c r="D69" t="str">
        <x:v>sjuncosa@winesofargentina.com</x:v>
      </x:c>
      <x:c r="E69" t="str"/>
      <x:c r="F69" t="str"/>
      <x:c r="G69" t="str">
        <x:v>Yes</x:v>
      </x:c>
      <x:c r="H69" t="n">
        <x:v>42.3</x:v>
      </x:c>
      <x:c r="I69" s="32" t="n">
        <x:v>0.6045</x:v>
      </x:c>
      <x:c r="J69" t="n">
        <x:v>0</x:v>
      </x:c>
      <x:c r="K69" t="n">
        <x:v>0</x:v>
      </x:c>
      <x:c r="L69" t="str">
        <x:v>No</x:v>
      </x:c>
      <x:c r="M69" s="64" t="n">
        <x:f>'Scoring Model'!$B$4+IF(G69="Yes",'Scoring Model'!$B$5,0)+MIN('Scoring Model'!$B$7,H69/'Scoring Model'!$B$6*'Scoring Model'!$B$7)+MIN('Scoring Model'!$B$8,J69*'Scoring Model'!$B$8)+MIN('Scoring Model'!$B$10,K69*'Scoring Model'!$B$9)</x:f>
        <x:v>54.171428571428564</x:v>
      </x:c>
      <x:c r="N69" t="str">
        <x:f>IF(L69="Yes","Internal / Partner / Excluded",IF(M69&gt;='Scoring Model'!$B$11,"Hot",IF(M69&gt;='Scoring Model'!$B$12,"Warm","Cold")))</x:f>
        <x:v>Warm</x:v>
      </x:c>
    </x:row>
    <x:row r="70">
      <x:c r="A70" t="n">
        <x:v>69</x:v>
      </x:c>
      <x:c r="B70" t="str">
        <x:v>Ana</x:v>
      </x:c>
      <x:c r="C70" t="str">
        <x:v>Fraisse</x:v>
      </x:c>
      <x:c r="D70" t="str">
        <x:v>ana.fraisse@grupobimbo.com</x:v>
      </x:c>
      <x:c r="E70" t="str">
        <x:v>Bimbo QSR</x:v>
      </x:c>
      <x:c r="F70" t="str">
        <x:v>United States</x:v>
      </x:c>
      <x:c r="G70" t="str">
        <x:v>Yes</x:v>
      </x:c>
      <x:c r="H70" t="n">
        <x:v>41.6</x:v>
      </x:c>
      <x:c r="I70" s="32" t="n">
        <x:v>0.5948</x:v>
      </x:c>
      <x:c r="J70" t="n">
        <x:v>0</x:v>
      </x:c>
      <x:c r="K70" t="n">
        <x:v>0</x:v>
      </x:c>
      <x:c r="L70" t="str">
        <x:v>No</x:v>
      </x:c>
      <x:c r="M70" s="64" t="n">
        <x:f>'Scoring Model'!$B$4+IF(G70="Yes",'Scoring Model'!$B$5,0)+MIN('Scoring Model'!$B$7,H70/'Scoring Model'!$B$6*'Scoring Model'!$B$7)+MIN('Scoring Model'!$B$8,J70*'Scoring Model'!$B$8)+MIN('Scoring Model'!$B$10,K70*'Scoring Model'!$B$9)</x:f>
        <x:v>53.77142857142857</x:v>
      </x:c>
      <x:c r="N70" t="str">
        <x:f>IF(L70="Yes","Internal / Partner / Excluded",IF(M70&gt;='Scoring Model'!$B$11,"Hot",IF(M70&gt;='Scoring Model'!$B$12,"Warm","Cold")))</x:f>
        <x:v>Warm</x:v>
      </x:c>
    </x:row>
    <x:row r="71">
      <x:c r="A71" t="n">
        <x:v>70</x:v>
      </x:c>
      <x:c r="B71" t="str">
        <x:v>Lourdes</x:v>
      </x:c>
      <x:c r="C71" t="str">
        <x:v>Manrique</x:v>
      </x:c>
      <x:c r="D71" t="str">
        <x:v>lourdes.manrique@regrow.ag</x:v>
      </x:c>
      <x:c r="E71" t="str">
        <x:v>Regrow</x:v>
      </x:c>
      <x:c r="F71" t="str">
        <x:v>Argentina</x:v>
      </x:c>
      <x:c r="G71" t="str">
        <x:v>Yes</x:v>
      </x:c>
      <x:c r="H71" t="n">
        <x:v>40.9</x:v>
      </x:c>
      <x:c r="I71" s="32" t="n">
        <x:v>0.5843</x:v>
      </x:c>
      <x:c r="J71" t="n">
        <x:v>0</x:v>
      </x:c>
      <x:c r="K71" t="n">
        <x:v>0</x:v>
      </x:c>
      <x:c r="L71" t="str">
        <x:v>No</x:v>
      </x:c>
      <x:c r="M71" s="64" t="n">
        <x:f>'Scoring Model'!$B$4+IF(G71="Yes",'Scoring Model'!$B$5,0)+MIN('Scoring Model'!$B$7,H71/'Scoring Model'!$B$6*'Scoring Model'!$B$7)+MIN('Scoring Model'!$B$8,J71*'Scoring Model'!$B$8)+MIN('Scoring Model'!$B$10,K71*'Scoring Model'!$B$9)</x:f>
        <x:v>53.371428571428574</x:v>
      </x:c>
      <x:c r="N71" t="str">
        <x:f>IF(L71="Yes","Internal / Partner / Excluded",IF(M71&gt;='Scoring Model'!$B$11,"Hot",IF(M71&gt;='Scoring Model'!$B$12,"Warm","Cold")))</x:f>
        <x:v>Warm</x:v>
      </x:c>
    </x:row>
    <x:row r="72">
      <x:c r="A72" t="n">
        <x:v>71</x:v>
      </x:c>
      <x:c r="B72" t="str">
        <x:v>Sergio</x:v>
      </x:c>
      <x:c r="C72" t="str">
        <x:v>Tiberi</x:v>
      </x:c>
      <x:c r="D72" t="str">
        <x:v>stiberi@familiazuccardi.com</x:v>
      </x:c>
      <x:c r="E72" t="str"/>
      <x:c r="F72" t="str"/>
      <x:c r="G72" t="str">
        <x:v>Yes</x:v>
      </x:c>
      <x:c r="H72" t="n">
        <x:v>40.5</x:v>
      </x:c>
      <x:c r="I72" s="32" t="n">
        <x:v>0.5786</x:v>
      </x:c>
      <x:c r="J72" t="n">
        <x:v>0</x:v>
      </x:c>
      <x:c r="K72" t="n">
        <x:v>0</x:v>
      </x:c>
      <x:c r="L72" t="str">
        <x:v>No</x:v>
      </x:c>
      <x:c r="M72" s="64" t="n">
        <x:f>'Scoring Model'!$B$4+IF(G72="Yes",'Scoring Model'!$B$5,0)+MIN('Scoring Model'!$B$7,H72/'Scoring Model'!$B$6*'Scoring Model'!$B$7)+MIN('Scoring Model'!$B$8,J72*'Scoring Model'!$B$8)+MIN('Scoring Model'!$B$10,K72*'Scoring Model'!$B$9)</x:f>
        <x:v>53.142857142857146</x:v>
      </x:c>
      <x:c r="N72" t="str">
        <x:f>IF(L72="Yes","Internal / Partner / Excluded",IF(M72&gt;='Scoring Model'!$B$11,"Hot",IF(M72&gt;='Scoring Model'!$B$12,"Warm","Cold")))</x:f>
        <x:v>Warm</x:v>
      </x:c>
    </x:row>
    <x:row r="73">
      <x:c r="A73" t="n">
        <x:v>72</x:v>
      </x:c>
      <x:c r="B73" t="str">
        <x:v>ROCIO</x:v>
      </x:c>
      <x:c r="C73" t="str">
        <x:v>FRETTES</x:v>
      </x:c>
      <x:c r="D73" t="str">
        <x:v>rocio@pulentaestate.com</x:v>
      </x:c>
      <x:c r="E73" t="str"/>
      <x:c r="F73" t="str"/>
      <x:c r="G73" t="str">
        <x:v>Yes</x:v>
      </x:c>
      <x:c r="H73" t="n">
        <x:v>39.2</x:v>
      </x:c>
      <x:c r="I73" s="32" t="n">
        <x:v>0.5595</x:v>
      </x:c>
      <x:c r="J73" t="n">
        <x:v>0</x:v>
      </x:c>
      <x:c r="K73" t="n">
        <x:v>0</x:v>
      </x:c>
      <x:c r="L73" t="str">
        <x:v>No</x:v>
      </x:c>
      <x:c r="M73" s="64" t="n">
        <x:f>'Scoring Model'!$B$4+IF(G73="Yes",'Scoring Model'!$B$5,0)+MIN('Scoring Model'!$B$7,H73/'Scoring Model'!$B$6*'Scoring Model'!$B$7)+MIN('Scoring Model'!$B$8,J73*'Scoring Model'!$B$8)+MIN('Scoring Model'!$B$10,K73*'Scoring Model'!$B$9)</x:f>
        <x:v>52.400000000000006</x:v>
      </x:c>
      <x:c r="N73" t="str">
        <x:f>IF(L73="Yes","Internal / Partner / Excluded",IF(M73&gt;='Scoring Model'!$B$11,"Hot",IF(M73&gt;='Scoring Model'!$B$12,"Warm","Cold")))</x:f>
        <x:v>Warm</x:v>
      </x:c>
    </x:row>
    <x:row r="74">
      <x:c r="A74" t="n">
        <x:v>73</x:v>
      </x:c>
      <x:c r="B74" t="str">
        <x:v>Macarena</x:v>
      </x:c>
      <x:c r="C74" t="str">
        <x:v>Mora</x:v>
      </x:c>
      <x:c r="D74" t="str">
        <x:v>administracion@casayague.com</x:v>
      </x:c>
      <x:c r="E74" t="str"/>
      <x:c r="F74" t="str"/>
      <x:c r="G74" t="str">
        <x:v>Yes</x:v>
      </x:c>
      <x:c r="H74" t="n">
        <x:v>38.7</x:v>
      </x:c>
      <x:c r="I74" s="32" t="n">
        <x:v>0.5531</x:v>
      </x:c>
      <x:c r="J74" t="n">
        <x:v>0</x:v>
      </x:c>
      <x:c r="K74" t="n">
        <x:v>0</x:v>
      </x:c>
      <x:c r="L74" t="str">
        <x:v>No</x:v>
      </x:c>
      <x:c r="M74" s="64" t="n">
        <x:f>'Scoring Model'!$B$4+IF(G74="Yes",'Scoring Model'!$B$5,0)+MIN('Scoring Model'!$B$7,H74/'Scoring Model'!$B$6*'Scoring Model'!$B$7)+MIN('Scoring Model'!$B$8,J74*'Scoring Model'!$B$8)+MIN('Scoring Model'!$B$10,K74*'Scoring Model'!$B$9)</x:f>
        <x:v>52.114285714285714</x:v>
      </x:c>
      <x:c r="N74" t="str">
        <x:f>IF(L74="Yes","Internal / Partner / Excluded",IF(M74&gt;='Scoring Model'!$B$11,"Hot",IF(M74&gt;='Scoring Model'!$B$12,"Warm","Cold")))</x:f>
        <x:v>Warm</x:v>
      </x:c>
    </x:row>
    <x:row r="75">
      <x:c r="A75" t="n">
        <x:v>74</x:v>
      </x:c>
      <x:c r="B75" t="str">
        <x:v>Pamela</x:v>
      </x:c>
      <x:c r="C75" t="str">
        <x:v>Posse</x:v>
      </x:c>
      <x:c r="D75" t="str">
        <x:v>pame_posse@yahoo.com.ar</x:v>
      </x:c>
      <x:c r="E75" t="str"/>
      <x:c r="F75" t="str"/>
      <x:c r="G75" t="str">
        <x:v>Yes</x:v>
      </x:c>
      <x:c r="H75" t="n">
        <x:v>38.3</x:v>
      </x:c>
      <x:c r="I75" s="32" t="n">
        <x:v>0.5469</x:v>
      </x:c>
      <x:c r="J75" t="n">
        <x:v>0</x:v>
      </x:c>
      <x:c r="K75" t="n">
        <x:v>0</x:v>
      </x:c>
      <x:c r="L75" t="str">
        <x:v>No</x:v>
      </x:c>
      <x:c r="M75" s="64" t="n">
        <x:f>'Scoring Model'!$B$4+IF(G75="Yes",'Scoring Model'!$B$5,0)+MIN('Scoring Model'!$B$7,H75/'Scoring Model'!$B$6*'Scoring Model'!$B$7)+MIN('Scoring Model'!$B$8,J75*'Scoring Model'!$B$8)+MIN('Scoring Model'!$B$10,K75*'Scoring Model'!$B$9)</x:f>
        <x:v>51.885714285714286</x:v>
      </x:c>
      <x:c r="N75" t="str">
        <x:f>IF(L75="Yes","Internal / Partner / Excluded",IF(M75&gt;='Scoring Model'!$B$11,"Hot",IF(M75&gt;='Scoring Model'!$B$12,"Warm","Cold")))</x:f>
        <x:v>Warm</x:v>
      </x:c>
    </x:row>
    <x:row r="76">
      <x:c r="A76" t="n">
        <x:v>75</x:v>
      </x:c>
      <x:c r="B76" t="str">
        <x:v>Pablo</x:v>
      </x:c>
      <x:c r="C76" t="str">
        <x:v>Palumbo</x:v>
      </x:c>
      <x:c r="D76" t="str">
        <x:v>ppalumbo@salentein.com</x:v>
      </x:c>
      <x:c r="E76" t="str">
        <x:v>Bodegas Salentein SA</x:v>
      </x:c>
      <x:c r="F76" t="str">
        <x:v>Argentina</x:v>
      </x:c>
      <x:c r="G76" t="str">
        <x:v>Yes</x:v>
      </x:c>
      <x:c r="H76" t="n">
        <x:v>38.2</x:v>
      </x:c>
      <x:c r="I76" s="32" t="n">
        <x:v>0.5457</x:v>
      </x:c>
      <x:c r="J76" t="n">
        <x:v>0</x:v>
      </x:c>
      <x:c r="K76" t="n">
        <x:v>0</x:v>
      </x:c>
      <x:c r="L76" t="str">
        <x:v>No</x:v>
      </x:c>
      <x:c r="M76" s="64" t="n">
        <x:f>'Scoring Model'!$B$4+IF(G76="Yes",'Scoring Model'!$B$5,0)+MIN('Scoring Model'!$B$7,H76/'Scoring Model'!$B$6*'Scoring Model'!$B$7)+MIN('Scoring Model'!$B$8,J76*'Scoring Model'!$B$8)+MIN('Scoring Model'!$B$10,K76*'Scoring Model'!$B$9)</x:f>
        <x:v>51.82857142857143</x:v>
      </x:c>
      <x:c r="N76" t="str">
        <x:f>IF(L76="Yes","Internal / Partner / Excluded",IF(M76&gt;='Scoring Model'!$B$11,"Hot",IF(M76&gt;='Scoring Model'!$B$12,"Warm","Cold")))</x:f>
        <x:v>Warm</x:v>
      </x:c>
    </x:row>
    <x:row r="77">
      <x:c r="A77" t="n">
        <x:v>76</x:v>
      </x:c>
      <x:c r="B77" t="str">
        <x:v>Zoe</x:v>
      </x:c>
      <x:c r="C77" t="str">
        <x:v>Olivero</x:v>
      </x:c>
      <x:c r="D77" t="str">
        <x:v>zolivero@bio4.com.ar</x:v>
      </x:c>
      <x:c r="E77" t="str">
        <x:v>BIOETANOL RIO CUARTO SA</x:v>
      </x:c>
      <x:c r="F77" t="str">
        <x:v>ARGENTINA</x:v>
      </x:c>
      <x:c r="G77" t="str">
        <x:v>Yes</x:v>
      </x:c>
      <x:c r="H77" t="n">
        <x:v>36.6</x:v>
      </x:c>
      <x:c r="I77" s="32" t="n">
        <x:v>0.5233</x:v>
      </x:c>
      <x:c r="J77" t="n">
        <x:v>0</x:v>
      </x:c>
      <x:c r="K77" t="n">
        <x:v>0</x:v>
      </x:c>
      <x:c r="L77" t="str">
        <x:v>No</x:v>
      </x:c>
      <x:c r="M77" s="64" t="n">
        <x:f>'Scoring Model'!$B$4+IF(G77="Yes",'Scoring Model'!$B$5,0)+MIN('Scoring Model'!$B$7,H77/'Scoring Model'!$B$6*'Scoring Model'!$B$7)+MIN('Scoring Model'!$B$8,J77*'Scoring Model'!$B$8)+MIN('Scoring Model'!$B$10,K77*'Scoring Model'!$B$9)</x:f>
        <x:v>50.91428571428572</x:v>
      </x:c>
      <x:c r="N77" t="str">
        <x:f>IF(L77="Yes","Internal / Partner / Excluded",IF(M77&gt;='Scoring Model'!$B$11,"Hot",IF(M77&gt;='Scoring Model'!$B$12,"Warm","Cold")))</x:f>
        <x:v>Warm</x:v>
      </x:c>
    </x:row>
    <x:row r="78">
      <x:c r="A78" t="n">
        <x:v>77</x:v>
      </x:c>
      <x:c r="B78" t="str">
        <x:v>Ángela</x:v>
      </x:c>
      <x:c r="C78" t="str">
        <x:v>Martín Pobo</x:v>
      </x:c>
      <x:c r="D78" t="str">
        <x:v>amartin@aimplas.es</x:v>
      </x:c>
      <x:c r="E78" t="str">
        <x:v>AIMPLAS</x:v>
      </x:c>
      <x:c r="F78" t="str">
        <x:v>España</x:v>
      </x:c>
      <x:c r="G78" t="str">
        <x:v>Yes</x:v>
      </x:c>
      <x:c r="H78" t="n">
        <x:v>36.4</x:v>
      </x:c>
      <x:c r="I78" s="32" t="n">
        <x:v>0.5193</x:v>
      </x:c>
      <x:c r="J78" t="n">
        <x:v>0</x:v>
      </x:c>
      <x:c r="K78" t="n">
        <x:v>0</x:v>
      </x:c>
      <x:c r="L78" t="str">
        <x:v>No</x:v>
      </x:c>
      <x:c r="M78" s="64" t="n">
        <x:f>'Scoring Model'!$B$4+IF(G78="Yes",'Scoring Model'!$B$5,0)+MIN('Scoring Model'!$B$7,H78/'Scoring Model'!$B$6*'Scoring Model'!$B$7)+MIN('Scoring Model'!$B$8,J78*'Scoring Model'!$B$8)+MIN('Scoring Model'!$B$10,K78*'Scoring Model'!$B$9)</x:f>
        <x:v>50.8</x:v>
      </x:c>
      <x:c r="N78" t="str">
        <x:f>IF(L78="Yes","Internal / Partner / Excluded",IF(M78&gt;='Scoring Model'!$B$11,"Hot",IF(M78&gt;='Scoring Model'!$B$12,"Warm","Cold")))</x:f>
        <x:v>Warm</x:v>
      </x:c>
    </x:row>
    <x:row r="79">
      <x:c r="A79" t="n">
        <x:v>78</x:v>
      </x:c>
      <x:c r="B79" t="str">
        <x:v>Pablo</x:v>
      </x:c>
      <x:c r="C79" t="str">
        <x:v>cerutti</x:v>
      </x:c>
      <x:c r="D79" t="str">
        <x:v>pcerutti@inti.gob.ar</x:v>
      </x:c>
      <x:c r="E79" t="str"/>
      <x:c r="F79" t="str"/>
      <x:c r="G79" t="str">
        <x:v>Yes</x:v>
      </x:c>
      <x:c r="H79" t="n">
        <x:v>34.7</x:v>
      </x:c>
      <x:c r="I79" s="32" t="n">
        <x:v>0.4957</x:v>
      </x:c>
      <x:c r="J79" t="n">
        <x:v>0</x:v>
      </x:c>
      <x:c r="K79" t="n">
        <x:v>0</x:v>
      </x:c>
      <x:c r="L79" t="str">
        <x:v>No</x:v>
      </x:c>
      <x:c r="M79" s="64" t="n">
        <x:f>'Scoring Model'!$B$4+IF(G79="Yes",'Scoring Model'!$B$5,0)+MIN('Scoring Model'!$B$7,H79/'Scoring Model'!$B$6*'Scoring Model'!$B$7)+MIN('Scoring Model'!$B$8,J79*'Scoring Model'!$B$8)+MIN('Scoring Model'!$B$10,K79*'Scoring Model'!$B$9)</x:f>
        <x:v>49.82857142857143</x:v>
      </x:c>
      <x:c r="N79" t="str">
        <x:f>IF(L79="Yes","Internal / Partner / Excluded",IF(M79&gt;='Scoring Model'!$B$11,"Hot",IF(M79&gt;='Scoring Model'!$B$12,"Warm","Cold")))</x:f>
        <x:v>Warm</x:v>
      </x:c>
    </x:row>
    <x:row r="80">
      <x:c r="A80" t="n">
        <x:v>79</x:v>
      </x:c>
      <x:c r="B80" t="str">
        <x:v>Natalia</x:v>
      </x:c>
      <x:c r="C80" t="str">
        <x:v>Bonassies</x:v>
      </x:c>
      <x:c r="D80" t="str">
        <x:v>nbonassies@cera.org.ar</x:v>
      </x:c>
      <x:c r="E80" t="str">
        <x:v>Cera</x:v>
      </x:c>
      <x:c r="F80" t="str">
        <x:v>Argentina </x:v>
      </x:c>
      <x:c r="G80" t="str">
        <x:v>Yes</x:v>
      </x:c>
      <x:c r="H80" t="n">
        <x:v>34.3</x:v>
      </x:c>
      <x:c r="I80" s="32" t="n">
        <x:v>0.4905</x:v>
      </x:c>
      <x:c r="J80" t="n">
        <x:v>0</x:v>
      </x:c>
      <x:c r="K80" t="n">
        <x:v>0</x:v>
      </x:c>
      <x:c r="L80" t="str">
        <x:v>No</x:v>
      </x:c>
      <x:c r="M80" s="64" t="n">
        <x:f>'Scoring Model'!$B$4+IF(G80="Yes",'Scoring Model'!$B$5,0)+MIN('Scoring Model'!$B$7,H80/'Scoring Model'!$B$6*'Scoring Model'!$B$7)+MIN('Scoring Model'!$B$8,J80*'Scoring Model'!$B$8)+MIN('Scoring Model'!$B$10,K80*'Scoring Model'!$B$9)</x:f>
        <x:v>49.599999999999994</x:v>
      </x:c>
      <x:c r="N80" t="str">
        <x:f>IF(L80="Yes","Internal / Partner / Excluded",IF(M80&gt;='Scoring Model'!$B$11,"Hot",IF(M80&gt;='Scoring Model'!$B$12,"Warm","Cold")))</x:f>
        <x:v>Warm</x:v>
      </x:c>
    </x:row>
    <x:row r="81">
      <x:c r="A81" t="n">
        <x:v>80</x:v>
      </x:c>
      <x:c r="B81" t="str">
        <x:v>Vanesa</x:v>
      </x:c>
      <x:c r="C81" t="str">
        <x:v>Zupel</x:v>
      </x:c>
      <x:c r="D81" t="str">
        <x:v>vanesa.zupel@buyatti.com.ar</x:v>
      </x:c>
      <x:c r="E81" t="str">
        <x:v>Buyatti SAICA</x:v>
      </x:c>
      <x:c r="F81" t="str">
        <x:v>Argentina</x:v>
      </x:c>
      <x:c r="G81" t="str">
        <x:v>Yes</x:v>
      </x:c>
      <x:c r="H81" t="n">
        <x:v>33.5</x:v>
      </x:c>
      <x:c r="I81" s="32" t="n">
        <x:v>0.4781</x:v>
      </x:c>
      <x:c r="J81" t="n">
        <x:v>0</x:v>
      </x:c>
      <x:c r="K81" t="n">
        <x:v>0</x:v>
      </x:c>
      <x:c r="L81" t="str">
        <x:v>No</x:v>
      </x:c>
      <x:c r="M81" s="64" t="n">
        <x:f>'Scoring Model'!$B$4+IF(G81="Yes",'Scoring Model'!$B$5,0)+MIN('Scoring Model'!$B$7,H81/'Scoring Model'!$B$6*'Scoring Model'!$B$7)+MIN('Scoring Model'!$B$8,J81*'Scoring Model'!$B$8)+MIN('Scoring Model'!$B$10,K81*'Scoring Model'!$B$9)</x:f>
        <x:v>49.14285714285714</x:v>
      </x:c>
      <x:c r="N81" t="str">
        <x:f>IF(L81="Yes","Internal / Partner / Excluded",IF(M81&gt;='Scoring Model'!$B$11,"Hot",IF(M81&gt;='Scoring Model'!$B$12,"Warm","Cold")))</x:f>
        <x:v>Warm</x:v>
      </x:c>
    </x:row>
    <x:row r="82">
      <x:c r="A82" t="n">
        <x:v>81</x:v>
      </x:c>
      <x:c r="B82" t="str">
        <x:v>MARIA JOSE</x:v>
      </x:c>
      <x:c r="C82" t="str">
        <x:v>PELEITAY PINTO</x:v>
      </x:c>
      <x:c r="D82" t="str">
        <x:v>mariajose@bodegafosterlorca.com</x:v>
      </x:c>
      <x:c r="E82" t="str"/>
      <x:c r="F82" t="str"/>
      <x:c r="G82" t="str">
        <x:v>Yes</x:v>
      </x:c>
      <x:c r="H82" t="n">
        <x:v>32.6</x:v>
      </x:c>
      <x:c r="I82" s="32" t="n">
        <x:v>0.4652</x:v>
      </x:c>
      <x:c r="J82" t="n">
        <x:v>0</x:v>
      </x:c>
      <x:c r="K82" t="n">
        <x:v>0</x:v>
      </x:c>
      <x:c r="L82" t="str">
        <x:v>No</x:v>
      </x:c>
      <x:c r="M82" s="64" t="n">
        <x:f>'Scoring Model'!$B$4+IF(G82="Yes",'Scoring Model'!$B$5,0)+MIN('Scoring Model'!$B$7,H82/'Scoring Model'!$B$6*'Scoring Model'!$B$7)+MIN('Scoring Model'!$B$8,J82*'Scoring Model'!$B$8)+MIN('Scoring Model'!$B$10,K82*'Scoring Model'!$B$9)</x:f>
        <x:v>48.62857142857143</x:v>
      </x:c>
      <x:c r="N82" t="str">
        <x:f>IF(L82="Yes","Internal / Partner / Excluded",IF(M82&gt;='Scoring Model'!$B$11,"Hot",IF(M82&gt;='Scoring Model'!$B$12,"Warm","Cold")))</x:f>
        <x:v>Warm</x:v>
      </x:c>
    </x:row>
    <x:row r="83">
      <x:c r="A83" t="n">
        <x:v>82</x:v>
      </x:c>
      <x:c r="B83" t="str">
        <x:v>MARÍA BELÉN</x:v>
      </x:c>
      <x:c r="C83" t="str">
        <x:v>CASSATA</x:v>
      </x:c>
      <x:c r="D83" t="str">
        <x:v>cassatab@coopsve.com</x:v>
      </x:c>
      <x:c r="E83" t="str"/>
      <x:c r="F83" t="str"/>
      <x:c r="G83" t="str">
        <x:v>Yes</x:v>
      </x:c>
      <x:c r="H83" t="n">
        <x:v>31.7</x:v>
      </x:c>
      <x:c r="I83" s="32" t="n">
        <x:v>0.4524</x:v>
      </x:c>
      <x:c r="J83" t="n">
        <x:v>0</x:v>
      </x:c>
      <x:c r="K83" t="n">
        <x:v>0</x:v>
      </x:c>
      <x:c r="L83" t="str">
        <x:v>No</x:v>
      </x:c>
      <x:c r="M83" s="64" t="n">
        <x:f>'Scoring Model'!$B$4+IF(G83="Yes",'Scoring Model'!$B$5,0)+MIN('Scoring Model'!$B$7,H83/'Scoring Model'!$B$6*'Scoring Model'!$B$7)+MIN('Scoring Model'!$B$8,J83*'Scoring Model'!$B$8)+MIN('Scoring Model'!$B$10,K83*'Scoring Model'!$B$9)</x:f>
        <x:v>48.114285714285714</x:v>
      </x:c>
      <x:c r="N83" t="str">
        <x:f>IF(L83="Yes","Internal / Partner / Excluded",IF(M83&gt;='Scoring Model'!$B$11,"Hot",IF(M83&gt;='Scoring Model'!$B$12,"Warm","Cold")))</x:f>
        <x:v>Warm</x:v>
      </x:c>
    </x:row>
    <x:row r="84">
      <x:c r="A84" t="n">
        <x:v>83</x:v>
      </x:c>
      <x:c r="B84" t="str">
        <x:v>Ana Belén</x:v>
      </x:c>
      <x:c r="C84" t="str">
        <x:v>Orioli</x:v>
      </x:c>
      <x:c r="D84" t="str">
        <x:v>borioli@norton.com.ar</x:v>
      </x:c>
      <x:c r="E84" t="str"/>
      <x:c r="F84" t="str"/>
      <x:c r="G84" t="str">
        <x:v>Yes</x:v>
      </x:c>
      <x:c r="H84" t="n">
        <x:v>29.8</x:v>
      </x:c>
      <x:c r="I84" s="32" t="n">
        <x:v>0.4252</x:v>
      </x:c>
      <x:c r="J84" t="n">
        <x:v>0</x:v>
      </x:c>
      <x:c r="K84" t="n">
        <x:v>0</x:v>
      </x:c>
      <x:c r="L84" t="str">
        <x:v>No</x:v>
      </x:c>
      <x:c r="M84" s="64" t="n">
        <x:f>'Scoring Model'!$B$4+IF(G84="Yes",'Scoring Model'!$B$5,0)+MIN('Scoring Model'!$B$7,H84/'Scoring Model'!$B$6*'Scoring Model'!$B$7)+MIN('Scoring Model'!$B$8,J84*'Scoring Model'!$B$8)+MIN('Scoring Model'!$B$10,K84*'Scoring Model'!$B$9)</x:f>
        <x:v>47.028571428571425</x:v>
      </x:c>
      <x:c r="N84" t="str">
        <x:f>IF(L84="Yes","Internal / Partner / Excluded",IF(M84&gt;='Scoring Model'!$B$11,"Hot",IF(M84&gt;='Scoring Model'!$B$12,"Warm","Cold")))</x:f>
        <x:v>Warm</x:v>
      </x:c>
    </x:row>
    <x:row r="85">
      <x:c r="A85" t="n">
        <x:v>84</x:v>
      </x:c>
      <x:c r="B85" t="str">
        <x:v>Nora Beatriz</x:v>
      </x:c>
      <x:c r="C85" t="str">
        <x:v>Rubio</x:v>
      </x:c>
      <x:c r="D85" t="str">
        <x:v>nrubio@salentein.com</x:v>
      </x:c>
      <x:c r="E85" t="str"/>
      <x:c r="F85" t="str"/>
      <x:c r="G85" t="str">
        <x:v>Yes</x:v>
      </x:c>
      <x:c r="H85" t="n">
        <x:v>28.5</x:v>
      </x:c>
      <x:c r="I85" s="32" t="n">
        <x:v>0.4074</x:v>
      </x:c>
      <x:c r="J85" t="n">
        <x:v>0</x:v>
      </x:c>
      <x:c r="K85" t="n">
        <x:v>0</x:v>
      </x:c>
      <x:c r="L85" t="str">
        <x:v>No</x:v>
      </x:c>
      <x:c r="M85" s="64" t="n">
        <x:f>'Scoring Model'!$B$4+IF(G85="Yes",'Scoring Model'!$B$5,0)+MIN('Scoring Model'!$B$7,H85/'Scoring Model'!$B$6*'Scoring Model'!$B$7)+MIN('Scoring Model'!$B$8,J85*'Scoring Model'!$B$8)+MIN('Scoring Model'!$B$10,K85*'Scoring Model'!$B$9)</x:f>
        <x:v>46.285714285714285</x:v>
      </x:c>
      <x:c r="N85" t="str">
        <x:f>IF(L85="Yes","Internal / Partner / Excluded",IF(M85&gt;='Scoring Model'!$B$11,"Hot",IF(M85&gt;='Scoring Model'!$B$12,"Warm","Cold")))</x:f>
        <x:v>Warm</x:v>
      </x:c>
    </x:row>
    <x:row r="86">
      <x:c r="A86" t="n">
        <x:v>85</x:v>
      </x:c>
      <x:c r="B86" t="str">
        <x:v>Fabián</x:v>
      </x:c>
      <x:c r="C86" t="str">
        <x:v>Garófalo</x:v>
      </x:c>
      <x:c r="D86" t="str">
        <x:v>fabian.garofalo@ecoetika.com</x:v>
      </x:c>
      <x:c r="E86" t="str">
        <x:v>EcoEtika</x:v>
      </x:c>
      <x:c r="F86" t="str">
        <x:v>Argentina</x:v>
      </x:c>
      <x:c r="G86" t="str">
        <x:v>Yes</x:v>
      </x:c>
      <x:c r="H86" t="n">
        <x:v>28.1</x:v>
      </x:c>
      <x:c r="I86" s="32" t="n">
        <x:v>0.4019</x:v>
      </x:c>
      <x:c r="J86" t="n">
        <x:v>0</x:v>
      </x:c>
      <x:c r="K86" t="n">
        <x:v>0</x:v>
      </x:c>
      <x:c r="L86" t="str">
        <x:v>No</x:v>
      </x:c>
      <x:c r="M86" s="64" t="n">
        <x:f>'Scoring Model'!$B$4+IF(G86="Yes",'Scoring Model'!$B$5,0)+MIN('Scoring Model'!$B$7,H86/'Scoring Model'!$B$6*'Scoring Model'!$B$7)+MIN('Scoring Model'!$B$8,J86*'Scoring Model'!$B$8)+MIN('Scoring Model'!$B$10,K86*'Scoring Model'!$B$9)</x:f>
        <x:v>46.05714285714286</x:v>
      </x:c>
      <x:c r="N86" t="str">
        <x:f>IF(L86="Yes","Internal / Partner / Excluded",IF(M86&gt;='Scoring Model'!$B$11,"Hot",IF(M86&gt;='Scoring Model'!$B$12,"Warm","Cold")))</x:f>
        <x:v>Warm</x:v>
      </x:c>
    </x:row>
    <x:row r="87">
      <x:c r="A87" t="n">
        <x:v>86</x:v>
      </x:c>
      <x:c r="B87" t="str">
        <x:v>Pippa</x:v>
      </x:c>
      <x:c r="C87" t="str">
        <x:v>Townley</x:v>
      </x:c>
      <x:c r="D87" t="str">
        <x:v>pippat@blendswineestates.com</x:v>
      </x:c>
      <x:c r="E87" t="str"/>
      <x:c r="F87" t="str"/>
      <x:c r="G87" t="str">
        <x:v>Yes</x:v>
      </x:c>
      <x:c r="H87" t="n">
        <x:v>26.4</x:v>
      </x:c>
      <x:c r="I87" s="32" t="n">
        <x:v>0.3774</x:v>
      </x:c>
      <x:c r="J87" t="n">
        <x:v>0</x:v>
      </x:c>
      <x:c r="K87" t="n">
        <x:v>0</x:v>
      </x:c>
      <x:c r="L87" t="str">
        <x:v>No</x:v>
      </x:c>
      <x:c r="M87" s="64" t="n">
        <x:f>'Scoring Model'!$B$4+IF(G87="Yes",'Scoring Model'!$B$5,0)+MIN('Scoring Model'!$B$7,H87/'Scoring Model'!$B$6*'Scoring Model'!$B$7)+MIN('Scoring Model'!$B$8,J87*'Scoring Model'!$B$8)+MIN('Scoring Model'!$B$10,K87*'Scoring Model'!$B$9)</x:f>
        <x:v>45.08571428571429</x:v>
      </x:c>
      <x:c r="N87" t="str">
        <x:f>IF(L87="Yes","Internal / Partner / Excluded",IF(M87&gt;='Scoring Model'!$B$11,"Hot",IF(M87&gt;='Scoring Model'!$B$12,"Warm","Cold")))</x:f>
        <x:v>Warm</x:v>
      </x:c>
    </x:row>
    <x:row r="88">
      <x:c r="A88" t="n">
        <x:v>87</x:v>
      </x:c>
      <x:c r="B88" t="str">
        <x:v>Berenice</x:v>
      </x:c>
      <x:c r="C88" t="str">
        <x:v>Burdet</x:v>
      </x:c>
      <x:c r="D88" t="str">
        <x:v>bereniceburdet@masitupungato.com</x:v>
      </x:c>
      <x:c r="E88" t="str"/>
      <x:c r="F88" t="str"/>
      <x:c r="G88" t="str">
        <x:v>Yes</x:v>
      </x:c>
      <x:c r="H88" t="n">
        <x:v>25.9</x:v>
      </x:c>
      <x:c r="I88" s="32" t="n">
        <x:v>0.3707</x:v>
      </x:c>
      <x:c r="J88" t="n">
        <x:v>0</x:v>
      </x:c>
      <x:c r="K88" t="n">
        <x:v>0</x:v>
      </x:c>
      <x:c r="L88" t="str">
        <x:v>No</x:v>
      </x:c>
      <x:c r="M88" s="64" t="n">
        <x:f>'Scoring Model'!$B$4+IF(G88="Yes",'Scoring Model'!$B$5,0)+MIN('Scoring Model'!$B$7,H88/'Scoring Model'!$B$6*'Scoring Model'!$B$7)+MIN('Scoring Model'!$B$8,J88*'Scoring Model'!$B$8)+MIN('Scoring Model'!$B$10,K88*'Scoring Model'!$B$9)</x:f>
        <x:v>44.8</x:v>
      </x:c>
      <x:c r="N88" t="str">
        <x:f>IF(L88="Yes","Internal / Partner / Excluded",IF(M88&gt;='Scoring Model'!$B$11,"Hot",IF(M88&gt;='Scoring Model'!$B$12,"Warm","Cold")))</x:f>
        <x:v>Warm</x:v>
      </x:c>
    </x:row>
    <x:row r="89">
      <x:c r="A89" t="n">
        <x:v>88</x:v>
      </x:c>
      <x:c r="B89" t="str">
        <x:v>Gustavo</x:v>
      </x:c>
      <x:c r="C89" t="str">
        <x:v>Crespo</x:v>
      </x:c>
      <x:c r="D89" t="str">
        <x:v>gustavoc@blendswineestates.com</x:v>
      </x:c>
      <x:c r="E89" t="str"/>
      <x:c r="F89" t="str"/>
      <x:c r="G89" t="str">
        <x:v>Yes</x:v>
      </x:c>
      <x:c r="H89" t="n">
        <x:v>26</x:v>
      </x:c>
      <x:c r="I89" s="32" t="n">
        <x:v>0.3712</x:v>
      </x:c>
      <x:c r="J89" t="n">
        <x:v>0</x:v>
      </x:c>
      <x:c r="K89" t="n">
        <x:v>0</x:v>
      </x:c>
      <x:c r="L89" t="str">
        <x:v>No</x:v>
      </x:c>
      <x:c r="M89" s="64" t="n">
        <x:f>'Scoring Model'!$B$4+IF(G89="Yes",'Scoring Model'!$B$5,0)+MIN('Scoring Model'!$B$7,H89/'Scoring Model'!$B$6*'Scoring Model'!$B$7)+MIN('Scoring Model'!$B$8,J89*'Scoring Model'!$B$8)+MIN('Scoring Model'!$B$10,K89*'Scoring Model'!$B$9)</x:f>
        <x:v>44.85714285714286</x:v>
      </x:c>
      <x:c r="N89" t="str">
        <x:f>IF(L89="Yes","Internal / Partner / Excluded",IF(M89&gt;='Scoring Model'!$B$11,"Hot",IF(M89&gt;='Scoring Model'!$B$12,"Warm","Cold")))</x:f>
        <x:v>Warm</x:v>
      </x:c>
    </x:row>
    <x:row r="90">
      <x:c r="A90" t="n">
        <x:v>89</x:v>
      </x:c>
      <x:c r="B90" t="str">
        <x:v>Agostina Daniela</x:v>
      </x:c>
      <x:c r="C90" t="str">
        <x:v>Guerrero</x:v>
      </x:c>
      <x:c r="D90" t="str">
        <x:v>agosdaguer.info@gmail.com</x:v>
      </x:c>
      <x:c r="E90" t="str"/>
      <x:c r="F90" t="str"/>
      <x:c r="G90" t="str">
        <x:v>Yes</x:v>
      </x:c>
      <x:c r="H90" t="n">
        <x:v>24</x:v>
      </x:c>
      <x:c r="I90" s="32" t="n">
        <x:v>0.3431</x:v>
      </x:c>
      <x:c r="J90" t="n">
        <x:v>0</x:v>
      </x:c>
      <x:c r="K90" t="n">
        <x:v>0</x:v>
      </x:c>
      <x:c r="L90" t="str">
        <x:v>No</x:v>
      </x:c>
      <x:c r="M90" s="64" t="n">
        <x:f>'Scoring Model'!$B$4+IF(G90="Yes",'Scoring Model'!$B$5,0)+MIN('Scoring Model'!$B$7,H90/'Scoring Model'!$B$6*'Scoring Model'!$B$7)+MIN('Scoring Model'!$B$8,J90*'Scoring Model'!$B$8)+MIN('Scoring Model'!$B$10,K90*'Scoring Model'!$B$9)</x:f>
        <x:v>43.714285714285715</x:v>
      </x:c>
      <x:c r="N90" t="str">
        <x:f>IF(L90="Yes","Internal / Partner / Excluded",IF(M90&gt;='Scoring Model'!$B$11,"Hot",IF(M90&gt;='Scoring Model'!$B$12,"Warm","Cold")))</x:f>
        <x:v>Warm</x:v>
      </x:c>
    </x:row>
    <x:row r="91">
      <x:c r="A91" t="n">
        <x:v>90</x:v>
      </x:c>
      <x:c r="B91" t="str">
        <x:v>Emile</x:v>
      </x:c>
      <x:c r="C91" t="str">
        <x:v>Maerten</x:v>
      </x:c>
      <x:c r="D91" t="str">
        <x:v>emile.maerten@terratiogroup.com</x:v>
      </x:c>
      <x:c r="E91" t="str">
        <x:v>Terratio</x:v>
      </x:c>
      <x:c r="F91" t="str">
        <x:v>Argentine</x:v>
      </x:c>
      <x:c r="G91" t="str">
        <x:v>Yes</x:v>
      </x:c>
      <x:c r="H91" t="n">
        <x:v>22.8</x:v>
      </x:c>
      <x:c r="I91" s="32" t="n">
        <x:v>0.3255</x:v>
      </x:c>
      <x:c r="J91" t="n">
        <x:v>0</x:v>
      </x:c>
      <x:c r="K91" t="n">
        <x:v>0</x:v>
      </x:c>
      <x:c r="L91" t="str">
        <x:v>No</x:v>
      </x:c>
      <x:c r="M91" s="64" t="n">
        <x:f>'Scoring Model'!$B$4+IF(G91="Yes",'Scoring Model'!$B$5,0)+MIN('Scoring Model'!$B$7,H91/'Scoring Model'!$B$6*'Scoring Model'!$B$7)+MIN('Scoring Model'!$B$8,J91*'Scoring Model'!$B$8)+MIN('Scoring Model'!$B$10,K91*'Scoring Model'!$B$9)</x:f>
        <x:v>43.028571428571425</x:v>
      </x:c>
      <x:c r="N91" t="str">
        <x:f>IF(L91="Yes","Internal / Partner / Excluded",IF(M91&gt;='Scoring Model'!$B$11,"Hot",IF(M91&gt;='Scoring Model'!$B$12,"Warm","Cold")))</x:f>
        <x:v>Warm</x:v>
      </x:c>
    </x:row>
    <x:row r="92">
      <x:c r="A92" t="n">
        <x:v>91</x:v>
      </x:c>
      <x:c r="B92" t="str">
        <x:v>Carlos</x:v>
      </x:c>
      <x:c r="C92" t="str">
        <x:v>Cabrera</x:v>
      </x:c>
      <x:c r="D92" t="str">
        <x:v>ccabrera@acpagro.com</x:v>
      </x:c>
      <x:c r="E92" t="str">
        <x:v>Agricola Cerro Prieto SA</x:v>
      </x:c>
      <x:c r="F92" t="str">
        <x:v>Perú </x:v>
      </x:c>
      <x:c r="G92" t="str">
        <x:v>Yes</x:v>
      </x:c>
      <x:c r="H92" t="n">
        <x:v>22.4</x:v>
      </x:c>
      <x:c r="I92" s="32" t="n">
        <x:v>0.3205</x:v>
      </x:c>
      <x:c r="J92" t="n">
        <x:v>0</x:v>
      </x:c>
      <x:c r="K92" t="n">
        <x:v>0</x:v>
      </x:c>
      <x:c r="L92" t="str">
        <x:v>No</x:v>
      </x:c>
      <x:c r="M92" s="64" t="n">
        <x:f>'Scoring Model'!$B$4+IF(G92="Yes",'Scoring Model'!$B$5,0)+MIN('Scoring Model'!$B$7,H92/'Scoring Model'!$B$6*'Scoring Model'!$B$7)+MIN('Scoring Model'!$B$8,J92*'Scoring Model'!$B$8)+MIN('Scoring Model'!$B$10,K92*'Scoring Model'!$B$9)</x:f>
        <x:v>42.8</x:v>
      </x:c>
      <x:c r="N92" t="str">
        <x:f>IF(L92="Yes","Internal / Partner / Excluded",IF(M92&gt;='Scoring Model'!$B$11,"Hot",IF(M92&gt;='Scoring Model'!$B$12,"Warm","Cold")))</x:f>
        <x:v>Warm</x:v>
      </x:c>
    </x:row>
    <x:row r="93">
      <x:c r="A93" t="n">
        <x:v>92</x:v>
      </x:c>
      <x:c r="B93" t="str">
        <x:v>Mauro Andrés</x:v>
      </x:c>
      <x:c r="C93" t="str">
        <x:v>Povedano</x:v>
      </x:c>
      <x:c r="D93" t="str">
        <x:v>apovedano@bodegasfabre.com</x:v>
      </x:c>
      <x:c r="E93" t="str"/>
      <x:c r="F93" t="str"/>
      <x:c r="G93" t="str">
        <x:v>Yes</x:v>
      </x:c>
      <x:c r="H93" t="n">
        <x:v>20.5</x:v>
      </x:c>
      <x:c r="I93" s="32" t="n">
        <x:v>0.2926</x:v>
      </x:c>
      <x:c r="J93" t="n">
        <x:v>0</x:v>
      </x:c>
      <x:c r="K93" t="n">
        <x:v>0</x:v>
      </x:c>
      <x:c r="L93" t="str">
        <x:v>No</x:v>
      </x:c>
      <x:c r="M93" s="64" t="n">
        <x:f>'Scoring Model'!$B$4+IF(G93="Yes",'Scoring Model'!$B$5,0)+MIN('Scoring Model'!$B$7,H93/'Scoring Model'!$B$6*'Scoring Model'!$B$7)+MIN('Scoring Model'!$B$8,J93*'Scoring Model'!$B$8)+MIN('Scoring Model'!$B$10,K93*'Scoring Model'!$B$9)</x:f>
        <x:v>41.714285714285715</x:v>
      </x:c>
      <x:c r="N93" t="str">
        <x:f>IF(L93="Yes","Internal / Partner / Excluded",IF(M93&gt;='Scoring Model'!$B$11,"Hot",IF(M93&gt;='Scoring Model'!$B$12,"Warm","Cold")))</x:f>
        <x:v>Warm</x:v>
      </x:c>
    </x:row>
    <x:row r="94">
      <x:c r="A94" t="n">
        <x:v>93</x:v>
      </x:c>
      <x:c r="B94" t="str">
        <x:v>Alejandra</x:v>
      </x:c>
      <x:c r="C94" t="str">
        <x:v>Farías</x:v>
      </x:c>
      <x:c r="D94" t="str">
        <x:v>alejandra.farias@imcdchile.com</x:v>
      </x:c>
      <x:c r="E94" t="str">
        <x:v>IMCD Chile</x:v>
      </x:c>
      <x:c r="F94" t="str">
        <x:v>Chile</x:v>
      </x:c>
      <x:c r="G94" t="str">
        <x:v>Yes</x:v>
      </x:c>
      <x:c r="H94" t="n">
        <x:v>19.6</x:v>
      </x:c>
      <x:c r="I94" s="32" t="n">
        <x:v>0.2795</x:v>
      </x:c>
      <x:c r="J94" t="n">
        <x:v>0</x:v>
      </x:c>
      <x:c r="K94" t="n">
        <x:v>0</x:v>
      </x:c>
      <x:c r="L94" t="str">
        <x:v>No</x:v>
      </x:c>
      <x:c r="M94" s="64" t="n">
        <x:f>'Scoring Model'!$B$4+IF(G94="Yes",'Scoring Model'!$B$5,0)+MIN('Scoring Model'!$B$7,H94/'Scoring Model'!$B$6*'Scoring Model'!$B$7)+MIN('Scoring Model'!$B$8,J94*'Scoring Model'!$B$8)+MIN('Scoring Model'!$B$10,K94*'Scoring Model'!$B$9)</x:f>
        <x:v>41.2</x:v>
      </x:c>
      <x:c r="N94" t="str">
        <x:f>IF(L94="Yes","Internal / Partner / Excluded",IF(M94&gt;='Scoring Model'!$B$11,"Hot",IF(M94&gt;='Scoring Model'!$B$12,"Warm","Cold")))</x:f>
        <x:v>Warm</x:v>
      </x:c>
    </x:row>
    <x:row r="95">
      <x:c r="A95" t="n">
        <x:v>94</x:v>
      </x:c>
      <x:c r="B95" t="str">
        <x:v>Daniel</x:v>
      </x:c>
      <x:c r="C95" t="str">
        <x:v>Velásquez</x:v>
      </x:c>
      <x:c r="D95" t="str">
        <x:v>contacto@bywine.com.ar</x:v>
      </x:c>
      <x:c r="E95" t="str"/>
      <x:c r="F95" t="str"/>
      <x:c r="G95" t="str">
        <x:v>Yes</x:v>
      </x:c>
      <x:c r="H95" t="n">
        <x:v>18.2</x:v>
      </x:c>
      <x:c r="I95" s="32" t="n">
        <x:v>0.2607</x:v>
      </x:c>
      <x:c r="J95" t="n">
        <x:v>0</x:v>
      </x:c>
      <x:c r="K95" t="n">
        <x:v>0</x:v>
      </x:c>
      <x:c r="L95" t="str">
        <x:v>No</x:v>
      </x:c>
      <x:c r="M95" s="64" t="n">
        <x:f>'Scoring Model'!$B$4+IF(G95="Yes",'Scoring Model'!$B$5,0)+MIN('Scoring Model'!$B$7,H95/'Scoring Model'!$B$6*'Scoring Model'!$B$7)+MIN('Scoring Model'!$B$8,J95*'Scoring Model'!$B$8)+MIN('Scoring Model'!$B$10,K95*'Scoring Model'!$B$9)</x:f>
        <x:v>40.4</x:v>
      </x:c>
      <x:c r="N95" t="str">
        <x:f>IF(L95="Yes","Internal / Partner / Excluded",IF(M95&gt;='Scoring Model'!$B$11,"Hot",IF(M95&gt;='Scoring Model'!$B$12,"Warm","Cold")))</x:f>
        <x:v>Warm</x:v>
      </x:c>
    </x:row>
    <x:row r="96">
      <x:c r="A96" t="n">
        <x:v>95</x:v>
      </x:c>
      <x:c r="B96" t="str">
        <x:v>María Fernanda</x:v>
      </x:c>
      <x:c r="C96" t="str">
        <x:v>González</x:v>
      </x:c>
      <x:c r="D96" t="str">
        <x:v>marifer.fg84@gmail.com</x:v>
      </x:c>
      <x:c r="E96" t="str"/>
      <x:c r="F96" t="str"/>
      <x:c r="G96" t="str">
        <x:v>Yes</x:v>
      </x:c>
      <x:c r="H96" t="n">
        <x:v>15.5</x:v>
      </x:c>
      <x:c r="I96" s="32" t="n">
        <x:v>0.221</x:v>
      </x:c>
      <x:c r="J96" t="n">
        <x:v>0</x:v>
      </x:c>
      <x:c r="K96" t="n">
        <x:v>0</x:v>
      </x:c>
      <x:c r="L96" t="str">
        <x:v>No</x:v>
      </x:c>
      <x:c r="M96" s="64" t="n">
        <x:f>'Scoring Model'!$B$4+IF(G96="Yes",'Scoring Model'!$B$5,0)+MIN('Scoring Model'!$B$7,H96/'Scoring Model'!$B$6*'Scoring Model'!$B$7)+MIN('Scoring Model'!$B$8,J96*'Scoring Model'!$B$8)+MIN('Scoring Model'!$B$10,K96*'Scoring Model'!$B$9)</x:f>
        <x:v>38.85714285714286</x:v>
      </x:c>
      <x:c r="N96" t="str">
        <x:f>IF(L96="Yes","Internal / Partner / Excluded",IF(M96&gt;='Scoring Model'!$B$11,"Hot",IF(M96&gt;='Scoring Model'!$B$12,"Warm","Cold")))</x:f>
        <x:v>Cold</x:v>
      </x:c>
    </x:row>
    <x:row r="97">
      <x:c r="A97" t="n">
        <x:v>96</x:v>
      </x:c>
      <x:c r="B97" t="str">
        <x:v>María Paula</x:v>
      </x:c>
      <x:c r="C97" t="str">
        <x:v>Trejo Simonassi</x:v>
      </x:c>
      <x:c r="D97" t="str">
        <x:v>mtrejosimonassi@gmail.com</x:v>
      </x:c>
      <x:c r="E97" t="str"/>
      <x:c r="F97" t="str"/>
      <x:c r="G97" t="str">
        <x:v>Yes</x:v>
      </x:c>
      <x:c r="H97" t="n">
        <x:v>15.2</x:v>
      </x:c>
      <x:c r="I97" s="32" t="n">
        <x:v>0.2169</x:v>
      </x:c>
      <x:c r="J97" t="n">
        <x:v>0</x:v>
      </x:c>
      <x:c r="K97" t="n">
        <x:v>0</x:v>
      </x:c>
      <x:c r="L97" t="str">
        <x:v>No</x:v>
      </x:c>
      <x:c r="M97" s="64" t="n">
        <x:f>'Scoring Model'!$B$4+IF(G97="Yes",'Scoring Model'!$B$5,0)+MIN('Scoring Model'!$B$7,H97/'Scoring Model'!$B$6*'Scoring Model'!$B$7)+MIN('Scoring Model'!$B$8,J97*'Scoring Model'!$B$8)+MIN('Scoring Model'!$B$10,K97*'Scoring Model'!$B$9)</x:f>
        <x:v>38.68571428571428</x:v>
      </x:c>
      <x:c r="N97" t="str">
        <x:f>IF(L97="Yes","Internal / Partner / Excluded",IF(M97&gt;='Scoring Model'!$B$11,"Hot",IF(M97&gt;='Scoring Model'!$B$12,"Warm","Cold")))</x:f>
        <x:v>Cold</x:v>
      </x:c>
    </x:row>
    <x:row r="98">
      <x:c r="A98" t="n">
        <x:v>97</x:v>
      </x:c>
      <x:c r="B98" t="str">
        <x:v>Josefina</x:v>
      </x:c>
      <x:c r="C98" t="str">
        <x:v>Ripani</x:v>
      </x:c>
      <x:c r="D98" t="str">
        <x:v>josefina.ripani@bunge.com</x:v>
      </x:c>
      <x:c r="E98" t="str">
        <x:v>Bunge</x:v>
      </x:c>
      <x:c r="F98" t="str">
        <x:v>Argentina</x:v>
      </x:c>
      <x:c r="G98" t="str">
        <x:v>Yes</x:v>
      </x:c>
      <x:c r="H98" t="n">
        <x:v>15.2</x:v>
      </x:c>
      <x:c r="I98" s="32" t="n">
        <x:v>0.2169</x:v>
      </x:c>
      <x:c r="J98" t="n">
        <x:v>0</x:v>
      </x:c>
      <x:c r="K98" t="n">
        <x:v>0</x:v>
      </x:c>
      <x:c r="L98" t="str">
        <x:v>No</x:v>
      </x:c>
      <x:c r="M98" s="64" t="n">
        <x:f>'Scoring Model'!$B$4+IF(G98="Yes",'Scoring Model'!$B$5,0)+MIN('Scoring Model'!$B$7,H98/'Scoring Model'!$B$6*'Scoring Model'!$B$7)+MIN('Scoring Model'!$B$8,J98*'Scoring Model'!$B$8)+MIN('Scoring Model'!$B$10,K98*'Scoring Model'!$B$9)</x:f>
        <x:v>38.68571428571428</x:v>
      </x:c>
      <x:c r="N98" t="str">
        <x:f>IF(L98="Yes","Internal / Partner / Excluded",IF(M98&gt;='Scoring Model'!$B$11,"Hot",IF(M98&gt;='Scoring Model'!$B$12,"Warm","Cold")))</x:f>
        <x:v>Cold</x:v>
      </x:c>
    </x:row>
    <x:row r="99">
      <x:c r="A99" t="n">
        <x:v>98</x:v>
      </x:c>
      <x:c r="B99" t="str">
        <x:v>Daniel</x:v>
      </x:c>
      <x:c r="C99" t="str">
        <x:v>Gomez</x:v>
      </x:c>
      <x:c r="D99" t="str">
        <x:v>daniel.gomez@aris-mining.co</x:v>
      </x:c>
      <x:c r="E99" t="str">
        <x:v>Aris Mining </x:v>
      </x:c>
      <x:c r="F99" t="str">
        <x:v>Colombia</x:v>
      </x:c>
      <x:c r="G99" t="str">
        <x:v>Yes</x:v>
      </x:c>
      <x:c r="H99" t="n">
        <x:v>12.7</x:v>
      </x:c>
      <x:c r="I99" s="32" t="n">
        <x:v>0.1817</x:v>
      </x:c>
      <x:c r="J99" t="n">
        <x:v>0</x:v>
      </x:c>
      <x:c r="K99" t="n">
        <x:v>0</x:v>
      </x:c>
      <x:c r="L99" t="str">
        <x:v>No</x:v>
      </x:c>
      <x:c r="M99" s="64" t="n">
        <x:f>'Scoring Model'!$B$4+IF(G99="Yes",'Scoring Model'!$B$5,0)+MIN('Scoring Model'!$B$7,H99/'Scoring Model'!$B$6*'Scoring Model'!$B$7)+MIN('Scoring Model'!$B$8,J99*'Scoring Model'!$B$8)+MIN('Scoring Model'!$B$10,K99*'Scoring Model'!$B$9)</x:f>
        <x:v>37.25714285714285</x:v>
      </x:c>
      <x:c r="N99" t="str">
        <x:f>IF(L99="Yes","Internal / Partner / Excluded",IF(M99&gt;='Scoring Model'!$B$11,"Hot",IF(M99&gt;='Scoring Model'!$B$12,"Warm","Cold")))</x:f>
        <x:v>Cold</x:v>
      </x:c>
    </x:row>
    <x:row r="100">
      <x:c r="A100" t="n">
        <x:v>99</x:v>
      </x:c>
      <x:c r="B100" t="str">
        <x:v>Ezequiel Marcos</x:v>
      </x:c>
      <x:c r="C100" t="str">
        <x:v>Kiener</x:v>
      </x:c>
      <x:c r="D100" t="str">
        <x:v>ezequiel.kiener@amaggi.com.ar</x:v>
      </x:c>
      <x:c r="E100" t="str">
        <x:v>AMAGGI</x:v>
      </x:c>
      <x:c r="F100" t="str">
        <x:v>Argentina</x:v>
      </x:c>
      <x:c r="G100" t="str">
        <x:v>Yes</x:v>
      </x:c>
      <x:c r="H100" t="n">
        <x:v>12.1</x:v>
      </x:c>
      <x:c r="I100" s="32" t="n">
        <x:v>0.1731</x:v>
      </x:c>
      <x:c r="J100" t="n">
        <x:v>0</x:v>
      </x:c>
      <x:c r="K100" t="n">
        <x:v>0</x:v>
      </x:c>
      <x:c r="L100" t="str">
        <x:v>No</x:v>
      </x:c>
      <x:c r="M100" s="64" t="n">
        <x:f>'Scoring Model'!$B$4+IF(G100="Yes",'Scoring Model'!$B$5,0)+MIN('Scoring Model'!$B$7,H100/'Scoring Model'!$B$6*'Scoring Model'!$B$7)+MIN('Scoring Model'!$B$8,J100*'Scoring Model'!$B$8)+MIN('Scoring Model'!$B$10,K100*'Scoring Model'!$B$9)</x:f>
        <x:v>36.91428571428571</x:v>
      </x:c>
      <x:c r="N100" t="str">
        <x:f>IF(L100="Yes","Internal / Partner / Excluded",IF(M100&gt;='Scoring Model'!$B$11,"Hot",IF(M100&gt;='Scoring Model'!$B$12,"Warm","Cold")))</x:f>
        <x:v>Cold</x:v>
      </x:c>
    </x:row>
    <x:row r="101">
      <x:c r="A101" t="n">
        <x:v>100</x:v>
      </x:c>
      <x:c r="B101" t="str">
        <x:v>SANTIAGO XAVIER</x:v>
      </x:c>
      <x:c r="C101" t="str">
        <x:v>ZULUAGA NOINDICAOTRO</x:v>
      </x:c>
      <x:c r="D101" t="str">
        <x:v>santiago.zuluaga@grupobimbo.com</x:v>
      </x:c>
      <x:c r="E101" t="str">
        <x:v>GRUPO BIMBO</x:v>
      </x:c>
      <x:c r="F101" t="str">
        <x:v>GLOBAL</x:v>
      </x:c>
      <x:c r="G101" t="str">
        <x:v>Yes</x:v>
      </x:c>
      <x:c r="H101" t="n">
        <x:v>10.2</x:v>
      </x:c>
      <x:c r="I101" s="32" t="n">
        <x:v>0.1455</x:v>
      </x:c>
      <x:c r="J101" t="n">
        <x:v>0</x:v>
      </x:c>
      <x:c r="K101" t="n">
        <x:v>0</x:v>
      </x:c>
      <x:c r="L101" t="str">
        <x:v>No</x:v>
      </x:c>
      <x:c r="M101" s="64" t="n">
        <x:f>'Scoring Model'!$B$4+IF(G101="Yes",'Scoring Model'!$B$5,0)+MIN('Scoring Model'!$B$7,H101/'Scoring Model'!$B$6*'Scoring Model'!$B$7)+MIN('Scoring Model'!$B$8,J101*'Scoring Model'!$B$8)+MIN('Scoring Model'!$B$10,K101*'Scoring Model'!$B$9)</x:f>
        <x:v>35.82857142857143</x:v>
      </x:c>
      <x:c r="N101" t="str">
        <x:f>IF(L101="Yes","Internal / Partner / Excluded",IF(M101&gt;='Scoring Model'!$B$11,"Hot",IF(M101&gt;='Scoring Model'!$B$12,"Warm","Cold")))</x:f>
        <x:v>Cold</x:v>
      </x:c>
    </x:row>
    <x:row r="102">
      <x:c r="A102" t="n">
        <x:v>101</x:v>
      </x:c>
      <x:c r="B102" t="str">
        <x:v>Agustina</x:v>
      </x:c>
      <x:c r="C102" t="str">
        <x:v>Martín</x:v>
      </x:c>
      <x:c r="D102" t="str">
        <x:v>amartin@familiazuccardi.com</x:v>
      </x:c>
      <x:c r="E102" t="str"/>
      <x:c r="F102" t="str"/>
      <x:c r="G102" t="str">
        <x:v>Yes</x:v>
      </x:c>
      <x:c r="H102" t="n">
        <x:v>5.7</x:v>
      </x:c>
      <x:c r="I102" s="32" t="n">
        <x:v>0.0817</x:v>
      </x:c>
      <x:c r="J102" t="n">
        <x:v>0</x:v>
      </x:c>
      <x:c r="K102" t="n">
        <x:v>0</x:v>
      </x:c>
      <x:c r="L102" t="str">
        <x:v>No</x:v>
      </x:c>
      <x:c r="M102" s="64" t="n">
        <x:f>'Scoring Model'!$B$4+IF(G102="Yes",'Scoring Model'!$B$5,0)+MIN('Scoring Model'!$B$7,H102/'Scoring Model'!$B$6*'Scoring Model'!$B$7)+MIN('Scoring Model'!$B$8,J102*'Scoring Model'!$B$8)+MIN('Scoring Model'!$B$10,K102*'Scoring Model'!$B$9)</x:f>
        <x:v>33.25714285714286</x:v>
      </x:c>
      <x:c r="N102" t="str">
        <x:f>IF(L102="Yes","Internal / Partner / Excluded",IF(M102&gt;='Scoring Model'!$B$11,"Hot",IF(M102&gt;='Scoring Model'!$B$12,"Warm","Cold")))</x:f>
        <x:v>Cold</x:v>
      </x:c>
    </x:row>
    <x:row r="103">
      <x:c r="A103" t="n">
        <x:v>102</x:v>
      </x:c>
      <x:c r="B103" t="str">
        <x:v>Sebastián</x:v>
      </x:c>
      <x:c r="C103" t="str">
        <x:v>Carrasco</x:v>
      </x:c>
      <x:c r="D103" t="str">
        <x:v>sebastian.carrasco@nutrisco.com</x:v>
      </x:c>
      <x:c r="E103" t="str">
        <x:v>Nutrisco Chile</x:v>
      </x:c>
      <x:c r="F103" t="str">
        <x:v>Chile</x:v>
      </x:c>
      <x:c r="G103" t="str">
        <x:v>Yes</x:v>
      </x:c>
      <x:c r="H103" t="n">
        <x:v>4.7</x:v>
      </x:c>
      <x:c r="I103" s="32" t="n">
        <x:v>0.0671</x:v>
      </x:c>
      <x:c r="J103" t="n">
        <x:v>0</x:v>
      </x:c>
      <x:c r="K103" t="n">
        <x:v>0</x:v>
      </x:c>
      <x:c r="L103" t="str">
        <x:v>No</x:v>
      </x:c>
      <x:c r="M103" s="64" t="n">
        <x:f>'Scoring Model'!$B$4+IF(G103="Yes",'Scoring Model'!$B$5,0)+MIN('Scoring Model'!$B$7,H103/'Scoring Model'!$B$6*'Scoring Model'!$B$7)+MIN('Scoring Model'!$B$8,J103*'Scoring Model'!$B$8)+MIN('Scoring Model'!$B$10,K103*'Scoring Model'!$B$9)</x:f>
        <x:v>32.68571428571428</x:v>
      </x:c>
      <x:c r="N103" t="str">
        <x:f>IF(L103="Yes","Internal / Partner / Excluded",IF(M103&gt;='Scoring Model'!$B$11,"Hot",IF(M103&gt;='Scoring Model'!$B$12,"Warm","Cold")))</x:f>
        <x:v>Cold</x:v>
      </x:c>
    </x:row>
    <x:row r="104">
      <x:c r="A104" t="n">
        <x:v>103</x:v>
      </x:c>
      <x:c r="B104" t="str">
        <x:v>Patricia</x:v>
      </x:c>
      <x:c r="C104" t="str">
        <x:v>Baldaccini</x:v>
      </x:c>
      <x:c r="D104" t="str">
        <x:v>patricia.baldaccini@gmail.com</x:v>
      </x:c>
      <x:c r="E104" t="str"/>
      <x:c r="F104" t="str"/>
      <x:c r="G104" t="str">
        <x:v>Yes</x:v>
      </x:c>
      <x:c r="H104" t="n">
        <x:v>2.9</x:v>
      </x:c>
      <x:c r="I104" s="32" t="n">
        <x:v>0.0417</x:v>
      </x:c>
      <x:c r="J104" t="n">
        <x:v>0</x:v>
      </x:c>
      <x:c r="K104" t="n">
        <x:v>0</x:v>
      </x:c>
      <x:c r="L104" t="str">
        <x:v>No</x:v>
      </x:c>
      <x:c r="M104" s="64" t="n">
        <x:f>'Scoring Model'!$B$4+IF(G104="Yes",'Scoring Model'!$B$5,0)+MIN('Scoring Model'!$B$7,H104/'Scoring Model'!$B$6*'Scoring Model'!$B$7)+MIN('Scoring Model'!$B$8,J104*'Scoring Model'!$B$8)+MIN('Scoring Model'!$B$10,K104*'Scoring Model'!$B$9)</x:f>
        <x:v>31.65714285714286</x:v>
      </x:c>
      <x:c r="N104" t="str">
        <x:f>IF(L104="Yes","Internal / Partner / Excluded",IF(M104&gt;='Scoring Model'!$B$11,"Hot",IF(M104&gt;='Scoring Model'!$B$12,"Warm","Cold")))</x:f>
        <x:v>Cold</x:v>
      </x:c>
    </x:row>
    <x:row r="105">
      <x:c r="A105" t="n">
        <x:v>104</x:v>
      </x:c>
      <x:c r="B105" t="str">
        <x:v>Ana Clara</x:v>
      </x:c>
      <x:c r="C105" t="str">
        <x:v>Longo</x:v>
      </x:c>
      <x:c r="D105" t="str">
        <x:v>anaclara.longo@grupopenaflor.com.ar</x:v>
      </x:c>
      <x:c r="E105" t="str"/>
      <x:c r="F105" t="str"/>
      <x:c r="G105" t="str">
        <x:v>Yes</x:v>
      </x:c>
      <x:c r="H105" t="n">
        <x:v>2.8</x:v>
      </x:c>
      <x:c r="I105" s="32" t="n">
        <x:v>0.0395</x:v>
      </x:c>
      <x:c r="J105" t="n">
        <x:v>0</x:v>
      </x:c>
      <x:c r="K105" t="n">
        <x:v>0</x:v>
      </x:c>
      <x:c r="L105" t="str">
        <x:v>No</x:v>
      </x:c>
      <x:c r="M105" s="64" t="n">
        <x:f>'Scoring Model'!$B$4+IF(G105="Yes",'Scoring Model'!$B$5,0)+MIN('Scoring Model'!$B$7,H105/'Scoring Model'!$B$6*'Scoring Model'!$B$7)+MIN('Scoring Model'!$B$8,J105*'Scoring Model'!$B$8)+MIN('Scoring Model'!$B$10,K105*'Scoring Model'!$B$9)</x:f>
        <x:v>31.6</x:v>
      </x:c>
      <x:c r="N105" t="str">
        <x:f>IF(L105="Yes","Internal / Partner / Excluded",IF(M105&gt;='Scoring Model'!$B$11,"Hot",IF(M105&gt;='Scoring Model'!$B$12,"Warm","Cold")))</x:f>
        <x:v>Cold</x:v>
      </x:c>
    </x:row>
    <x:row r="106">
      <x:c r="A106" t="n">
        <x:v>105</x:v>
      </x:c>
      <x:c r="B106" t="str">
        <x:v>Alexandra</x:v>
      </x:c>
      <x:c r="C106" t="str">
        <x:v>Blandon</x:v>
      </x:c>
      <x:c r="D106" t="str">
        <x:v>alexandra.blandon@asociacionazucarera.net</x:v>
      </x:c>
      <x:c r="E106" t="str">
        <x:v>Fundazucar</x:v>
      </x:c>
      <x:c r="F106" t="str">
        <x:v>El Salvador</x:v>
      </x:c>
      <x:c r="G106" t="str">
        <x:v>Yes</x:v>
      </x:c>
      <x:c r="H106" t="n">
        <x:v>2.4</x:v>
      </x:c>
      <x:c r="I106" s="32" t="n">
        <x:v>0.034</x:v>
      </x:c>
      <x:c r="J106" t="n">
        <x:v>0</x:v>
      </x:c>
      <x:c r="K106" t="n">
        <x:v>0</x:v>
      </x:c>
      <x:c r="L106" t="str">
        <x:v>No</x:v>
      </x:c>
      <x:c r="M106" s="64" t="n">
        <x:f>'Scoring Model'!$B$4+IF(G106="Yes",'Scoring Model'!$B$5,0)+MIN('Scoring Model'!$B$7,H106/'Scoring Model'!$B$6*'Scoring Model'!$B$7)+MIN('Scoring Model'!$B$8,J106*'Scoring Model'!$B$8)+MIN('Scoring Model'!$B$10,K106*'Scoring Model'!$B$9)</x:f>
        <x:v>31.37142857142857</x:v>
      </x:c>
      <x:c r="N106" t="str">
        <x:f>IF(L106="Yes","Internal / Partner / Excluded",IF(M106&gt;='Scoring Model'!$B$11,"Hot",IF(M106&gt;='Scoring Model'!$B$12,"Warm","Cold")))</x:f>
        <x:v>Cold</x:v>
      </x:c>
    </x:row>
    <x:row r="107">
      <x:c r="A107" t="n">
        <x:v>106</x:v>
      </x:c>
      <x:c r="B107" t="str">
        <x:v>Nicolás</x:v>
      </x:c>
      <x:c r="C107" t="str">
        <x:v>Cantoro</x:v>
      </x:c>
      <x:c r="D107" t="str">
        <x:v>cantoron@olega.com.ar</x:v>
      </x:c>
      <x:c r="E107" t="str">
        <x:v>OLEGA</x:v>
      </x:c>
      <x:c r="F107" t="str">
        <x:v>Argentina</x:v>
      </x:c>
      <x:c r="G107" t="str">
        <x:v>Yes</x:v>
      </x:c>
      <x:c r="H107" t="n">
        <x:v>0.1</x:v>
      </x:c>
      <x:c r="I107" s="32" t="n">
        <x:v>0.0021</x:v>
      </x:c>
      <x:c r="J107" t="n">
        <x:v>0</x:v>
      </x:c>
      <x:c r="K107" t="n">
        <x:v>0</x:v>
      </x:c>
      <x:c r="L107" t="str">
        <x:v>No</x:v>
      </x:c>
      <x:c r="M107" s="64" t="n">
        <x:f>'Scoring Model'!$B$4+IF(G107="Yes",'Scoring Model'!$B$5,0)+MIN('Scoring Model'!$B$7,H107/'Scoring Model'!$B$6*'Scoring Model'!$B$7)+MIN('Scoring Model'!$B$8,J107*'Scoring Model'!$B$8)+MIN('Scoring Model'!$B$10,K107*'Scoring Model'!$B$9)</x:f>
        <x:v>30.057142857142857</x:v>
      </x:c>
      <x:c r="N107" t="str">
        <x:f>IF(L107="Yes","Internal / Partner / Excluded",IF(M107&gt;='Scoring Model'!$B$11,"Hot",IF(M107&gt;='Scoring Model'!$B$12,"Warm","Cold")))</x:f>
        <x:v>Cold</x:v>
      </x:c>
    </x:row>
    <x:row r="108">
      <x:c r="A108" t="n">
        <x:v>107</x:v>
      </x:c>
      <x:c r="B108" t="str">
        <x:v>Andrea</x:v>
      </x:c>
      <x:c r="C108" t="str">
        <x:v>Cosentino</x:v>
      </x:c>
      <x:c r="D108" t="str">
        <x:v>acosentino.bromatologia@gmail.com</x:v>
      </x:c>
      <x:c r="E108" t="str"/>
      <x:c r="F108" t="str"/>
      <x:c r="G108" t="str">
        <x:v>No</x:v>
      </x:c>
      <x:c r="H108" t="n">
        <x:v>0</x:v>
      </x:c>
      <x:c r="I108" s="32" t="n">
        <x:v>0</x:v>
      </x:c>
      <x:c r="J108" t="n">
        <x:v>0</x:v>
      </x:c>
      <x:c r="K108" t="n">
        <x:v>0</x:v>
      </x:c>
      <x:c r="L108" t="str">
        <x:v>No</x:v>
      </x:c>
      <x:c r="M108" s="64" t="n">
        <x:f>'Scoring Model'!$B$4+IF(G108="Yes",'Scoring Model'!$B$5,0)+MIN('Scoring Model'!$B$7,H108/'Scoring Model'!$B$6*'Scoring Model'!$B$7)+MIN('Scoring Model'!$B$8,J108*'Scoring Model'!$B$8)+MIN('Scoring Model'!$B$10,K108*'Scoring Model'!$B$9)</x:f>
        <x:v>10</x:v>
      </x:c>
      <x:c r="N108" t="str">
        <x:f>IF(L108="Yes","Internal / Partner / Excluded",IF(M108&gt;='Scoring Model'!$B$11,"Hot",IF(M108&gt;='Scoring Model'!$B$12,"Warm","Cold")))</x:f>
        <x:v>Cold</x:v>
      </x:c>
    </x:row>
    <x:row r="109">
      <x:c r="A109" t="n">
        <x:v>108</x:v>
      </x:c>
      <x:c r="B109" t="str">
        <x:v>Alvaro</x:v>
      </x:c>
      <x:c r="C109" t="str">
        <x:v>Gaillour</x:v>
      </x:c>
      <x:c r="D109" t="str">
        <x:v>agaillour95@gmail.com</x:v>
      </x:c>
      <x:c r="E109" t="str"/>
      <x:c r="F109" t="str">
        <x:v>Perú/LAC</x:v>
      </x:c>
      <x:c r="G109" t="str">
        <x:v>No</x:v>
      </x:c>
      <x:c r="H109" t="n">
        <x:v>0</x:v>
      </x:c>
      <x:c r="I109" s="32" t="n">
        <x:v>0</x:v>
      </x:c>
      <x:c r="J109" t="n">
        <x:v>0</x:v>
      </x:c>
      <x:c r="K109" t="n">
        <x:v>0</x:v>
      </x:c>
      <x:c r="L109" t="str">
        <x:v>No</x:v>
      </x:c>
      <x:c r="M109" s="64" t="n">
        <x:f>'Scoring Model'!$B$4+IF(G109="Yes",'Scoring Model'!$B$5,0)+MIN('Scoring Model'!$B$7,H109/'Scoring Model'!$B$6*'Scoring Model'!$B$7)+MIN('Scoring Model'!$B$8,J109*'Scoring Model'!$B$8)+MIN('Scoring Model'!$B$10,K109*'Scoring Model'!$B$9)</x:f>
        <x:v>10</x:v>
      </x:c>
      <x:c r="N109" t="str">
        <x:f>IF(L109="Yes","Internal / Partner / Excluded",IF(M109&gt;='Scoring Model'!$B$11,"Hot",IF(M109&gt;='Scoring Model'!$B$12,"Warm","Cold")))</x:f>
        <x:v>Cold</x:v>
      </x:c>
    </x:row>
    <x:row r="110">
      <x:c r="A110" t="n">
        <x:v>109</x:v>
      </x:c>
      <x:c r="B110" t="str">
        <x:v>ALEJANDRA</x:v>
      </x:c>
      <x:c r="C110" t="str">
        <x:v>GIMENEZ</x:v>
      </x:c>
      <x:c r="D110" t="str">
        <x:v>alejandra.gimenez@bodegasbianchi.com.ar</x:v>
      </x:c>
      <x:c r="E110" t="str"/>
      <x:c r="F110" t="str"/>
      <x:c r="G110" t="str">
        <x:v>No</x:v>
      </x:c>
      <x:c r="H110" t="n">
        <x:v>0</x:v>
      </x:c>
      <x:c r="I110" s="32" t="n">
        <x:v>0</x:v>
      </x:c>
      <x:c r="J110" t="n">
        <x:v>0</x:v>
      </x:c>
      <x:c r="K110" t="n">
        <x:v>0</x:v>
      </x:c>
      <x:c r="L110" t="str">
        <x:v>No</x:v>
      </x:c>
      <x:c r="M110" s="64" t="n">
        <x:f>'Scoring Model'!$B$4+IF(G110="Yes",'Scoring Model'!$B$5,0)+MIN('Scoring Model'!$B$7,H110/'Scoring Model'!$B$6*'Scoring Model'!$B$7)+MIN('Scoring Model'!$B$8,J110*'Scoring Model'!$B$8)+MIN('Scoring Model'!$B$10,K110*'Scoring Model'!$B$9)</x:f>
        <x:v>10</x:v>
      </x:c>
      <x:c r="N110" t="str">
        <x:f>IF(L110="Yes","Internal / Partner / Excluded",IF(M110&gt;='Scoring Model'!$B$11,"Hot",IF(M110&gt;='Scoring Model'!$B$12,"Warm","Cold")))</x:f>
        <x:v>Cold</x:v>
      </x:c>
    </x:row>
    <x:row r="111">
      <x:c r="A111" t="n">
        <x:v>110</x:v>
      </x:c>
      <x:c r="B111" t="str">
        <x:v>Amparo</x:v>
      </x:c>
      <x:c r="C111" t="str">
        <x:v>Zandomeni</x:v>
      </x:c>
      <x:c r="D111" t="str">
        <x:v>amparo@pulentaestate.com</x:v>
      </x:c>
      <x:c r="E111" t="str"/>
      <x:c r="F111" t="str"/>
      <x:c r="G111" t="str">
        <x:v>No</x:v>
      </x:c>
      <x:c r="H111" t="n">
        <x:v>0</x:v>
      </x:c>
      <x:c r="I111" s="32" t="n">
        <x:v>0</x:v>
      </x:c>
      <x:c r="J111" t="n">
        <x:v>0</x:v>
      </x:c>
      <x:c r="K111" t="n">
        <x:v>0</x:v>
      </x:c>
      <x:c r="L111" t="str">
        <x:v>No</x:v>
      </x:c>
      <x:c r="M111" s="64" t="n">
        <x:f>'Scoring Model'!$B$4+IF(G111="Yes",'Scoring Model'!$B$5,0)+MIN('Scoring Model'!$B$7,H111/'Scoring Model'!$B$6*'Scoring Model'!$B$7)+MIN('Scoring Model'!$B$8,J111*'Scoring Model'!$B$8)+MIN('Scoring Model'!$B$10,K111*'Scoring Model'!$B$9)</x:f>
        <x:v>10</x:v>
      </x:c>
      <x:c r="N111" t="str">
        <x:f>IF(L111="Yes","Internal / Partner / Excluded",IF(M111&gt;='Scoring Model'!$B$11,"Hot",IF(M111&gt;='Scoring Model'!$B$12,"Warm","Cold")))</x:f>
        <x:v>Cold</x:v>
      </x:c>
    </x:row>
    <x:row r="112">
      <x:c r="A112" t="n">
        <x:v>111</x:v>
      </x:c>
      <x:c r="B112" t="str">
        <x:v>Ana Gabriela</x:v>
      </x:c>
      <x:c r="C112" t="str">
        <x:v>Ormeño</x:v>
      </x:c>
      <x:c r="D112" t="str">
        <x:v>anagabriela.o2010@gmail.com</x:v>
      </x:c>
      <x:c r="E112" t="str"/>
      <x:c r="F112" t="str"/>
      <x:c r="G112" t="str">
        <x:v>No</x:v>
      </x:c>
      <x:c r="H112" t="n">
        <x:v>0</x:v>
      </x:c>
      <x:c r="I112" s="32" t="n">
        <x:v>0</x:v>
      </x:c>
      <x:c r="J112" t="n">
        <x:v>0</x:v>
      </x:c>
      <x:c r="K112" t="n">
        <x:v>0</x:v>
      </x:c>
      <x:c r="L112" t="str">
        <x:v>No</x:v>
      </x:c>
      <x:c r="M112" s="64" t="n">
        <x:f>'Scoring Model'!$B$4+IF(G112="Yes",'Scoring Model'!$B$5,0)+MIN('Scoring Model'!$B$7,H112/'Scoring Model'!$B$6*'Scoring Model'!$B$7)+MIN('Scoring Model'!$B$8,J112*'Scoring Model'!$B$8)+MIN('Scoring Model'!$B$10,K112*'Scoring Model'!$B$9)</x:f>
        <x:v>10</x:v>
      </x:c>
      <x:c r="N112" t="str">
        <x:f>IF(L112="Yes","Internal / Partner / Excluded",IF(M112&gt;='Scoring Model'!$B$11,"Hot",IF(M112&gt;='Scoring Model'!$B$12,"Warm","Cold")))</x:f>
        <x:v>Cold</x:v>
      </x:c>
    </x:row>
    <x:row r="113">
      <x:c r="A113" t="n">
        <x:v>112</x:v>
      </x:c>
      <x:c r="B113" t="str">
        <x:v>Andres</x:v>
      </x:c>
      <x:c r="C113" t="str">
        <x:v>Valero</x:v>
      </x:c>
      <x:c r="D113" t="str">
        <x:v>andres.valero@grupoavinea.com</x:v>
      </x:c>
      <x:c r="E113" t="str"/>
      <x:c r="F113" t="str"/>
      <x:c r="G113" t="str">
        <x:v>No</x:v>
      </x:c>
      <x:c r="H113" t="n">
        <x:v>0</x:v>
      </x:c>
      <x:c r="I113" s="32" t="n">
        <x:v>0</x:v>
      </x:c>
      <x:c r="J113" t="n">
        <x:v>0</x:v>
      </x:c>
      <x:c r="K113" t="n">
        <x:v>0</x:v>
      </x:c>
      <x:c r="L113" t="str">
        <x:v>No</x:v>
      </x:c>
      <x:c r="M113" s="64" t="n">
        <x:f>'Scoring Model'!$B$4+IF(G113="Yes",'Scoring Model'!$B$5,0)+MIN('Scoring Model'!$B$7,H113/'Scoring Model'!$B$6*'Scoring Model'!$B$7)+MIN('Scoring Model'!$B$8,J113*'Scoring Model'!$B$8)+MIN('Scoring Model'!$B$10,K113*'Scoring Model'!$B$9)</x:f>
        <x:v>10</x:v>
      </x:c>
      <x:c r="N113" t="str">
        <x:f>IF(L113="Yes","Internal / Partner / Excluded",IF(M113&gt;='Scoring Model'!$B$11,"Hot",IF(M113&gt;='Scoring Model'!$B$12,"Warm","Cold")))</x:f>
        <x:v>Cold</x:v>
      </x:c>
    </x:row>
    <x:row r="114">
      <x:c r="A114" t="n">
        <x:v>113</x:v>
      </x:c>
      <x:c r="B114" t="str">
        <x:v>ANTONELLA</x:v>
      </x:c>
      <x:c r="C114" t="str">
        <x:v>GIULIANI</x:v>
      </x:c>
      <x:c r="D114" t="str">
        <x:v>antonellabodegatupun@gmail.com</x:v>
      </x:c>
      <x:c r="E114" t="str"/>
      <x:c r="F114" t="str"/>
      <x:c r="G114" t="str">
        <x:v>No</x:v>
      </x:c>
      <x:c r="H114" t="n">
        <x:v>0</x:v>
      </x:c>
      <x:c r="I114" s="32" t="n">
        <x:v>0</x:v>
      </x:c>
      <x:c r="J114" t="n">
        <x:v>0</x:v>
      </x:c>
      <x:c r="K114" t="n">
        <x:v>0</x:v>
      </x:c>
      <x:c r="L114" t="str">
        <x:v>No</x:v>
      </x:c>
      <x:c r="M114" s="64" t="n">
        <x:f>'Scoring Model'!$B$4+IF(G114="Yes",'Scoring Model'!$B$5,0)+MIN('Scoring Model'!$B$7,H114/'Scoring Model'!$B$6*'Scoring Model'!$B$7)+MIN('Scoring Model'!$B$8,J114*'Scoring Model'!$B$8)+MIN('Scoring Model'!$B$10,K114*'Scoring Model'!$B$9)</x:f>
        <x:v>10</x:v>
      </x:c>
      <x:c r="N114" t="str">
        <x:f>IF(L114="Yes","Internal / Partner / Excluded",IF(M114&gt;='Scoring Model'!$B$11,"Hot",IF(M114&gt;='Scoring Model'!$B$12,"Warm","Cold")))</x:f>
        <x:v>Cold</x:v>
      </x:c>
    </x:row>
    <x:row r="115">
      <x:c r="A115" t="n">
        <x:v>114</x:v>
      </x:c>
      <x:c r="B115" t="str">
        <x:v>Antonella</x:v>
      </x:c>
      <x:c r="C115" t="str">
        <x:v>Rodriguez Squillaci</x:v>
      </x:c>
      <x:c r="D115" t="str">
        <x:v>antonellarodriguez@mendozavineyards.com</x:v>
      </x:c>
      <x:c r="E115" t="str"/>
      <x:c r="F115" t="str"/>
      <x:c r="G115" t="str">
        <x:v>No</x:v>
      </x:c>
      <x:c r="H115" t="n">
        <x:v>0</x:v>
      </x:c>
      <x:c r="I115" s="32" t="n">
        <x:v>0</x:v>
      </x:c>
      <x:c r="J115" t="n">
        <x:v>0</x:v>
      </x:c>
      <x:c r="K115" t="n">
        <x:v>0</x:v>
      </x:c>
      <x:c r="L115" t="str">
        <x:v>No</x:v>
      </x:c>
      <x:c r="M115" s="64" t="n">
        <x:f>'Scoring Model'!$B$4+IF(G115="Yes",'Scoring Model'!$B$5,0)+MIN('Scoring Model'!$B$7,H115/'Scoring Model'!$B$6*'Scoring Model'!$B$7)+MIN('Scoring Model'!$B$8,J115*'Scoring Model'!$B$8)+MIN('Scoring Model'!$B$10,K115*'Scoring Model'!$B$9)</x:f>
        <x:v>10</x:v>
      </x:c>
      <x:c r="N115" t="str">
        <x:f>IF(L115="Yes","Internal / Partner / Excluded",IF(M115&gt;='Scoring Model'!$B$11,"Hot",IF(M115&gt;='Scoring Model'!$B$12,"Warm","Cold")))</x:f>
        <x:v>Cold</x:v>
      </x:c>
    </x:row>
    <x:row r="116">
      <x:c r="A116" t="n">
        <x:v>115</x:v>
      </x:c>
      <x:c r="B116" t="str">
        <x:v>Valentina</x:v>
      </x:c>
      <x:c r="C116" t="str">
        <x:v>Porta</x:v>
      </x:c>
      <x:c r="D116" t="str">
        <x:v>aporta@familiazuccardi.com</x:v>
      </x:c>
      <x:c r="E116" t="str"/>
      <x:c r="F116" t="str"/>
      <x:c r="G116" t="str">
        <x:v>No</x:v>
      </x:c>
      <x:c r="H116" t="n">
        <x:v>0</x:v>
      </x:c>
      <x:c r="I116" s="32" t="n">
        <x:v>0</x:v>
      </x:c>
      <x:c r="J116" t="n">
        <x:v>0</x:v>
      </x:c>
      <x:c r="K116" t="n">
        <x:v>0</x:v>
      </x:c>
      <x:c r="L116" t="str">
        <x:v>No</x:v>
      </x:c>
      <x:c r="M116" s="64" t="n">
        <x:f>'Scoring Model'!$B$4+IF(G116="Yes",'Scoring Model'!$B$5,0)+MIN('Scoring Model'!$B$7,H116/'Scoring Model'!$B$6*'Scoring Model'!$B$7)+MIN('Scoring Model'!$B$8,J116*'Scoring Model'!$B$8)+MIN('Scoring Model'!$B$10,K116*'Scoring Model'!$B$9)</x:f>
        <x:v>10</x:v>
      </x:c>
      <x:c r="N116" t="str">
        <x:f>IF(L116="Yes","Internal / Partner / Excluded",IF(M116&gt;='Scoring Model'!$B$11,"Hot",IF(M116&gt;='Scoring Model'!$B$12,"Warm","Cold")))</x:f>
        <x:v>Cold</x:v>
      </x:c>
    </x:row>
    <x:row r="117">
      <x:c r="A117" t="n">
        <x:v>116</x:v>
      </x:c>
      <x:c r="B117" t="str">
        <x:v>Barbara</x:v>
      </x:c>
      <x:c r="C117" t="str">
        <x:v>Stern</x:v>
      </x:c>
      <x:c r="D117" t="str">
        <x:v>bcs2168@columbia.edu</x:v>
      </x:c>
      <x:c r="E117" t="str"/>
      <x:c r="F117" t="str">
        <x:v>Argentina</x:v>
      </x:c>
      <x:c r="G117" t="str">
        <x:v>No</x:v>
      </x:c>
      <x:c r="H117" t="n">
        <x:v>0</x:v>
      </x:c>
      <x:c r="I117" s="32" t="n">
        <x:v>0</x:v>
      </x:c>
      <x:c r="J117" t="n">
        <x:v>0</x:v>
      </x:c>
      <x:c r="K117" t="n">
        <x:v>0</x:v>
      </x:c>
      <x:c r="L117" t="str">
        <x:v>No</x:v>
      </x:c>
      <x:c r="M117" s="64" t="n">
        <x:f>'Scoring Model'!$B$4+IF(G117="Yes",'Scoring Model'!$B$5,0)+MIN('Scoring Model'!$B$7,H117/'Scoring Model'!$B$6*'Scoring Model'!$B$7)+MIN('Scoring Model'!$B$8,J117*'Scoring Model'!$B$8)+MIN('Scoring Model'!$B$10,K117*'Scoring Model'!$B$9)</x:f>
        <x:v>10</x:v>
      </x:c>
      <x:c r="N117" t="str">
        <x:f>IF(L117="Yes","Internal / Partner / Excluded",IF(M117&gt;='Scoring Model'!$B$11,"Hot",IF(M117&gt;='Scoring Model'!$B$12,"Warm","Cold")))</x:f>
        <x:v>Cold</x:v>
      </x:c>
    </x:row>
    <x:row r="118">
      <x:c r="A118" t="n">
        <x:v>117</x:v>
      </x:c>
      <x:c r="B118" t="str">
        <x:v>Fernanda</x:v>
      </x:c>
      <x:c r="C118" t="str">
        <x:v>Bustos</x:v>
      </x:c>
      <x:c r="D118" t="str">
        <x:v>bustos.fernanda89@gmail.com</x:v>
      </x:c>
      <x:c r="E118" t="str"/>
      <x:c r="F118" t="str"/>
      <x:c r="G118" t="str">
        <x:v>No</x:v>
      </x:c>
      <x:c r="H118" t="n">
        <x:v>0</x:v>
      </x:c>
      <x:c r="I118" s="32" t="n">
        <x:v>0</x:v>
      </x:c>
      <x:c r="J118" t="n">
        <x:v>0</x:v>
      </x:c>
      <x:c r="K118" t="n">
        <x:v>0</x:v>
      </x:c>
      <x:c r="L118" t="str">
        <x:v>No</x:v>
      </x:c>
      <x:c r="M118" s="64" t="n">
        <x:f>'Scoring Model'!$B$4+IF(G118="Yes",'Scoring Model'!$B$5,0)+MIN('Scoring Model'!$B$7,H118/'Scoring Model'!$B$6*'Scoring Model'!$B$7)+MIN('Scoring Model'!$B$8,J118*'Scoring Model'!$B$8)+MIN('Scoring Model'!$B$10,K118*'Scoring Model'!$B$9)</x:f>
        <x:v>10</x:v>
      </x:c>
      <x:c r="N118" t="str">
        <x:f>IF(L118="Yes","Internal / Partner / Excluded",IF(M118&gt;='Scoring Model'!$B$11,"Hot",IF(M118&gt;='Scoring Model'!$B$12,"Warm","Cold")))</x:f>
        <x:v>Cold</x:v>
      </x:c>
    </x:row>
    <x:row r="119">
      <x:c r="A119" t="n">
        <x:v>118</x:v>
      </x:c>
      <x:c r="B119" t="str">
        <x:v>Joaquin</x:v>
      </x:c>
      <x:c r="C119" t="str">
        <x:v>Ramirez</x:v>
      </x:c>
      <x:c r="D119" t="str">
        <x:v>enologia@elporvenirdecafayate.com</x:v>
      </x:c>
      <x:c r="E119" t="str"/>
      <x:c r="F119" t="str"/>
      <x:c r="G119" t="str">
        <x:v>No</x:v>
      </x:c>
      <x:c r="H119" t="n">
        <x:v>0</x:v>
      </x:c>
      <x:c r="I119" s="32" t="n">
        <x:v>0</x:v>
      </x:c>
      <x:c r="J119" t="n">
        <x:v>0</x:v>
      </x:c>
      <x:c r="K119" t="n">
        <x:v>0</x:v>
      </x:c>
      <x:c r="L119" t="str">
        <x:v>No</x:v>
      </x:c>
      <x:c r="M119" s="64" t="n">
        <x:f>'Scoring Model'!$B$4+IF(G119="Yes",'Scoring Model'!$B$5,0)+MIN('Scoring Model'!$B$7,H119/'Scoring Model'!$B$6*'Scoring Model'!$B$7)+MIN('Scoring Model'!$B$8,J119*'Scoring Model'!$B$8)+MIN('Scoring Model'!$B$10,K119*'Scoring Model'!$B$9)</x:f>
        <x:v>10</x:v>
      </x:c>
      <x:c r="N119" t="str">
        <x:f>IF(L119="Yes","Internal / Partner / Excluded",IF(M119&gt;='Scoring Model'!$B$11,"Hot",IF(M119&gt;='Scoring Model'!$B$12,"Warm","Cold")))</x:f>
        <x:v>Cold</x:v>
      </x:c>
    </x:row>
    <x:row r="120">
      <x:c r="A120" t="n">
        <x:v>119</x:v>
      </x:c>
      <x:c r="B120" t="str">
        <x:v>Laura</x:v>
      </x:c>
      <x:c r="C120" t="str">
        <x:v>Hidalgo</x:v>
      </x:c>
      <x:c r="D120" t="str">
        <x:v>hidalgoml@gmail.com</x:v>
      </x:c>
      <x:c r="E120" t="str"/>
      <x:c r="F120" t="str"/>
      <x:c r="G120" t="str">
        <x:v>No</x:v>
      </x:c>
      <x:c r="H120" t="n">
        <x:v>0</x:v>
      </x:c>
      <x:c r="I120" s="32" t="n">
        <x:v>0</x:v>
      </x:c>
      <x:c r="J120" t="n">
        <x:v>0</x:v>
      </x:c>
      <x:c r="K120" t="n">
        <x:v>0</x:v>
      </x:c>
      <x:c r="L120" t="str">
        <x:v>No</x:v>
      </x:c>
      <x:c r="M120" s="64" t="n">
        <x:f>'Scoring Model'!$B$4+IF(G120="Yes",'Scoring Model'!$B$5,0)+MIN('Scoring Model'!$B$7,H120/'Scoring Model'!$B$6*'Scoring Model'!$B$7)+MIN('Scoring Model'!$B$8,J120*'Scoring Model'!$B$8)+MIN('Scoring Model'!$B$10,K120*'Scoring Model'!$B$9)</x:f>
        <x:v>10</x:v>
      </x:c>
      <x:c r="N120" t="str">
        <x:f>IF(L120="Yes","Internal / Partner / Excluded",IF(M120&gt;='Scoring Model'!$B$11,"Hot",IF(M120&gt;='Scoring Model'!$B$12,"Warm","Cold")))</x:f>
        <x:v>Cold</x:v>
      </x:c>
    </x:row>
    <x:row r="121">
      <x:c r="A121" t="n">
        <x:v>120</x:v>
      </x:c>
      <x:c r="B121" t="str">
        <x:v>Julieta</x:v>
      </x:c>
      <x:c r="C121" t="str">
        <x:v>Capreti</x:v>
      </x:c>
      <x:c r="D121" t="str">
        <x:v>j.capreti@hotmail.com</x:v>
      </x:c>
      <x:c r="E121" t="str"/>
      <x:c r="F121" t="str"/>
      <x:c r="G121" t="str">
        <x:v>No</x:v>
      </x:c>
      <x:c r="H121" t="n">
        <x:v>0</x:v>
      </x:c>
      <x:c r="I121" s="32" t="n">
        <x:v>0</x:v>
      </x:c>
      <x:c r="J121" t="n">
        <x:v>0</x:v>
      </x:c>
      <x:c r="K121" t="n">
        <x:v>0</x:v>
      </x:c>
      <x:c r="L121" t="str">
        <x:v>No</x:v>
      </x:c>
      <x:c r="M121" s="64" t="n">
        <x:f>'Scoring Model'!$B$4+IF(G121="Yes",'Scoring Model'!$B$5,0)+MIN('Scoring Model'!$B$7,H121/'Scoring Model'!$B$6*'Scoring Model'!$B$7)+MIN('Scoring Model'!$B$8,J121*'Scoring Model'!$B$8)+MIN('Scoring Model'!$B$10,K121*'Scoring Model'!$B$9)</x:f>
        <x:v>10</x:v>
      </x:c>
      <x:c r="N121" t="str">
        <x:f>IF(L121="Yes","Internal / Partner / Excluded",IF(M121&gt;='Scoring Model'!$B$11,"Hot",IF(M121&gt;='Scoring Model'!$B$12,"Warm","Cold")))</x:f>
        <x:v>Cold</x:v>
      </x:c>
    </x:row>
    <x:row r="122">
      <x:c r="A122" t="n">
        <x:v>121</x:v>
      </x:c>
      <x:c r="B122" t="str">
        <x:v>juan</x:v>
      </x:c>
      <x:c r="C122" t="str">
        <x:v>suarez</x:v>
      </x:c>
      <x:c r="D122" t="str">
        <x:v>juanfasuarez@gmail.com</x:v>
      </x:c>
      <x:c r="E122" t="str"/>
      <x:c r="F122" t="str"/>
      <x:c r="G122" t="str">
        <x:v>No</x:v>
      </x:c>
      <x:c r="H122" t="n">
        <x:v>0</x:v>
      </x:c>
      <x:c r="I122" s="32" t="n">
        <x:v>0</x:v>
      </x:c>
      <x:c r="J122" t="n">
        <x:v>0</x:v>
      </x:c>
      <x:c r="K122" t="n">
        <x:v>0</x:v>
      </x:c>
      <x:c r="L122" t="str">
        <x:v>No</x:v>
      </x:c>
      <x:c r="M122" s="64" t="n">
        <x:f>'Scoring Model'!$B$4+IF(G122="Yes",'Scoring Model'!$B$5,0)+MIN('Scoring Model'!$B$7,H122/'Scoring Model'!$B$6*'Scoring Model'!$B$7)+MIN('Scoring Model'!$B$8,J122*'Scoring Model'!$B$8)+MIN('Scoring Model'!$B$10,K122*'Scoring Model'!$B$9)</x:f>
        <x:v>10</x:v>
      </x:c>
      <x:c r="N122" t="str">
        <x:f>IF(L122="Yes","Internal / Partner / Excluded",IF(M122&gt;='Scoring Model'!$B$11,"Hot",IF(M122&gt;='Scoring Model'!$B$12,"Warm","Cold")))</x:f>
        <x:v>Cold</x:v>
      </x:c>
    </x:row>
    <x:row r="123">
      <x:c r="A123" t="n">
        <x:v>122</x:v>
      </x:c>
      <x:c r="B123" t="str">
        <x:v>Mariana del Carmen</x:v>
      </x:c>
      <x:c r="C123" t="str">
        <x:v>Labella</x:v>
      </x:c>
      <x:c r="D123" t="str">
        <x:v>maribella440@gmail.com</x:v>
      </x:c>
      <x:c r="E123" t="str"/>
      <x:c r="F123" t="str"/>
      <x:c r="G123" t="str">
        <x:v>No</x:v>
      </x:c>
      <x:c r="H123" t="n">
        <x:v>0</x:v>
      </x:c>
      <x:c r="I123" s="32" t="n">
        <x:v>0</x:v>
      </x:c>
      <x:c r="J123" t="n">
        <x:v>0</x:v>
      </x:c>
      <x:c r="K123" t="n">
        <x:v>0</x:v>
      </x:c>
      <x:c r="L123" t="str">
        <x:v>No</x:v>
      </x:c>
      <x:c r="M123" s="64" t="n">
        <x:f>'Scoring Model'!$B$4+IF(G123="Yes",'Scoring Model'!$B$5,0)+MIN('Scoring Model'!$B$7,H123/'Scoring Model'!$B$6*'Scoring Model'!$B$7)+MIN('Scoring Model'!$B$8,J123*'Scoring Model'!$B$8)+MIN('Scoring Model'!$B$10,K123*'Scoring Model'!$B$9)</x:f>
        <x:v>10</x:v>
      </x:c>
      <x:c r="N123" t="str">
        <x:f>IF(L123="Yes","Internal / Partner / Excluded",IF(M123&gt;='Scoring Model'!$B$11,"Hot",IF(M123&gt;='Scoring Model'!$B$12,"Warm","Cold")))</x:f>
        <x:v>Cold</x:v>
      </x:c>
    </x:row>
    <x:row r="124">
      <x:c r="A124" t="n">
        <x:v>123</x:v>
      </x:c>
      <x:c r="B124" t="str">
        <x:v>Flavia</x:v>
      </x:c>
      <x:c r="C124" t="str">
        <x:v>Martin</x:v>
      </x:c>
      <x:c r="D124" t="str">
        <x:v>martinflavia1104@gmail.com</x:v>
      </x:c>
      <x:c r="E124" t="str"/>
      <x:c r="F124" t="str"/>
      <x:c r="G124" t="str">
        <x:v>No</x:v>
      </x:c>
      <x:c r="H124" t="n">
        <x:v>0</x:v>
      </x:c>
      <x:c r="I124" s="32" t="n">
        <x:v>0</x:v>
      </x:c>
      <x:c r="J124" t="n">
        <x:v>0</x:v>
      </x:c>
      <x:c r="K124" t="n">
        <x:v>0</x:v>
      </x:c>
      <x:c r="L124" t="str">
        <x:v>No</x:v>
      </x:c>
      <x:c r="M124" s="64" t="n">
        <x:f>'Scoring Model'!$B$4+IF(G124="Yes",'Scoring Model'!$B$5,0)+MIN('Scoring Model'!$B$7,H124/'Scoring Model'!$B$6*'Scoring Model'!$B$7)+MIN('Scoring Model'!$B$8,J124*'Scoring Model'!$B$8)+MIN('Scoring Model'!$B$10,K124*'Scoring Model'!$B$9)</x:f>
        <x:v>10</x:v>
      </x:c>
      <x:c r="N124" t="str">
        <x:f>IF(L124="Yes","Internal / Partner / Excluded",IF(M124&gt;='Scoring Model'!$B$11,"Hot",IF(M124&gt;='Scoring Model'!$B$12,"Warm","Cold")))</x:f>
        <x:v>Cold</x:v>
      </x:c>
    </x:row>
    <x:row r="125">
      <x:c r="A125" t="n">
        <x:v>124</x:v>
      </x:c>
      <x:c r="B125" t="str">
        <x:v>mariana</x:v>
      </x:c>
      <x:c r="C125" t="str">
        <x:v>corvalan</x:v>
      </x:c>
      <x:c r="D125" t="str">
        <x:v>mcorvalan@familiazuccardi.com</x:v>
      </x:c>
      <x:c r="E125" t="str"/>
      <x:c r="F125" t="str"/>
      <x:c r="G125" t="str">
        <x:v>No</x:v>
      </x:c>
      <x:c r="H125" t="n">
        <x:v>0</x:v>
      </x:c>
      <x:c r="I125" s="32" t="n">
        <x:v>0</x:v>
      </x:c>
      <x:c r="J125" t="n">
        <x:v>0</x:v>
      </x:c>
      <x:c r="K125" t="n">
        <x:v>0</x:v>
      </x:c>
      <x:c r="L125" t="str">
        <x:v>No</x:v>
      </x:c>
      <x:c r="M125" s="64" t="n">
        <x:f>'Scoring Model'!$B$4+IF(G125="Yes",'Scoring Model'!$B$5,0)+MIN('Scoring Model'!$B$7,H125/'Scoring Model'!$B$6*'Scoring Model'!$B$7)+MIN('Scoring Model'!$B$8,J125*'Scoring Model'!$B$8)+MIN('Scoring Model'!$B$10,K125*'Scoring Model'!$B$9)</x:f>
        <x:v>10</x:v>
      </x:c>
      <x:c r="N125" t="str">
        <x:f>IF(L125="Yes","Internal / Partner / Excluded",IF(M125&gt;='Scoring Model'!$B$11,"Hot",IF(M125&gt;='Scoring Model'!$B$12,"Warm","Cold")))</x:f>
        <x:v>Cold</x:v>
      </x:c>
    </x:row>
    <x:row r="126">
      <x:c r="A126" t="n">
        <x:v>125</x:v>
      </x:c>
      <x:c r="B126" t="str">
        <x:v>Milagros</x:v>
      </x:c>
      <x:c r="C126" t="str">
        <x:v>Nuñez</x:v>
      </x:c>
      <x:c r="D126" t="str">
        <x:v>milagros.nunez@grupocolome.com</x:v>
      </x:c>
      <x:c r="E126" t="str"/>
      <x:c r="F126" t="str"/>
      <x:c r="G126" t="str">
        <x:v>No</x:v>
      </x:c>
      <x:c r="H126" t="n">
        <x:v>0</x:v>
      </x:c>
      <x:c r="I126" s="32" t="n">
        <x:v>0</x:v>
      </x:c>
      <x:c r="J126" t="n">
        <x:v>0</x:v>
      </x:c>
      <x:c r="K126" t="n">
        <x:v>0</x:v>
      </x:c>
      <x:c r="L126" t="str">
        <x:v>No</x:v>
      </x:c>
      <x:c r="M126" s="64" t="n">
        <x:f>'Scoring Model'!$B$4+IF(G126="Yes",'Scoring Model'!$B$5,0)+MIN('Scoring Model'!$B$7,H126/'Scoring Model'!$B$6*'Scoring Model'!$B$7)+MIN('Scoring Model'!$B$8,J126*'Scoring Model'!$B$8)+MIN('Scoring Model'!$B$10,K126*'Scoring Model'!$B$9)</x:f>
        <x:v>10</x:v>
      </x:c>
      <x:c r="N126" t="str">
        <x:f>IF(L126="Yes","Internal / Partner / Excluded",IF(M126&gt;='Scoring Model'!$B$11,"Hot",IF(M126&gt;='Scoring Model'!$B$12,"Warm","Cold")))</x:f>
        <x:v>Cold</x:v>
      </x:c>
    </x:row>
    <x:row r="127">
      <x:c r="A127" t="n">
        <x:v>126</x:v>
      </x:c>
      <x:c r="B127" t="str">
        <x:v>Natalia</x:v>
      </x:c>
      <x:c r="C127" t="str">
        <x:v>Corgo</x:v>
      </x:c>
      <x:c r="D127" t="str">
        <x:v>nhcorgo@gmail.com</x:v>
      </x:c>
      <x:c r="E127" t="str"/>
      <x:c r="F127" t="str"/>
      <x:c r="G127" t="str">
        <x:v>No</x:v>
      </x:c>
      <x:c r="H127" t="n">
        <x:v>0</x:v>
      </x:c>
      <x:c r="I127" s="32" t="n">
        <x:v>0</x:v>
      </x:c>
      <x:c r="J127" t="n">
        <x:v>0</x:v>
      </x:c>
      <x:c r="K127" t="n">
        <x:v>0</x:v>
      </x:c>
      <x:c r="L127" t="str">
        <x:v>No</x:v>
      </x:c>
      <x:c r="M127" s="64" t="n">
        <x:f>'Scoring Model'!$B$4+IF(G127="Yes",'Scoring Model'!$B$5,0)+MIN('Scoring Model'!$B$7,H127/'Scoring Model'!$B$6*'Scoring Model'!$B$7)+MIN('Scoring Model'!$B$8,J127*'Scoring Model'!$B$8)+MIN('Scoring Model'!$B$10,K127*'Scoring Model'!$B$9)</x:f>
        <x:v>10</x:v>
      </x:c>
      <x:c r="N127" t="str">
        <x:f>IF(L127="Yes","Internal / Partner / Excluded",IF(M127&gt;='Scoring Model'!$B$11,"Hot",IF(M127&gt;='Scoring Model'!$B$12,"Warm","Cold")))</x:f>
        <x:v>Cold</x:v>
      </x:c>
    </x:row>
    <x:row r="128">
      <x:c r="A128" t="n">
        <x:v>127</x:v>
      </x:c>
      <x:c r="B128" t="str">
        <x:v>Natalia</x:v>
      </x:c>
      <x:c r="C128" t="str">
        <x:v>Marital</x:v>
      </x:c>
      <x:c r="D128" t="str">
        <x:v>nmarital@bodegasfabre.com</x:v>
      </x:c>
      <x:c r="E128" t="str"/>
      <x:c r="F128" t="str"/>
      <x:c r="G128" t="str">
        <x:v>No</x:v>
      </x:c>
      <x:c r="H128" t="n">
        <x:v>0</x:v>
      </x:c>
      <x:c r="I128" s="32" t="n">
        <x:v>0</x:v>
      </x:c>
      <x:c r="J128" t="n">
        <x:v>0</x:v>
      </x:c>
      <x:c r="K128" t="n">
        <x:v>0</x:v>
      </x:c>
      <x:c r="L128" t="str">
        <x:v>No</x:v>
      </x:c>
      <x:c r="M128" s="64" t="n">
        <x:f>'Scoring Model'!$B$4+IF(G128="Yes",'Scoring Model'!$B$5,0)+MIN('Scoring Model'!$B$7,H128/'Scoring Model'!$B$6*'Scoring Model'!$B$7)+MIN('Scoring Model'!$B$8,J128*'Scoring Model'!$B$8)+MIN('Scoring Model'!$B$10,K128*'Scoring Model'!$B$9)</x:f>
        <x:v>10</x:v>
      </x:c>
      <x:c r="N128" t="str">
        <x:f>IF(L128="Yes","Internal / Partner / Excluded",IF(M128&gt;='Scoring Model'!$B$11,"Hot",IF(M128&gt;='Scoring Model'!$B$12,"Warm","Cold")))</x:f>
        <x:v>Cold</x:v>
      </x:c>
    </x:row>
    <x:row r="129">
      <x:c r="A129" t="n">
        <x:v>128</x:v>
      </x:c>
      <x:c r="B129" t="str">
        <x:v>Patricia</x:v>
      </x:c>
      <x:c r="C129" t="str">
        <x:v>Mulet</x:v>
      </x:c>
      <x:c r="D129" t="str">
        <x:v>pamymsa@gmail.com</x:v>
      </x:c>
      <x:c r="E129" t="str"/>
      <x:c r="F129" t="str"/>
      <x:c r="G129" t="str">
        <x:v>No</x:v>
      </x:c>
      <x:c r="H129" t="n">
        <x:v>0</x:v>
      </x:c>
      <x:c r="I129" s="32" t="n">
        <x:v>0</x:v>
      </x:c>
      <x:c r="J129" t="n">
        <x:v>0</x:v>
      </x:c>
      <x:c r="K129" t="n">
        <x:v>0</x:v>
      </x:c>
      <x:c r="L129" t="str">
        <x:v>No</x:v>
      </x:c>
      <x:c r="M129" s="64" t="n">
        <x:f>'Scoring Model'!$B$4+IF(G129="Yes",'Scoring Model'!$B$5,0)+MIN('Scoring Model'!$B$7,H129/'Scoring Model'!$B$6*'Scoring Model'!$B$7)+MIN('Scoring Model'!$B$8,J129*'Scoring Model'!$B$8)+MIN('Scoring Model'!$B$10,K129*'Scoring Model'!$B$9)</x:f>
        <x:v>10</x:v>
      </x:c>
      <x:c r="N129" t="str">
        <x:f>IF(L129="Yes","Internal / Partner / Excluded",IF(M129&gt;='Scoring Model'!$B$11,"Hot",IF(M129&gt;='Scoring Model'!$B$12,"Warm","Cold")))</x:f>
        <x:v>Cold</x:v>
      </x:c>
    </x:row>
    <x:row r="130">
      <x:c r="A130" t="n">
        <x:v>129</x:v>
      </x:c>
      <x:c r="B130" t="str">
        <x:v>Romina</x:v>
      </x:c>
      <x:c r="C130" t="str">
        <x:v>Seselovsky</x:v>
      </x:c>
      <x:c r="D130" t="str">
        <x:v>rominaseselovsky@hotmail.com</x:v>
      </x:c>
      <x:c r="E130" t="str"/>
      <x:c r="F130" t="str"/>
      <x:c r="G130" t="str">
        <x:v>No</x:v>
      </x:c>
      <x:c r="H130" t="n">
        <x:v>0</x:v>
      </x:c>
      <x:c r="I130" s="32" t="n">
        <x:v>0</x:v>
      </x:c>
      <x:c r="J130" t="n">
        <x:v>0</x:v>
      </x:c>
      <x:c r="K130" t="n">
        <x:v>0</x:v>
      </x:c>
      <x:c r="L130" t="str">
        <x:v>No</x:v>
      </x:c>
      <x:c r="M130" s="64" t="n">
        <x:f>'Scoring Model'!$B$4+IF(G130="Yes",'Scoring Model'!$B$5,0)+MIN('Scoring Model'!$B$7,H130/'Scoring Model'!$B$6*'Scoring Model'!$B$7)+MIN('Scoring Model'!$B$8,J130*'Scoring Model'!$B$8)+MIN('Scoring Model'!$B$10,K130*'Scoring Model'!$B$9)</x:f>
        <x:v>10</x:v>
      </x:c>
      <x:c r="N130" t="str">
        <x:f>IF(L130="Yes","Internal / Partner / Excluded",IF(M130&gt;='Scoring Model'!$B$11,"Hot",IF(M130&gt;='Scoring Model'!$B$12,"Warm","Cold")))</x:f>
        <x:v>Cold</x:v>
      </x:c>
    </x:row>
    <x:row r="131">
      <x:c r="A131" t="n">
        <x:v>130</x:v>
      </x:c>
      <x:c r="B131" t="str">
        <x:v>SILVANA</x:v>
      </x:c>
      <x:c r="C131" t="str">
        <x:v>BARUFALDI</x:v>
      </x:c>
      <x:c r="D131" t="str">
        <x:v>silvana.barufaldi@grupopenaflor.com.ar</x:v>
      </x:c>
      <x:c r="E131" t="str"/>
      <x:c r="F131" t="str"/>
      <x:c r="G131" t="str">
        <x:v>No</x:v>
      </x:c>
      <x:c r="H131" t="n">
        <x:v>0</x:v>
      </x:c>
      <x:c r="I131" s="32" t="n">
        <x:v>0</x:v>
      </x:c>
      <x:c r="J131" t="n">
        <x:v>0</x:v>
      </x:c>
      <x:c r="K131" t="n">
        <x:v>0</x:v>
      </x:c>
      <x:c r="L131" t="str">
        <x:v>No</x:v>
      </x:c>
      <x:c r="M131" s="64" t="n">
        <x:f>'Scoring Model'!$B$4+IF(G131="Yes",'Scoring Model'!$B$5,0)+MIN('Scoring Model'!$B$7,H131/'Scoring Model'!$B$6*'Scoring Model'!$B$7)+MIN('Scoring Model'!$B$8,J131*'Scoring Model'!$B$8)+MIN('Scoring Model'!$B$10,K131*'Scoring Model'!$B$9)</x:f>
        <x:v>10</x:v>
      </x:c>
      <x:c r="N131" t="str">
        <x:f>IF(L131="Yes","Internal / Partner / Excluded",IF(M131&gt;='Scoring Model'!$B$11,"Hot",IF(M131&gt;='Scoring Model'!$B$12,"Warm","Cold")))</x:f>
        <x:v>Cold</x:v>
      </x:c>
    </x:row>
    <x:row r="132">
      <x:c r="A132" t="n">
        <x:v>131</x:v>
      </x:c>
      <x:c r="B132" t="str">
        <x:v>Sonia</x:v>
      </x:c>
      <x:c r="C132" t="str">
        <x:v>Pereyra</x:v>
      </x:c>
      <x:c r="D132" t="str">
        <x:v>soniapereyra445@gmail.com</x:v>
      </x:c>
      <x:c r="E132" t="str"/>
      <x:c r="F132" t="str"/>
      <x:c r="G132" t="str">
        <x:v>No</x:v>
      </x:c>
      <x:c r="H132" t="n">
        <x:v>0</x:v>
      </x:c>
      <x:c r="I132" s="32" t="n">
        <x:v>0</x:v>
      </x:c>
      <x:c r="J132" t="n">
        <x:v>0</x:v>
      </x:c>
      <x:c r="K132" t="n">
        <x:v>0</x:v>
      </x:c>
      <x:c r="L132" t="str">
        <x:v>No</x:v>
      </x:c>
      <x:c r="M132" s="64" t="n">
        <x:f>'Scoring Model'!$B$4+IF(G132="Yes",'Scoring Model'!$B$5,0)+MIN('Scoring Model'!$B$7,H132/'Scoring Model'!$B$6*'Scoring Model'!$B$7)+MIN('Scoring Model'!$B$8,J132*'Scoring Model'!$B$8)+MIN('Scoring Model'!$B$10,K132*'Scoring Model'!$B$9)</x:f>
        <x:v>10</x:v>
      </x:c>
      <x:c r="N132" t="str">
        <x:f>IF(L132="Yes","Internal / Partner / Excluded",IF(M132&gt;='Scoring Model'!$B$11,"Hot",IF(M132&gt;='Scoring Model'!$B$12,"Warm","Cold")))</x:f>
        <x:v>Cold</x:v>
      </x:c>
    </x:row>
    <x:row r="133">
      <x:c r="A133" t="n">
        <x:v>132</x:v>
      </x:c>
      <x:c r="B133" t="str">
        <x:v>Laura</x:v>
      </x:c>
      <x:c r="C133" t="str">
        <x:v>Alturria</x:v>
      </x:c>
      <x:c r="D133" t="str">
        <x:v>tecnicas@bodegasdeargentina.org</x:v>
      </x:c>
      <x:c r="E133" t="str"/>
      <x:c r="F133" t="str"/>
      <x:c r="G133" t="str">
        <x:v>No</x:v>
      </x:c>
      <x:c r="H133" t="n">
        <x:v>0</x:v>
      </x:c>
      <x:c r="I133" s="32" t="n">
        <x:v>0</x:v>
      </x:c>
      <x:c r="J133" t="n">
        <x:v>0</x:v>
      </x:c>
      <x:c r="K133" t="n">
        <x:v>0</x:v>
      </x:c>
      <x:c r="L133" t="str">
        <x:v>No</x:v>
      </x:c>
      <x:c r="M133" s="64" t="n">
        <x:f>'Scoring Model'!$B$4+IF(G133="Yes",'Scoring Model'!$B$5,0)+MIN('Scoring Model'!$B$7,H133/'Scoring Model'!$B$6*'Scoring Model'!$B$7)+MIN('Scoring Model'!$B$8,J133*'Scoring Model'!$B$8)+MIN('Scoring Model'!$B$10,K133*'Scoring Model'!$B$9)</x:f>
        <x:v>10</x:v>
      </x:c>
      <x:c r="N133" t="str">
        <x:f>IF(L133="Yes","Internal / Partner / Excluded",IF(M133&gt;='Scoring Model'!$B$11,"Hot",IF(M133&gt;='Scoring Model'!$B$12,"Warm","Cold")))</x:f>
        <x:v>Cold</x:v>
      </x:c>
    </x:row>
    <x:row r="134">
      <x:c r="A134" t="n">
        <x:v>133</x:v>
      </x:c>
      <x:c r="B134" t="str">
        <x:v>Teresa</x:v>
      </x:c>
      <x:c r="C134" t="str">
        <x:v>Cedenilla</x:v>
      </x:c>
      <x:c r="D134" t="str">
        <x:v>teresa.cedenilla@blendswineestates.com</x:v>
      </x:c>
      <x:c r="E134" t="str"/>
      <x:c r="F134" t="str"/>
      <x:c r="G134" t="str">
        <x:v>No</x:v>
      </x:c>
      <x:c r="H134" t="n">
        <x:v>0</x:v>
      </x:c>
      <x:c r="I134" s="32" t="n">
        <x:v>0</x:v>
      </x:c>
      <x:c r="J134" t="n">
        <x:v>0</x:v>
      </x:c>
      <x:c r="K134" t="n">
        <x:v>0</x:v>
      </x:c>
      <x:c r="L134" t="str">
        <x:v>No</x:v>
      </x:c>
      <x:c r="M134" s="64" t="n">
        <x:f>'Scoring Model'!$B$4+IF(G134="Yes",'Scoring Model'!$B$5,0)+MIN('Scoring Model'!$B$7,H134/'Scoring Model'!$B$6*'Scoring Model'!$B$7)+MIN('Scoring Model'!$B$8,J134*'Scoring Model'!$B$8)+MIN('Scoring Model'!$B$10,K134*'Scoring Model'!$B$9)</x:f>
        <x:v>10</x:v>
      </x:c>
      <x:c r="N134" t="str">
        <x:f>IF(L134="Yes","Internal / Partner / Excluded",IF(M134&gt;='Scoring Model'!$B$11,"Hot",IF(M134&gt;='Scoring Model'!$B$12,"Warm","Cold")))</x:f>
        <x:v>Cold</x:v>
      </x:c>
    </x:row>
    <x:row r="135">
      <x:c r="A135" t="n">
        <x:v>134</x:v>
      </x:c>
      <x:c r="B135" t="str">
        <x:v>Daniela</x:v>
      </x:c>
      <x:c r="C135" t="str">
        <x:v>Tiezzi</x:v>
      </x:c>
      <x:c r="D135" t="str">
        <x:v>tiezzidaniela@gmail.com</x:v>
      </x:c>
      <x:c r="E135" t="str"/>
      <x:c r="F135" t="str"/>
      <x:c r="G135" t="str">
        <x:v>No</x:v>
      </x:c>
      <x:c r="H135" t="n">
        <x:v>0</x:v>
      </x:c>
      <x:c r="I135" s="32" t="n">
        <x:v>0</x:v>
      </x:c>
      <x:c r="J135" t="n">
        <x:v>0</x:v>
      </x:c>
      <x:c r="K135" t="n">
        <x:v>0</x:v>
      </x:c>
      <x:c r="L135" t="str">
        <x:v>No</x:v>
      </x:c>
      <x:c r="M135" s="64" t="n">
        <x:f>'Scoring Model'!$B$4+IF(G135="Yes",'Scoring Model'!$B$5,0)+MIN('Scoring Model'!$B$7,H135/'Scoring Model'!$B$6*'Scoring Model'!$B$7)+MIN('Scoring Model'!$B$8,J135*'Scoring Model'!$B$8)+MIN('Scoring Model'!$B$10,K135*'Scoring Model'!$B$9)</x:f>
        <x:v>10</x:v>
      </x:c>
      <x:c r="N135" t="str">
        <x:f>IF(L135="Yes","Internal / Partner / Excluded",IF(M135&gt;='Scoring Model'!$B$11,"Hot",IF(M135&gt;='Scoring Model'!$B$12,"Warm","Cold")))</x:f>
        <x:v>Cold</x:v>
      </x:c>
    </x:row>
    <x:row r="136">
      <x:c r="A136" t="n">
        <x:v>135</x:v>
      </x:c>
      <x:c r="B136" t="str">
        <x:v>Virginia</x:v>
      </x:c>
      <x:c r="C136" t="str">
        <x:v>Cubecino</x:v>
      </x:c>
      <x:c r="D136" t="str">
        <x:v>vcubecino@rutiniwines.com</x:v>
      </x:c>
      <x:c r="E136" t="str"/>
      <x:c r="F136" t="str"/>
      <x:c r="G136" t="str">
        <x:v>No</x:v>
      </x:c>
      <x:c r="H136" t="n">
        <x:v>0</x:v>
      </x:c>
      <x:c r="I136" s="32" t="n">
        <x:v>0</x:v>
      </x:c>
      <x:c r="J136" t="n">
        <x:v>0</x:v>
      </x:c>
      <x:c r="K136" t="n">
        <x:v>0</x:v>
      </x:c>
      <x:c r="L136" t="str">
        <x:v>No</x:v>
      </x:c>
      <x:c r="M136" s="64" t="n">
        <x:f>'Scoring Model'!$B$4+IF(G136="Yes",'Scoring Model'!$B$5,0)+MIN('Scoring Model'!$B$7,H136/'Scoring Model'!$B$6*'Scoring Model'!$B$7)+MIN('Scoring Model'!$B$8,J136*'Scoring Model'!$B$8)+MIN('Scoring Model'!$B$10,K136*'Scoring Model'!$B$9)</x:f>
        <x:v>10</x:v>
      </x:c>
      <x:c r="N136" t="str">
        <x:f>IF(L136="Yes","Internal / Partner / Excluded",IF(M136&gt;='Scoring Model'!$B$11,"Hot",IF(M136&gt;='Scoring Model'!$B$12,"Warm","Cold")))</x:f>
        <x:v>Cold</x:v>
      </x:c>
    </x:row>
    <x:row r="137">
      <x:c r="A137" t="n">
        <x:v>136</x:v>
      </x:c>
      <x:c r="B137" t="str">
        <x:v>Victoria</x:v>
      </x:c>
      <x:c r="C137" t="str">
        <x:v>Guevara</x:v>
      </x:c>
      <x:c r="D137" t="str">
        <x:v>victoria.jgr@gmail.com</x:v>
      </x:c>
      <x:c r="E137" t="str"/>
      <x:c r="F137" t="str">
        <x:v>Uruguay</x:v>
      </x:c>
      <x:c r="G137" t="str">
        <x:v>No</x:v>
      </x:c>
      <x:c r="H137" t="n">
        <x:v>0</x:v>
      </x:c>
      <x:c r="I137" s="32" t="n">
        <x:v>0</x:v>
      </x:c>
      <x:c r="J137" t="n">
        <x:v>0</x:v>
      </x:c>
      <x:c r="K137" t="n">
        <x:v>0</x:v>
      </x:c>
      <x:c r="L137" t="str">
        <x:v>No</x:v>
      </x:c>
      <x:c r="M137" s="64" t="n">
        <x:f>'Scoring Model'!$B$4+IF(G137="Yes",'Scoring Model'!$B$5,0)+MIN('Scoring Model'!$B$7,H137/'Scoring Model'!$B$6*'Scoring Model'!$B$7)+MIN('Scoring Model'!$B$8,J137*'Scoring Model'!$B$8)+MIN('Scoring Model'!$B$10,K137*'Scoring Model'!$B$9)</x:f>
        <x:v>10</x:v>
      </x:c>
      <x:c r="N137" t="str">
        <x:f>IF(L137="Yes","Internal / Partner / Excluded",IF(M137&gt;='Scoring Model'!$B$11,"Hot",IF(M137&gt;='Scoring Model'!$B$12,"Warm","Cold")))</x:f>
        <x:v>Cold</x:v>
      </x:c>
    </x:row>
    <x:row r="138">
      <x:c r="A138" t="n">
        <x:v>137</x:v>
      </x:c>
      <x:c r="B138" t="str">
        <x:v>SOFIA MARIA</x:v>
      </x:c>
      <x:c r="C138" t="str">
        <x:v>TINARI COTTER</x:v>
      </x:c>
      <x:c r="D138" t="str">
        <x:v>sofitinari@hotmail.com</x:v>
      </x:c>
      <x:c r="E138" t="str">
        <x:v>31438717</x:v>
      </x:c>
      <x:c r="F138" t="str">
        <x:v>Argentina</x:v>
      </x:c>
      <x:c r="G138" t="str">
        <x:v>No</x:v>
      </x:c>
      <x:c r="H138" t="n">
        <x:v>0</x:v>
      </x:c>
      <x:c r="I138" s="32" t="n">
        <x:v>0</x:v>
      </x:c>
      <x:c r="J138" t="n">
        <x:v>0</x:v>
      </x:c>
      <x:c r="K138" t="n">
        <x:v>0</x:v>
      </x:c>
      <x:c r="L138" t="str">
        <x:v>No</x:v>
      </x:c>
      <x:c r="M138" s="64" t="n">
        <x:f>'Scoring Model'!$B$4+IF(G138="Yes",'Scoring Model'!$B$5,0)+MIN('Scoring Model'!$B$7,H138/'Scoring Model'!$B$6*'Scoring Model'!$B$7)+MIN('Scoring Model'!$B$8,J138*'Scoring Model'!$B$8)+MIN('Scoring Model'!$B$10,K138*'Scoring Model'!$B$9)</x:f>
        <x:v>10</x:v>
      </x:c>
      <x:c r="N138" t="str">
        <x:f>IF(L138="Yes","Internal / Partner / Excluded",IF(M138&gt;='Scoring Model'!$B$11,"Hot",IF(M138&gt;='Scoring Model'!$B$12,"Warm","Cold")))</x:f>
        <x:v>Cold</x:v>
      </x:c>
    </x:row>
    <x:row r="139">
      <x:c r="A139" t="n">
        <x:v>138</x:v>
      </x:c>
      <x:c r="B139" t="str">
        <x:v>Blusztein</x:v>
      </x:c>
      <x:c r="C139" t="str">
        <x:v>Hanne</x:v>
      </x:c>
      <x:c r="D139" t="str">
        <x:v>hblusztein@ahkargentina.com.ar</x:v>
      </x:c>
      <x:c r="E139" t="str">
        <x:v>AHK Argentina</x:v>
      </x:c>
      <x:c r="F139" t="str">
        <x:v>Argentina</x:v>
      </x:c>
      <x:c r="G139" t="str">
        <x:v>No</x:v>
      </x:c>
      <x:c r="H139" t="n">
        <x:v>0</x:v>
      </x:c>
      <x:c r="I139" s="32" t="n">
        <x:v>0</x:v>
      </x:c>
      <x:c r="J139" t="n">
        <x:v>0</x:v>
      </x:c>
      <x:c r="K139" t="n">
        <x:v>0</x:v>
      </x:c>
      <x:c r="L139" t="str">
        <x:v>No</x:v>
      </x:c>
      <x:c r="M139" s="64" t="n">
        <x:f>'Scoring Model'!$B$4+IF(G139="Yes",'Scoring Model'!$B$5,0)+MIN('Scoring Model'!$B$7,H139/'Scoring Model'!$B$6*'Scoring Model'!$B$7)+MIN('Scoring Model'!$B$8,J139*'Scoring Model'!$B$8)+MIN('Scoring Model'!$B$10,K139*'Scoring Model'!$B$9)</x:f>
        <x:v>10</x:v>
      </x:c>
      <x:c r="N139" t="str">
        <x:f>IF(L139="Yes","Internal / Partner / Excluded",IF(M139&gt;='Scoring Model'!$B$11,"Hot",IF(M139&gt;='Scoring Model'!$B$12,"Warm","Cold")))</x:f>
        <x:v>Cold</x:v>
      </x:c>
    </x:row>
    <x:row r="140">
      <x:c r="A140" t="n">
        <x:v>139</x:v>
      </x:c>
      <x:c r="B140" t="str">
        <x:v>Yony Alexander</x:v>
      </x:c>
      <x:c r="C140" t="str">
        <x:v>Zuluaga Betancur</x:v>
      </x:c>
      <x:c r="D140" t="str">
        <x:v>yony.zuluaga@aris-mining.co</x:v>
      </x:c>
      <x:c r="E140" t="str">
        <x:v>Aris Mining</x:v>
      </x:c>
      <x:c r="F140" t="str">
        <x:v>Colombia</x:v>
      </x:c>
      <x:c r="G140" t="str">
        <x:v>No</x:v>
      </x:c>
      <x:c r="H140" t="n">
        <x:v>0</x:v>
      </x:c>
      <x:c r="I140" s="32" t="n">
        <x:v>0</x:v>
      </x:c>
      <x:c r="J140" t="n">
        <x:v>0</x:v>
      </x:c>
      <x:c r="K140" t="n">
        <x:v>0</x:v>
      </x:c>
      <x:c r="L140" t="str">
        <x:v>No</x:v>
      </x:c>
      <x:c r="M140" s="64" t="n">
        <x:f>'Scoring Model'!$B$4+IF(G140="Yes",'Scoring Model'!$B$5,0)+MIN('Scoring Model'!$B$7,H140/'Scoring Model'!$B$6*'Scoring Model'!$B$7)+MIN('Scoring Model'!$B$8,J140*'Scoring Model'!$B$8)+MIN('Scoring Model'!$B$10,K140*'Scoring Model'!$B$9)</x:f>
        <x:v>10</x:v>
      </x:c>
      <x:c r="N140" t="str">
        <x:f>IF(L140="Yes","Internal / Partner / Excluded",IF(M140&gt;='Scoring Model'!$B$11,"Hot",IF(M140&gt;='Scoring Model'!$B$12,"Warm","Cold")))</x:f>
        <x:v>Cold</x:v>
      </x:c>
    </x:row>
    <x:row r="141">
      <x:c r="A141" t="n">
        <x:v>140</x:v>
      </x:c>
      <x:c r="B141" t="str">
        <x:v>Gustavo</x:v>
      </x:c>
      <x:c r="C141" t="str">
        <x:v>Cardemil</x:v>
      </x:c>
      <x:c r="D141" t="str">
        <x:v>gcardemil@adelagro.cl</x:v>
      </x:c>
      <x:c r="E141" t="str">
        <x:v>Asesorías del Agro GCA</x:v>
      </x:c>
      <x:c r="F141" t="str">
        <x:v>Chile</x:v>
      </x:c>
      <x:c r="G141" t="str">
        <x:v>No</x:v>
      </x:c>
      <x:c r="H141" t="n">
        <x:v>0</x:v>
      </x:c>
      <x:c r="I141" s="32" t="n">
        <x:v>0</x:v>
      </x:c>
      <x:c r="J141" t="n">
        <x:v>0</x:v>
      </x:c>
      <x:c r="K141" t="n">
        <x:v>0</x:v>
      </x:c>
      <x:c r="L141" t="str">
        <x:v>No</x:v>
      </x:c>
      <x:c r="M141" s="64" t="n">
        <x:f>'Scoring Model'!$B$4+IF(G141="Yes",'Scoring Model'!$B$5,0)+MIN('Scoring Model'!$B$7,H141/'Scoring Model'!$B$6*'Scoring Model'!$B$7)+MIN('Scoring Model'!$B$8,J141*'Scoring Model'!$B$8)+MIN('Scoring Model'!$B$10,K141*'Scoring Model'!$B$9)</x:f>
        <x:v>10</x:v>
      </x:c>
      <x:c r="N141" t="str">
        <x:f>IF(L141="Yes","Internal / Partner / Excluded",IF(M141&gt;='Scoring Model'!$B$11,"Hot",IF(M141&gt;='Scoring Model'!$B$12,"Warm","Cold")))</x:f>
        <x:v>Cold</x:v>
      </x:c>
    </x:row>
    <x:row r="142">
      <x:c r="A142" t="n">
        <x:v>141</x:v>
      </x:c>
      <x:c r="B142" t="str">
        <x:v>Sandra</x:v>
      </x:c>
      <x:c r="C142" t="str">
        <x:v>Gorischnik</x:v>
      </x:c>
      <x:c r="D142" t="str">
        <x:v>sandra.gorischnik@gmail.com</x:v>
      </x:c>
      <x:c r="E142" t="str">
        <x:v>Banco Bice</x:v>
      </x:c>
      <x:c r="F142" t="str">
        <x:v>Argentina</x:v>
      </x:c>
      <x:c r="G142" t="str">
        <x:v>No</x:v>
      </x:c>
      <x:c r="H142" t="n">
        <x:v>0</x:v>
      </x:c>
      <x:c r="I142" s="32" t="n">
        <x:v>0</x:v>
      </x:c>
      <x:c r="J142" t="n">
        <x:v>0</x:v>
      </x:c>
      <x:c r="K142" t="n">
        <x:v>0</x:v>
      </x:c>
      <x:c r="L142" t="str">
        <x:v>No</x:v>
      </x:c>
      <x:c r="M142" s="64" t="n">
        <x:f>'Scoring Model'!$B$4+IF(G142="Yes",'Scoring Model'!$B$5,0)+MIN('Scoring Model'!$B$7,H142/'Scoring Model'!$B$6*'Scoring Model'!$B$7)+MIN('Scoring Model'!$B$8,J142*'Scoring Model'!$B$8)+MIN('Scoring Model'!$B$10,K142*'Scoring Model'!$B$9)</x:f>
        <x:v>10</x:v>
      </x:c>
      <x:c r="N142" t="str">
        <x:f>IF(L142="Yes","Internal / Partner / Excluded",IF(M142&gt;='Scoring Model'!$B$11,"Hot",IF(M142&gt;='Scoring Model'!$B$12,"Warm","Cold")))</x:f>
        <x:v>Cold</x:v>
      </x:c>
    </x:row>
    <x:row r="143">
      <x:c r="A143" t="n">
        <x:v>142</x:v>
      </x:c>
      <x:c r="B143" t="str">
        <x:v>Cecilia</x:v>
      </x:c>
      <x:c r="C143" t="str">
        <x:v>Acuña</x:v>
      </x:c>
      <x:c r="D143" t="str">
        <x:v>cacuna@iadb.org</x:v>
      </x:c>
      <x:c r="E143" t="str">
        <x:v>Bid invest</x:v>
      </x:c>
      <x:c r="F143" t="str">
        <x:v>Argentina</x:v>
      </x:c>
      <x:c r="G143" t="str">
        <x:v>No</x:v>
      </x:c>
      <x:c r="H143" t="n">
        <x:v>0</x:v>
      </x:c>
      <x:c r="I143" s="32" t="n">
        <x:v>0</x:v>
      </x:c>
      <x:c r="J143" t="n">
        <x:v>0</x:v>
      </x:c>
      <x:c r="K143" t="n">
        <x:v>0</x:v>
      </x:c>
      <x:c r="L143" t="str">
        <x:v>No</x:v>
      </x:c>
      <x:c r="M143" s="64" t="n">
        <x:f>'Scoring Model'!$B$4+IF(G143="Yes",'Scoring Model'!$B$5,0)+MIN('Scoring Model'!$B$7,H143/'Scoring Model'!$B$6*'Scoring Model'!$B$7)+MIN('Scoring Model'!$B$8,J143*'Scoring Model'!$B$8)+MIN('Scoring Model'!$B$10,K143*'Scoring Model'!$B$9)</x:f>
        <x:v>10</x:v>
      </x:c>
      <x:c r="N143" t="str">
        <x:f>IF(L143="Yes","Internal / Partner / Excluded",IF(M143&gt;='Scoring Model'!$B$11,"Hot",IF(M143&gt;='Scoring Model'!$B$12,"Warm","Cold")))</x:f>
        <x:v>Cold</x:v>
      </x:c>
    </x:row>
    <x:row r="144">
      <x:c r="A144" t="n">
        <x:v>143</x:v>
      </x:c>
      <x:c r="B144" t="str">
        <x:v>LAURIE FABIENNE MICHELLE</x:v>
      </x:c>
      <x:c r="C144" t="str">
        <x:v>CHEOUX</x:v>
      </x:c>
      <x:c r="D144" t="str">
        <x:v>laurie.cheoux@grupobimbo.com</x:v>
      </x:c>
      <x:c r="E144" t="str">
        <x:v>bimboq QSR</x:v>
      </x:c>
      <x:c r="F144" t="str">
        <x:v>España</x:v>
      </x:c>
      <x:c r="G144" t="str">
        <x:v>No</x:v>
      </x:c>
      <x:c r="H144" t="n">
        <x:v>0</x:v>
      </x:c>
      <x:c r="I144" s="32" t="n">
        <x:v>0</x:v>
      </x:c>
      <x:c r="J144" t="n">
        <x:v>0</x:v>
      </x:c>
      <x:c r="K144" t="n">
        <x:v>0</x:v>
      </x:c>
      <x:c r="L144" t="str">
        <x:v>No</x:v>
      </x:c>
      <x:c r="M144" s="64" t="n">
        <x:f>'Scoring Model'!$B$4+IF(G144="Yes",'Scoring Model'!$B$5,0)+MIN('Scoring Model'!$B$7,H144/'Scoring Model'!$B$6*'Scoring Model'!$B$7)+MIN('Scoring Model'!$B$8,J144*'Scoring Model'!$B$8)+MIN('Scoring Model'!$B$10,K144*'Scoring Model'!$B$9)</x:f>
        <x:v>10</x:v>
      </x:c>
      <x:c r="N144" t="str">
        <x:f>IF(L144="Yes","Internal / Partner / Excluded",IF(M144&gt;='Scoring Model'!$B$11,"Hot",IF(M144&gt;='Scoring Model'!$B$12,"Warm","Cold")))</x:f>
        <x:v>Cold</x:v>
      </x:c>
    </x:row>
    <x:row r="145">
      <x:c r="A145" t="n">
        <x:v>144</x:v>
      </x:c>
      <x:c r="B145" t="str">
        <x:v>Leandro</x:v>
      </x:c>
      <x:c r="C145" t="str">
        <x:v>Bastias</x:v>
      </x:c>
      <x:c r="D145" t="str">
        <x:v>lbastias@budeguer.com</x:v>
      </x:c>
      <x:c r="E145" t="str">
        <x:v>Bodegas Budeguer S.A.</x:v>
      </x:c>
      <x:c r="F145" t="str">
        <x:v>Argentina</x:v>
      </x:c>
      <x:c r="G145" t="str">
        <x:v>No</x:v>
      </x:c>
      <x:c r="H145" t="n">
        <x:v>0</x:v>
      </x:c>
      <x:c r="I145" s="32" t="n">
        <x:v>0</x:v>
      </x:c>
      <x:c r="J145" t="n">
        <x:v>0</x:v>
      </x:c>
      <x:c r="K145" t="n">
        <x:v>0</x:v>
      </x:c>
      <x:c r="L145" t="str">
        <x:v>No</x:v>
      </x:c>
      <x:c r="M145" s="64" t="n">
        <x:f>'Scoring Model'!$B$4+IF(G145="Yes",'Scoring Model'!$B$5,0)+MIN('Scoring Model'!$B$7,H145/'Scoring Model'!$B$6*'Scoring Model'!$B$7)+MIN('Scoring Model'!$B$8,J145*'Scoring Model'!$B$8)+MIN('Scoring Model'!$B$10,K145*'Scoring Model'!$B$9)</x:f>
        <x:v>10</x:v>
      </x:c>
      <x:c r="N145" t="str">
        <x:f>IF(L145="Yes","Internal / Partner / Excluded",IF(M145&gt;='Scoring Model'!$B$11,"Hot",IF(M145&gt;='Scoring Model'!$B$12,"Warm","Cold")))</x:f>
        <x:v>Cold</x:v>
      </x:c>
    </x:row>
    <x:row r="146">
      <x:c r="A146" t="n">
        <x:v>145</x:v>
      </x:c>
      <x:c r="B146" t="str">
        <x:v>Maick Jose</x:v>
      </x:c>
      <x:c r="C146" t="str">
        <x:v>Gomez Camarena</x:v>
      </x:c>
      <x:c r="D146" t="str">
        <x:v>mgomez@cementosinka.com.pe</x:v>
      </x:c>
      <x:c r="E146" t="str">
        <x:v>CCISA</x:v>
      </x:c>
      <x:c r="F146" t="str">
        <x:v>Perú</x:v>
      </x:c>
      <x:c r="G146" t="str">
        <x:v>No</x:v>
      </x:c>
      <x:c r="H146" t="n">
        <x:v>0</x:v>
      </x:c>
      <x:c r="I146" s="32" t="n">
        <x:v>0</x:v>
      </x:c>
      <x:c r="J146" t="n">
        <x:v>0</x:v>
      </x:c>
      <x:c r="K146" t="n">
        <x:v>0</x:v>
      </x:c>
      <x:c r="L146" t="str">
        <x:v>No</x:v>
      </x:c>
      <x:c r="M146" s="64" t="n">
        <x:f>'Scoring Model'!$B$4+IF(G146="Yes",'Scoring Model'!$B$5,0)+MIN('Scoring Model'!$B$7,H146/'Scoring Model'!$B$6*'Scoring Model'!$B$7)+MIN('Scoring Model'!$B$8,J146*'Scoring Model'!$B$8)+MIN('Scoring Model'!$B$10,K146*'Scoring Model'!$B$9)</x:f>
        <x:v>10</x:v>
      </x:c>
      <x:c r="N146" t="str">
        <x:f>IF(L146="Yes","Internal / Partner / Excluded",IF(M146&gt;='Scoring Model'!$B$11,"Hot",IF(M146&gt;='Scoring Model'!$B$12,"Warm","Cold")))</x:f>
        <x:v>Cold</x:v>
      </x:c>
    </x:row>
    <x:row r="147">
      <x:c r="A147" t="n">
        <x:v>146</x:v>
      </x:c>
      <x:c r="B147" t="str">
        <x:v>Luis Fernando</x:v>
      </x:c>
      <x:c r="C147" t="str">
        <x:v>Pino</x:v>
      </x:c>
      <x:c r="D147" t="str">
        <x:v>lpino@ceyesa.com.pe</x:v>
      </x:c>
      <x:c r="E147" t="str">
        <x:v>CEYESA</x:v>
      </x:c>
      <x:c r="F147" t="str">
        <x:v>Peru</x:v>
      </x:c>
      <x:c r="G147" t="str">
        <x:v>No</x:v>
      </x:c>
      <x:c r="H147" t="n">
        <x:v>0</x:v>
      </x:c>
      <x:c r="I147" s="32" t="n">
        <x:v>0</x:v>
      </x:c>
      <x:c r="J147" t="n">
        <x:v>0</x:v>
      </x:c>
      <x:c r="K147" t="n">
        <x:v>0</x:v>
      </x:c>
      <x:c r="L147" t="str">
        <x:v>No</x:v>
      </x:c>
      <x:c r="M147" s="64" t="n">
        <x:f>'Scoring Model'!$B$4+IF(G147="Yes",'Scoring Model'!$B$5,0)+MIN('Scoring Model'!$B$7,H147/'Scoring Model'!$B$6*'Scoring Model'!$B$7)+MIN('Scoring Model'!$B$8,J147*'Scoring Model'!$B$8)+MIN('Scoring Model'!$B$10,K147*'Scoring Model'!$B$9)</x:f>
        <x:v>10</x:v>
      </x:c>
      <x:c r="N147" t="str">
        <x:f>IF(L147="Yes","Internal / Partner / Excluded",IF(M147&gt;='Scoring Model'!$B$11,"Hot",IF(M147&gt;='Scoring Model'!$B$12,"Warm","Cold")))</x:f>
        <x:v>Cold</x:v>
      </x:c>
    </x:row>
    <x:row r="148">
      <x:c r="A148" t="n">
        <x:v>147</x:v>
      </x:c>
      <x:c r="B148" t="str">
        <x:v>Macarena</x:v>
      </x:c>
      <x:c r="C148" t="str">
        <x:v>Mo</x:v>
      </x:c>
      <x:c r="D148" t="str">
        <x:v>macarenamo.u@gmail.com</x:v>
      </x:c>
      <x:c r="E148" t="str">
        <x:v>Consultora</x:v>
      </x:c>
      <x:c r="F148" t="str">
        <x:v>Uruguay</x:v>
      </x:c>
      <x:c r="G148" t="str">
        <x:v>No</x:v>
      </x:c>
      <x:c r="H148" t="n">
        <x:v>0</x:v>
      </x:c>
      <x:c r="I148" s="32" t="n">
        <x:v>0</x:v>
      </x:c>
      <x:c r="J148" t="n">
        <x:v>0</x:v>
      </x:c>
      <x:c r="K148" t="n">
        <x:v>0</x:v>
      </x:c>
      <x:c r="L148" t="str">
        <x:v>No</x:v>
      </x:c>
      <x:c r="M148" s="64" t="n">
        <x:f>'Scoring Model'!$B$4+IF(G148="Yes",'Scoring Model'!$B$5,0)+MIN('Scoring Model'!$B$7,H148/'Scoring Model'!$B$6*'Scoring Model'!$B$7)+MIN('Scoring Model'!$B$8,J148*'Scoring Model'!$B$8)+MIN('Scoring Model'!$B$10,K148*'Scoring Model'!$B$9)</x:f>
        <x:v>10</x:v>
      </x:c>
      <x:c r="N148" t="str">
        <x:f>IF(L148="Yes","Internal / Partner / Excluded",IF(M148&gt;='Scoring Model'!$B$11,"Hot",IF(M148&gt;='Scoring Model'!$B$12,"Warm","Cold")))</x:f>
        <x:v>Cold</x:v>
      </x:c>
    </x:row>
    <x:row r="149">
      <x:c r="A149" t="n">
        <x:v>148</x:v>
      </x:c>
      <x:c r="B149" t="str">
        <x:v>Maria José Martins</x:v>
      </x:c>
      <x:c r="C149" t="str">
        <x:v>Siva</x:v>
      </x:c>
      <x:c r="D149" t="str">
        <x:v>mariajose.silva@cotoncouleur.com</x:v>
      </x:c>
      <x:c r="E149" t="str">
        <x:v>Coton Couleur - Empresa Têxtil, S.A.</x:v>
      </x:c>
      <x:c r="F149" t="str">
        <x:v>Portugal</x:v>
      </x:c>
      <x:c r="G149" t="str">
        <x:v>No</x:v>
      </x:c>
      <x:c r="H149" t="n">
        <x:v>0</x:v>
      </x:c>
      <x:c r="I149" s="32" t="n">
        <x:v>0</x:v>
      </x:c>
      <x:c r="J149" t="n">
        <x:v>0</x:v>
      </x:c>
      <x:c r="K149" t="n">
        <x:v>0</x:v>
      </x:c>
      <x:c r="L149" t="str">
        <x:v>No</x:v>
      </x:c>
      <x:c r="M149" s="64" t="n">
        <x:f>'Scoring Model'!$B$4+IF(G149="Yes",'Scoring Model'!$B$5,0)+MIN('Scoring Model'!$B$7,H149/'Scoring Model'!$B$6*'Scoring Model'!$B$7)+MIN('Scoring Model'!$B$8,J149*'Scoring Model'!$B$8)+MIN('Scoring Model'!$B$10,K149*'Scoring Model'!$B$9)</x:f>
        <x:v>10</x:v>
      </x:c>
      <x:c r="N149" t="str">
        <x:f>IF(L149="Yes","Internal / Partner / Excluded",IF(M149&gt;='Scoring Model'!$B$11,"Hot",IF(M149&gt;='Scoring Model'!$B$12,"Warm","Cold")))</x:f>
        <x:v>Cold</x:v>
      </x:c>
    </x:row>
    <x:row r="150">
      <x:c r="A150" t="n">
        <x:v>149</x:v>
      </x:c>
      <x:c r="B150" t="str">
        <x:v>Micaela</x:v>
      </x:c>
      <x:c r="C150" t="str">
        <x:v>Corrarello</x:v>
      </x:c>
      <x:c r="D150" t="str">
        <x:v>micaela.c@desitec.com.ar</x:v>
      </x:c>
      <x:c r="E150" t="str">
        <x:v>Desitec S.A.</x:v>
      </x:c>
      <x:c r="F150" t="str">
        <x:v>Argentina</x:v>
      </x:c>
      <x:c r="G150" t="str">
        <x:v>No</x:v>
      </x:c>
      <x:c r="H150" t="n">
        <x:v>0</x:v>
      </x:c>
      <x:c r="I150" s="32" t="n">
        <x:v>0</x:v>
      </x:c>
      <x:c r="J150" t="n">
        <x:v>0</x:v>
      </x:c>
      <x:c r="K150" t="n">
        <x:v>0</x:v>
      </x:c>
      <x:c r="L150" t="str">
        <x:v>No</x:v>
      </x:c>
      <x:c r="M150" s="64" t="n">
        <x:f>'Scoring Model'!$B$4+IF(G150="Yes",'Scoring Model'!$B$5,0)+MIN('Scoring Model'!$B$7,H150/'Scoring Model'!$B$6*'Scoring Model'!$B$7)+MIN('Scoring Model'!$B$8,J150*'Scoring Model'!$B$8)+MIN('Scoring Model'!$B$10,K150*'Scoring Model'!$B$9)</x:f>
        <x:v>10</x:v>
      </x:c>
      <x:c r="N150" t="str">
        <x:f>IF(L150="Yes","Internal / Partner / Excluded",IF(M150&gt;='Scoring Model'!$B$11,"Hot",IF(M150&gt;='Scoring Model'!$B$12,"Warm","Cold")))</x:f>
        <x:v>Cold</x:v>
      </x:c>
    </x:row>
    <x:row r="151">
      <x:c r="A151" t="n">
        <x:v>150</x:v>
      </x:c>
      <x:c r="B151" t="str">
        <x:v>Agostina</x:v>
      </x:c>
      <x:c r="C151" t="str">
        <x:v>Di Blassi</x:v>
      </x:c>
      <x:c r="D151" t="str">
        <x:v>abonino@domainebousquet.com</x:v>
      </x:c>
      <x:c r="E151" t="str">
        <x:v>Domaine Bousquet</x:v>
      </x:c>
      <x:c r="F151" t="str">
        <x:v>Argentina</x:v>
      </x:c>
      <x:c r="G151" t="str">
        <x:v>No</x:v>
      </x:c>
      <x:c r="H151" t="n">
        <x:v>0</x:v>
      </x:c>
      <x:c r="I151" s="32" t="n">
        <x:v>0</x:v>
      </x:c>
      <x:c r="J151" t="n">
        <x:v>0</x:v>
      </x:c>
      <x:c r="K151" t="n">
        <x:v>0</x:v>
      </x:c>
      <x:c r="L151" t="str">
        <x:v>No</x:v>
      </x:c>
      <x:c r="M151" s="64" t="n">
        <x:f>'Scoring Model'!$B$4+IF(G151="Yes",'Scoring Model'!$B$5,0)+MIN('Scoring Model'!$B$7,H151/'Scoring Model'!$B$6*'Scoring Model'!$B$7)+MIN('Scoring Model'!$B$8,J151*'Scoring Model'!$B$8)+MIN('Scoring Model'!$B$10,K151*'Scoring Model'!$B$9)</x:f>
        <x:v>10</x:v>
      </x:c>
      <x:c r="N151" t="str">
        <x:f>IF(L151="Yes","Internal / Partner / Excluded",IF(M151&gt;='Scoring Model'!$B$11,"Hot",IF(M151&gt;='Scoring Model'!$B$12,"Warm","Cold")))</x:f>
        <x:v>Cold</x:v>
      </x:c>
    </x:row>
    <x:row r="152">
      <x:c r="A152" t="n">
        <x:v>151</x:v>
      </x:c>
      <x:c r="B152" t="str">
        <x:v>Julio</x:v>
      </x:c>
      <x:c r="C152" t="str">
        <x:v>Julio Peña</x:v>
      </x:c>
      <x:c r="D152" t="str">
        <x:v>jpena@domainebousquet.com</x:v>
      </x:c>
      <x:c r="E152" t="str">
        <x:v>Domaine Bousquet S.A</x:v>
      </x:c>
      <x:c r="F152" t="str">
        <x:v>Argentina</x:v>
      </x:c>
      <x:c r="G152" t="str">
        <x:v>No</x:v>
      </x:c>
      <x:c r="H152" t="n">
        <x:v>0</x:v>
      </x:c>
      <x:c r="I152" s="32" t="n">
        <x:v>0</x:v>
      </x:c>
      <x:c r="J152" t="n">
        <x:v>0</x:v>
      </x:c>
      <x:c r="K152" t="n">
        <x:v>0</x:v>
      </x:c>
      <x:c r="L152" t="str">
        <x:v>No</x:v>
      </x:c>
      <x:c r="M152" s="64" t="n">
        <x:f>'Scoring Model'!$B$4+IF(G152="Yes",'Scoring Model'!$B$5,0)+MIN('Scoring Model'!$B$7,H152/'Scoring Model'!$B$6*'Scoring Model'!$B$7)+MIN('Scoring Model'!$B$8,J152*'Scoring Model'!$B$8)+MIN('Scoring Model'!$B$10,K152*'Scoring Model'!$B$9)</x:f>
        <x:v>10</x:v>
      </x:c>
      <x:c r="N152" t="str">
        <x:f>IF(L152="Yes","Internal / Partner / Excluded",IF(M152&gt;='Scoring Model'!$B$11,"Hot",IF(M152&gt;='Scoring Model'!$B$12,"Warm","Cold")))</x:f>
        <x:v>Cold</x:v>
      </x:c>
    </x:row>
    <x:row r="153">
      <x:c r="A153" t="n">
        <x:v>152</x:v>
      </x:c>
      <x:c r="B153" t="str">
        <x:v>Martin Carlos</x:v>
      </x:c>
      <x:c r="C153" t="str">
        <x:v>Cambiano</x:v>
      </x:c>
      <x:c r="D153" t="str">
        <x:v>martincambiano@uca.edu.ar</x:v>
      </x:c>
      <x:c r="E153" t="str">
        <x:v>ECO Logos</x:v>
      </x:c>
      <x:c r="F153" t="str">
        <x:v>Argentina</x:v>
      </x:c>
      <x:c r="G153" t="str">
        <x:v>No</x:v>
      </x:c>
      <x:c r="H153" t="n">
        <x:v>0</x:v>
      </x:c>
      <x:c r="I153" s="32" t="n">
        <x:v>0</x:v>
      </x:c>
      <x:c r="J153" t="n">
        <x:v>0</x:v>
      </x:c>
      <x:c r="K153" t="n">
        <x:v>0</x:v>
      </x:c>
      <x:c r="L153" t="str">
        <x:v>No</x:v>
      </x:c>
      <x:c r="M153" s="64" t="n">
        <x:f>'Scoring Model'!$B$4+IF(G153="Yes",'Scoring Model'!$B$5,0)+MIN('Scoring Model'!$B$7,H153/'Scoring Model'!$B$6*'Scoring Model'!$B$7)+MIN('Scoring Model'!$B$8,J153*'Scoring Model'!$B$8)+MIN('Scoring Model'!$B$10,K153*'Scoring Model'!$B$9)</x:f>
        <x:v>10</x:v>
      </x:c>
      <x:c r="N153" t="str">
        <x:f>IF(L153="Yes","Internal / Partner / Excluded",IF(M153&gt;='Scoring Model'!$B$11,"Hot",IF(M153&gt;='Scoring Model'!$B$12,"Warm","Cold")))</x:f>
        <x:v>Cold</x:v>
      </x:c>
    </x:row>
    <x:row r="154">
      <x:c r="A154" t="n">
        <x:v>153</x:v>
      </x:c>
      <x:c r="B154" t="str">
        <x:v>Francisco</x:v>
      </x:c>
      <x:c r="C154" t="str">
        <x:v>Lomazzi</x:v>
      </x:c>
      <x:c r="D154" t="str">
        <x:v>franciscolomazzi@espartina.com.ar</x:v>
      </x:c>
      <x:c r="E154" t="str">
        <x:v>Espartina S.A.</x:v>
      </x:c>
      <x:c r="F154" t="str">
        <x:v>Argentina</x:v>
      </x:c>
      <x:c r="G154" t="str">
        <x:v>No</x:v>
      </x:c>
      <x:c r="H154" t="n">
        <x:v>0</x:v>
      </x:c>
      <x:c r="I154" s="32" t="n">
        <x:v>0</x:v>
      </x:c>
      <x:c r="J154" t="n">
        <x:v>0</x:v>
      </x:c>
      <x:c r="K154" t="n">
        <x:v>0</x:v>
      </x:c>
      <x:c r="L154" t="str">
        <x:v>No</x:v>
      </x:c>
      <x:c r="M154" s="64" t="n">
        <x:f>'Scoring Model'!$B$4+IF(G154="Yes",'Scoring Model'!$B$5,0)+MIN('Scoring Model'!$B$7,H154/'Scoring Model'!$B$6*'Scoring Model'!$B$7)+MIN('Scoring Model'!$B$8,J154*'Scoring Model'!$B$8)+MIN('Scoring Model'!$B$10,K154*'Scoring Model'!$B$9)</x:f>
        <x:v>10</x:v>
      </x:c>
      <x:c r="N154" t="str">
        <x:f>IF(L154="Yes","Internal / Partner / Excluded",IF(M154&gt;='Scoring Model'!$B$11,"Hot",IF(M154&gt;='Scoring Model'!$B$12,"Warm","Cold")))</x:f>
        <x:v>Cold</x:v>
      </x:c>
    </x:row>
    <x:row r="155">
      <x:c r="A155" t="n">
        <x:v>154</x:v>
      </x:c>
      <x:c r="B155" t="str">
        <x:v>Joaquina</x:v>
      </x:c>
      <x:c r="C155" t="str">
        <x:v>Cristeche</x:v>
      </x:c>
      <x:c r="D155" t="str">
        <x:v>joaquina.cristeche@explora.com.ar</x:v>
      </x:c>
      <x:c r="E155" t="str">
        <x:v>Explora SA</x:v>
      </x:c>
      <x:c r="F155" t="str">
        <x:v>Argentina </x:v>
      </x:c>
      <x:c r="G155" t="str">
        <x:v>No</x:v>
      </x:c>
      <x:c r="H155" t="n">
        <x:v>0</x:v>
      </x:c>
      <x:c r="I155" s="32" t="n">
        <x:v>0</x:v>
      </x:c>
      <x:c r="J155" t="n">
        <x:v>0</x:v>
      </x:c>
      <x:c r="K155" t="n">
        <x:v>0</x:v>
      </x:c>
      <x:c r="L155" t="str">
        <x:v>No</x:v>
      </x:c>
      <x:c r="M155" s="64" t="n">
        <x:f>'Scoring Model'!$B$4+IF(G155="Yes",'Scoring Model'!$B$5,0)+MIN('Scoring Model'!$B$7,H155/'Scoring Model'!$B$6*'Scoring Model'!$B$7)+MIN('Scoring Model'!$B$8,J155*'Scoring Model'!$B$8)+MIN('Scoring Model'!$B$10,K155*'Scoring Model'!$B$9)</x:f>
        <x:v>10</x:v>
      </x:c>
      <x:c r="N155" t="str">
        <x:f>IF(L155="Yes","Internal / Partner / Excluded",IF(M155&gt;='Scoring Model'!$B$11,"Hot",IF(M155&gt;='Scoring Model'!$B$12,"Warm","Cold")))</x:f>
        <x:v>Cold</x:v>
      </x:c>
    </x:row>
    <x:row r="156">
      <x:c r="A156" t="n">
        <x:v>155</x:v>
      </x:c>
      <x:c r="B156" t="str">
        <x:v>CAROLINA</x:v>
      </x:c>
      <x:c r="C156" t="str">
        <x:v>PEDRETTI</x:v>
      </x:c>
      <x:c r="D156" t="str">
        <x:v>cpedretti@foodsmentor.com</x:v>
      </x:c>
      <x:c r="E156" t="str">
        <x:v>FOODS MENTOR SRL</x:v>
      </x:c>
      <x:c r="F156" t="str">
        <x:v>ARGENTINA</x:v>
      </x:c>
      <x:c r="G156" t="str">
        <x:v>No</x:v>
      </x:c>
      <x:c r="H156" t="n">
        <x:v>0</x:v>
      </x:c>
      <x:c r="I156" s="32" t="n">
        <x:v>0</x:v>
      </x:c>
      <x:c r="J156" t="n">
        <x:v>0</x:v>
      </x:c>
      <x:c r="K156" t="n">
        <x:v>0</x:v>
      </x:c>
      <x:c r="L156" t="str">
        <x:v>No</x:v>
      </x:c>
      <x:c r="M156" s="64" t="n">
        <x:f>'Scoring Model'!$B$4+IF(G156="Yes",'Scoring Model'!$B$5,0)+MIN('Scoring Model'!$B$7,H156/'Scoring Model'!$B$6*'Scoring Model'!$B$7)+MIN('Scoring Model'!$B$8,J156*'Scoring Model'!$B$8)+MIN('Scoring Model'!$B$10,K156*'Scoring Model'!$B$9)</x:f>
        <x:v>10</x:v>
      </x:c>
      <x:c r="N156" t="str">
        <x:f>IF(L156="Yes","Internal / Partner / Excluded",IF(M156&gt;='Scoring Model'!$B$11,"Hot",IF(M156&gt;='Scoring Model'!$B$12,"Warm","Cold")))</x:f>
        <x:v>Cold</x:v>
      </x:c>
    </x:row>
    <x:row r="157">
      <x:c r="A157" t="n">
        <x:v>156</x:v>
      </x:c>
      <x:c r="B157" t="str">
        <x:v>Cecilia</x:v>
      </x:c>
      <x:c r="C157" t="str">
        <x:v>Albanesi</x:v>
      </x:c>
      <x:c r="D157" t="str">
        <x:v>ceci.albanesi@gmail.com</x:v>
      </x:c>
      <x:c r="E157" t="str">
        <x:v>freelance</x:v>
      </x:c>
      <x:c r="F157" t="str">
        <x:v>Argentina</x:v>
      </x:c>
      <x:c r="G157" t="str">
        <x:v>No</x:v>
      </x:c>
      <x:c r="H157" t="n">
        <x:v>0</x:v>
      </x:c>
      <x:c r="I157" s="32" t="n">
        <x:v>0</x:v>
      </x:c>
      <x:c r="J157" t="n">
        <x:v>0</x:v>
      </x:c>
      <x:c r="K157" t="n">
        <x:v>0</x:v>
      </x:c>
      <x:c r="L157" t="str">
        <x:v>No</x:v>
      </x:c>
      <x:c r="M157" s="64" t="n">
        <x:f>'Scoring Model'!$B$4+IF(G157="Yes",'Scoring Model'!$B$5,0)+MIN('Scoring Model'!$B$7,H157/'Scoring Model'!$B$6*'Scoring Model'!$B$7)+MIN('Scoring Model'!$B$8,J157*'Scoring Model'!$B$8)+MIN('Scoring Model'!$B$10,K157*'Scoring Model'!$B$9)</x:f>
        <x:v>10</x:v>
      </x:c>
      <x:c r="N157" t="str">
        <x:f>IF(L157="Yes","Internal / Partner / Excluded",IF(M157&gt;='Scoring Model'!$B$11,"Hot",IF(M157&gt;='Scoring Model'!$B$12,"Warm","Cold")))</x:f>
        <x:v>Cold</x:v>
      </x:c>
    </x:row>
    <x:row r="158">
      <x:c r="A158" t="n">
        <x:v>157</x:v>
      </x:c>
      <x:c r="B158" t="str">
        <x:v>Melissa</x:v>
      </x:c>
      <x:c r="C158" t="str">
        <x:v>Mendez</x:v>
      </x:c>
      <x:c r="D158" t="str">
        <x:v>melissabeatrizm@gmail.com</x:v>
      </x:c>
      <x:c r="E158" t="str">
        <x:v>Fundazúcar</x:v>
      </x:c>
      <x:c r="F158" t="str">
        <x:v>El Salvador</x:v>
      </x:c>
      <x:c r="G158" t="str">
        <x:v>No</x:v>
      </x:c>
      <x:c r="H158" t="n">
        <x:v>0</x:v>
      </x:c>
      <x:c r="I158" s="32" t="n">
        <x:v>0</x:v>
      </x:c>
      <x:c r="J158" t="n">
        <x:v>0</x:v>
      </x:c>
      <x:c r="K158" t="n">
        <x:v>0</x:v>
      </x:c>
      <x:c r="L158" t="str">
        <x:v>No</x:v>
      </x:c>
      <x:c r="M158" s="64" t="n">
        <x:f>'Scoring Model'!$B$4+IF(G158="Yes",'Scoring Model'!$B$5,0)+MIN('Scoring Model'!$B$7,H158/'Scoring Model'!$B$6*'Scoring Model'!$B$7)+MIN('Scoring Model'!$B$8,J158*'Scoring Model'!$B$8)+MIN('Scoring Model'!$B$10,K158*'Scoring Model'!$B$9)</x:f>
        <x:v>10</x:v>
      </x:c>
      <x:c r="N158" t="str">
        <x:f>IF(L158="Yes","Internal / Partner / Excluded",IF(M158&gt;='Scoring Model'!$B$11,"Hot",IF(M158&gt;='Scoring Model'!$B$12,"Warm","Cold")))</x:f>
        <x:v>Cold</x:v>
      </x:c>
    </x:row>
    <x:row r="159">
      <x:c r="A159" t="n">
        <x:v>158</x:v>
      </x:c>
      <x:c r="B159" t="str">
        <x:v>MIRIAM</x:v>
      </x:c>
      <x:c r="C159" t="str">
        <x:v>NAVARRO FERNANDEZ</x:v>
      </x:c>
      <x:c r="D159" t="str">
        <x:v>miriam.navarro@grupobimbo.com</x:v>
      </x:c>
      <x:c r="E159" t="str">
        <x:v>Grupo Bimbo</x:v>
      </x:c>
      <x:c r="F159" t="str">
        <x:v>México</x:v>
      </x:c>
      <x:c r="G159" t="str">
        <x:v>No</x:v>
      </x:c>
      <x:c r="H159" t="n">
        <x:v>0</x:v>
      </x:c>
      <x:c r="I159" s="32" t="n">
        <x:v>0</x:v>
      </x:c>
      <x:c r="J159" t="n">
        <x:v>0</x:v>
      </x:c>
      <x:c r="K159" t="n">
        <x:v>0</x:v>
      </x:c>
      <x:c r="L159" t="str">
        <x:v>No</x:v>
      </x:c>
      <x:c r="M159" s="64" t="n">
        <x:f>'Scoring Model'!$B$4+IF(G159="Yes",'Scoring Model'!$B$5,0)+MIN('Scoring Model'!$B$7,H159/'Scoring Model'!$B$6*'Scoring Model'!$B$7)+MIN('Scoring Model'!$B$8,J159*'Scoring Model'!$B$8)+MIN('Scoring Model'!$B$10,K159*'Scoring Model'!$B$9)</x:f>
        <x:v>10</x:v>
      </x:c>
      <x:c r="N159" t="str">
        <x:f>IF(L159="Yes","Internal / Partner / Excluded",IF(M159&gt;='Scoring Model'!$B$11,"Hot",IF(M159&gt;='Scoring Model'!$B$12,"Warm","Cold")))</x:f>
        <x:v>Cold</x:v>
      </x:c>
    </x:row>
    <x:row r="160">
      <x:c r="A160" t="n">
        <x:v>159</x:v>
      </x:c>
      <x:c r="B160" t="str">
        <x:v>YAEL</x:v>
      </x:c>
      <x:c r="C160" t="str">
        <x:v>RIVERA QUIROZ</x:v>
      </x:c>
      <x:c r="D160" t="str">
        <x:v>yael.rivera@grupobimbo.com</x:v>
      </x:c>
      <x:c r="E160" t="str">
        <x:v>Grupo Bimbo</x:v>
      </x:c>
      <x:c r="F160" t="str">
        <x:v>México</x:v>
      </x:c>
      <x:c r="G160" t="str">
        <x:v>No</x:v>
      </x:c>
      <x:c r="H160" t="n">
        <x:v>0</x:v>
      </x:c>
      <x:c r="I160" s="32" t="n">
        <x:v>0</x:v>
      </x:c>
      <x:c r="J160" t="n">
        <x:v>0</x:v>
      </x:c>
      <x:c r="K160" t="n">
        <x:v>0</x:v>
      </x:c>
      <x:c r="L160" t="str">
        <x:v>No</x:v>
      </x:c>
      <x:c r="M160" s="64" t="n">
        <x:f>'Scoring Model'!$B$4+IF(G160="Yes",'Scoring Model'!$B$5,0)+MIN('Scoring Model'!$B$7,H160/'Scoring Model'!$B$6*'Scoring Model'!$B$7)+MIN('Scoring Model'!$B$8,J160*'Scoring Model'!$B$8)+MIN('Scoring Model'!$B$10,K160*'Scoring Model'!$B$9)</x:f>
        <x:v>10</x:v>
      </x:c>
      <x:c r="N160" t="str">
        <x:f>IF(L160="Yes","Internal / Partner / Excluded",IF(M160&gt;='Scoring Model'!$B$11,"Hot",IF(M160&gt;='Scoring Model'!$B$12,"Warm","Cold")))</x:f>
        <x:v>Cold</x:v>
      </x:c>
    </x:row>
    <x:row r="161">
      <x:c r="A161" t="n">
        <x:v>160</x:v>
      </x:c>
      <x:c r="B161" t="str">
        <x:v>Carolina</x:v>
      </x:c>
      <x:c r="C161" t="str">
        <x:v>Oriolo</x:v>
      </x:c>
      <x:c r="D161" t="str">
        <x:v>carolinaoriolo@inagro.com.ar</x:v>
      </x:c>
      <x:c r="E161" t="str">
        <x:v>Inagro Trading SA</x:v>
      </x:c>
      <x:c r="F161" t="str">
        <x:v>Argentina</x:v>
      </x:c>
      <x:c r="G161" t="str">
        <x:v>No</x:v>
      </x:c>
      <x:c r="H161" t="n">
        <x:v>0</x:v>
      </x:c>
      <x:c r="I161" s="32" t="n">
        <x:v>0</x:v>
      </x:c>
      <x:c r="J161" t="n">
        <x:v>0</x:v>
      </x:c>
      <x:c r="K161" t="n">
        <x:v>0</x:v>
      </x:c>
      <x:c r="L161" t="str">
        <x:v>No</x:v>
      </x:c>
      <x:c r="M161" s="64" t="n">
        <x:f>'Scoring Model'!$B$4+IF(G161="Yes",'Scoring Model'!$B$5,0)+MIN('Scoring Model'!$B$7,H161/'Scoring Model'!$B$6*'Scoring Model'!$B$7)+MIN('Scoring Model'!$B$8,J161*'Scoring Model'!$B$8)+MIN('Scoring Model'!$B$10,K161*'Scoring Model'!$B$9)</x:f>
        <x:v>10</x:v>
      </x:c>
      <x:c r="N161" t="str">
        <x:f>IF(L161="Yes","Internal / Partner / Excluded",IF(M161&gt;='Scoring Model'!$B$11,"Hot",IF(M161&gt;='Scoring Model'!$B$12,"Warm","Cold")))</x:f>
        <x:v>Cold</x:v>
      </x:c>
    </x:row>
    <x:row r="162">
      <x:c r="A162" t="n">
        <x:v>161</x:v>
      </x:c>
      <x:c r="B162" t="str">
        <x:v>Adalberto</x:v>
      </x:c>
      <x:c r="C162" t="str">
        <x:v>Fratini</x:v>
      </x:c>
      <x:c r="D162" t="str">
        <x:v>afratini12@gmail.com</x:v>
      </x:c>
      <x:c r="E162" t="str">
        <x:v>Ing. Agr.</x:v>
      </x:c>
      <x:c r="F162" t="str">
        <x:v>Argentina</x:v>
      </x:c>
      <x:c r="G162" t="str">
        <x:v>No</x:v>
      </x:c>
      <x:c r="H162" t="n">
        <x:v>0</x:v>
      </x:c>
      <x:c r="I162" s="32" t="n">
        <x:v>0</x:v>
      </x:c>
      <x:c r="J162" t="n">
        <x:v>0</x:v>
      </x:c>
      <x:c r="K162" t="n">
        <x:v>0</x:v>
      </x:c>
      <x:c r="L162" t="str">
        <x:v>No</x:v>
      </x:c>
      <x:c r="M162" s="64" t="n">
        <x:f>'Scoring Model'!$B$4+IF(G162="Yes",'Scoring Model'!$B$5,0)+MIN('Scoring Model'!$B$7,H162/'Scoring Model'!$B$6*'Scoring Model'!$B$7)+MIN('Scoring Model'!$B$8,J162*'Scoring Model'!$B$8)+MIN('Scoring Model'!$B$10,K162*'Scoring Model'!$B$9)</x:f>
        <x:v>10</x:v>
      </x:c>
      <x:c r="N162" t="str">
        <x:f>IF(L162="Yes","Internal / Partner / Excluded",IF(M162&gt;='Scoring Model'!$B$11,"Hot",IF(M162&gt;='Scoring Model'!$B$12,"Warm","Cold")))</x:f>
        <x:v>Cold</x:v>
      </x:c>
    </x:row>
    <x:row r="163">
      <x:c r="A163" t="n">
        <x:v>162</x:v>
      </x:c>
      <x:c r="B163" t="str">
        <x:v>Cristian</x:v>
      </x:c>
      <x:c r="C163" t="str">
        <x:v>Nuñez</x:v>
      </x:c>
      <x:c r="D163" t="str">
        <x:v>cnunez@jugos-sa.com.ar</x:v>
      </x:c>
      <x:c r="E163" t="str">
        <x:v>JUGOS SA</x:v>
      </x:c>
      <x:c r="F163" t="str">
        <x:v>Argentina</x:v>
      </x:c>
      <x:c r="G163" t="str">
        <x:v>No</x:v>
      </x:c>
      <x:c r="H163" t="n">
        <x:v>0</x:v>
      </x:c>
      <x:c r="I163" s="32" t="n">
        <x:v>0</x:v>
      </x:c>
      <x:c r="J163" t="n">
        <x:v>0</x:v>
      </x:c>
      <x:c r="K163" t="n">
        <x:v>0</x:v>
      </x:c>
      <x:c r="L163" t="str">
        <x:v>No</x:v>
      </x:c>
      <x:c r="M163" s="64" t="n">
        <x:f>'Scoring Model'!$B$4+IF(G163="Yes",'Scoring Model'!$B$5,0)+MIN('Scoring Model'!$B$7,H163/'Scoring Model'!$B$6*'Scoring Model'!$B$7)+MIN('Scoring Model'!$B$8,J163*'Scoring Model'!$B$8)+MIN('Scoring Model'!$B$10,K163*'Scoring Model'!$B$9)</x:f>
        <x:v>10</x:v>
      </x:c>
      <x:c r="N163" t="str">
        <x:f>IF(L163="Yes","Internal / Partner / Excluded",IF(M163&gt;='Scoring Model'!$B$11,"Hot",IF(M163&gt;='Scoring Model'!$B$12,"Warm","Cold")))</x:f>
        <x:v>Cold</x:v>
      </x:c>
    </x:row>
    <x:row r="164">
      <x:c r="A164" t="n">
        <x:v>163</x:v>
      </x:c>
      <x:c r="B164" t="str">
        <x:v>MARIA CECILIA</x:v>
      </x:c>
      <x:c r="C164" t="str">
        <x:v>NIEVAS</x:v>
      </x:c>
      <x:c r="D164" t="str">
        <x:v>cnievas@familiaschroeder.com</x:v>
      </x:c>
      <x:c r="E164" t="str">
        <x:v>MARIA Y ADELINA S.A.</x:v>
      </x:c>
      <x:c r="F164" t="str">
        <x:v>Argentina</x:v>
      </x:c>
      <x:c r="G164" t="str">
        <x:v>No</x:v>
      </x:c>
      <x:c r="H164" t="n">
        <x:v>0</x:v>
      </x:c>
      <x:c r="I164" s="32" t="n">
        <x:v>0</x:v>
      </x:c>
      <x:c r="J164" t="n">
        <x:v>0</x:v>
      </x:c>
      <x:c r="K164" t="n">
        <x:v>0</x:v>
      </x:c>
      <x:c r="L164" t="str">
        <x:v>No</x:v>
      </x:c>
      <x:c r="M164" s="64" t="n">
        <x:f>'Scoring Model'!$B$4+IF(G164="Yes",'Scoring Model'!$B$5,0)+MIN('Scoring Model'!$B$7,H164/'Scoring Model'!$B$6*'Scoring Model'!$B$7)+MIN('Scoring Model'!$B$8,J164*'Scoring Model'!$B$8)+MIN('Scoring Model'!$B$10,K164*'Scoring Model'!$B$9)</x:f>
        <x:v>10</x:v>
      </x:c>
      <x:c r="N164" t="str">
        <x:f>IF(L164="Yes","Internal / Partner / Excluded",IF(M164&gt;='Scoring Model'!$B$11,"Hot",IF(M164&gt;='Scoring Model'!$B$12,"Warm","Cold")))</x:f>
        <x:v>Cold</x:v>
      </x:c>
    </x:row>
    <x:row r="165">
      <x:c r="A165" t="n">
        <x:v>164</x:v>
      </x:c>
      <x:c r="B165" t="str">
        <x:v>David</x:v>
      </x:c>
      <x:c r="C165" t="str">
        <x:v>Erbojo</x:v>
      </x:c>
      <x:c r="D165" t="str">
        <x:v>david.erbojo@molinosagro.com.ar</x:v>
      </x:c>
      <x:c r="E165" t="str">
        <x:v>Molinos Agro</x:v>
      </x:c>
      <x:c r="F165" t="str">
        <x:v>Argentina</x:v>
      </x:c>
      <x:c r="G165" t="str">
        <x:v>No</x:v>
      </x:c>
      <x:c r="H165" t="n">
        <x:v>0</x:v>
      </x:c>
      <x:c r="I165" s="32" t="n">
        <x:v>0</x:v>
      </x:c>
      <x:c r="J165" t="n">
        <x:v>0</x:v>
      </x:c>
      <x:c r="K165" t="n">
        <x:v>0</x:v>
      </x:c>
      <x:c r="L165" t="str">
        <x:v>No</x:v>
      </x:c>
      <x:c r="M165" s="64" t="n">
        <x:f>'Scoring Model'!$B$4+IF(G165="Yes",'Scoring Model'!$B$5,0)+MIN('Scoring Model'!$B$7,H165/'Scoring Model'!$B$6*'Scoring Model'!$B$7)+MIN('Scoring Model'!$B$8,J165*'Scoring Model'!$B$8)+MIN('Scoring Model'!$B$10,K165*'Scoring Model'!$B$9)</x:f>
        <x:v>10</x:v>
      </x:c>
      <x:c r="N165" t="str">
        <x:f>IF(L165="Yes","Internal / Partner / Excluded",IF(M165&gt;='Scoring Model'!$B$11,"Hot",IF(M165&gt;='Scoring Model'!$B$12,"Warm","Cold")))</x:f>
        <x:v>Cold</x:v>
      </x:c>
    </x:row>
    <x:row r="166">
      <x:c r="A166" t="n">
        <x:v>165</x:v>
      </x:c>
      <x:c r="B166" t="str">
        <x:v>Marina</x:v>
      </x:c>
      <x:c r="C166" t="str">
        <x:v>Bidegain</x:v>
      </x:c>
      <x:c r="D166" t="str">
        <x:v>mbidegain@naturaljuice.com.ar</x:v>
      </x:c>
      <x:c r="E166" t="str">
        <x:v>Natural Juice SA</x:v>
      </x:c>
      <x:c r="F166" t="str">
        <x:v>Argentina</x:v>
      </x:c>
      <x:c r="G166" t="str">
        <x:v>No</x:v>
      </x:c>
      <x:c r="H166" t="n">
        <x:v>0</x:v>
      </x:c>
      <x:c r="I166" s="32" t="n">
        <x:v>0</x:v>
      </x:c>
      <x:c r="J166" t="n">
        <x:v>0</x:v>
      </x:c>
      <x:c r="K166" t="n">
        <x:v>0</x:v>
      </x:c>
      <x:c r="L166" t="str">
        <x:v>No</x:v>
      </x:c>
      <x:c r="M166" s="64" t="n">
        <x:f>'Scoring Model'!$B$4+IF(G166="Yes",'Scoring Model'!$B$5,0)+MIN('Scoring Model'!$B$7,H166/'Scoring Model'!$B$6*'Scoring Model'!$B$7)+MIN('Scoring Model'!$B$8,J166*'Scoring Model'!$B$8)+MIN('Scoring Model'!$B$10,K166*'Scoring Model'!$B$9)</x:f>
        <x:v>10</x:v>
      </x:c>
      <x:c r="N166" t="str">
        <x:f>IF(L166="Yes","Internal / Partner / Excluded",IF(M166&gt;='Scoring Model'!$B$11,"Hot",IF(M166&gt;='Scoring Model'!$B$12,"Warm","Cold")))</x:f>
        <x:v>Cold</x:v>
      </x:c>
    </x:row>
    <x:row r="167">
      <x:c r="A167" t="n">
        <x:v>166</x:v>
      </x:c>
      <x:c r="B167" t="str">
        <x:v>Estefania</x:v>
      </x:c>
      <x:c r="C167" t="str">
        <x:v>Mahler</x:v>
      </x:c>
      <x:c r="D167" t="str">
        <x:v>estefaniam@novarchem.com.ar</x:v>
      </x:c>
      <x:c r="E167" t="str">
        <x:v>NOVARCHEM SA</x:v>
      </x:c>
      <x:c r="F167" t="str">
        <x:v>Argentina</x:v>
      </x:c>
      <x:c r="G167" t="str">
        <x:v>No</x:v>
      </x:c>
      <x:c r="H167" t="n">
        <x:v>0</x:v>
      </x:c>
      <x:c r="I167" s="32" t="n">
        <x:v>0</x:v>
      </x:c>
      <x:c r="J167" t="n">
        <x:v>0</x:v>
      </x:c>
      <x:c r="K167" t="n">
        <x:v>0</x:v>
      </x:c>
      <x:c r="L167" t="str">
        <x:v>No</x:v>
      </x:c>
      <x:c r="M167" s="64" t="n">
        <x:f>'Scoring Model'!$B$4+IF(G167="Yes",'Scoring Model'!$B$5,0)+MIN('Scoring Model'!$B$7,H167/'Scoring Model'!$B$6*'Scoring Model'!$B$7)+MIN('Scoring Model'!$B$8,J167*'Scoring Model'!$B$8)+MIN('Scoring Model'!$B$10,K167*'Scoring Model'!$B$9)</x:f>
        <x:v>10</x:v>
      </x:c>
      <x:c r="N167" t="str">
        <x:f>IF(L167="Yes","Internal / Partner / Excluded",IF(M167&gt;='Scoring Model'!$B$11,"Hot",IF(M167&gt;='Scoring Model'!$B$12,"Warm","Cold")))</x:f>
        <x:v>Cold</x:v>
      </x:c>
    </x:row>
    <x:row r="168">
      <x:c r="A168" t="n">
        <x:v>167</x:v>
      </x:c>
      <x:c r="B168" t="str">
        <x:v>Carolina</x:v>
      </x:c>
      <x:c r="C168" t="str">
        <x:v>Nemeth</x:v>
      </x:c>
      <x:c r="D168" t="str">
        <x:v>carolina.nemeth@nutrisco.com</x:v>
      </x:c>
      <x:c r="E168" t="str">
        <x:v>Nutrisco</x:v>
      </x:c>
      <x:c r="F168" t="str">
        <x:v>Bio Bio, Chile </x:v>
      </x:c>
      <x:c r="G168" t="str">
        <x:v>No</x:v>
      </x:c>
      <x:c r="H168" t="n">
        <x:v>0</x:v>
      </x:c>
      <x:c r="I168" s="32" t="n">
        <x:v>0</x:v>
      </x:c>
      <x:c r="J168" t="n">
        <x:v>0</x:v>
      </x:c>
      <x:c r="K168" t="n">
        <x:v>0</x:v>
      </x:c>
      <x:c r="L168" t="str">
        <x:v>No</x:v>
      </x:c>
      <x:c r="M168" s="64" t="n">
        <x:f>'Scoring Model'!$B$4+IF(G168="Yes",'Scoring Model'!$B$5,0)+MIN('Scoring Model'!$B$7,H168/'Scoring Model'!$B$6*'Scoring Model'!$B$7)+MIN('Scoring Model'!$B$8,J168*'Scoring Model'!$B$8)+MIN('Scoring Model'!$B$10,K168*'Scoring Model'!$B$9)</x:f>
        <x:v>10</x:v>
      </x:c>
      <x:c r="N168" t="str">
        <x:f>IF(L168="Yes","Internal / Partner / Excluded",IF(M168&gt;='Scoring Model'!$B$11,"Hot",IF(M168&gt;='Scoring Model'!$B$12,"Warm","Cold")))</x:f>
        <x:v>Cold</x:v>
      </x:c>
    </x:row>
    <x:row r="169">
      <x:c r="A169" t="n">
        <x:v>168</x:v>
      </x:c>
      <x:c r="B169" t="str">
        <x:v>Francisco</x:v>
      </x:c>
      <x:c r="C169" t="str">
        <x:v>Roger</x:v>
      </x:c>
      <x:c r="D169" t="str">
        <x:v>francisco.roger@nutrisco.com</x:v>
      </x:c>
      <x:c r="E169" t="str">
        <x:v>Nutrisco</x:v>
      </x:c>
      <x:c r="F169" t="str">
        <x:v>Chile</x:v>
      </x:c>
      <x:c r="G169" t="str">
        <x:v>No</x:v>
      </x:c>
      <x:c r="H169" t="n">
        <x:v>0</x:v>
      </x:c>
      <x:c r="I169" s="32" t="n">
        <x:v>0</x:v>
      </x:c>
      <x:c r="J169" t="n">
        <x:v>0</x:v>
      </x:c>
      <x:c r="K169" t="n">
        <x:v>0</x:v>
      </x:c>
      <x:c r="L169" t="str">
        <x:v>No</x:v>
      </x:c>
      <x:c r="M169" s="64" t="n">
        <x:f>'Scoring Model'!$B$4+IF(G169="Yes",'Scoring Model'!$B$5,0)+MIN('Scoring Model'!$B$7,H169/'Scoring Model'!$B$6*'Scoring Model'!$B$7)+MIN('Scoring Model'!$B$8,J169*'Scoring Model'!$B$8)+MIN('Scoring Model'!$B$10,K169*'Scoring Model'!$B$9)</x:f>
        <x:v>10</x:v>
      </x:c>
      <x:c r="N169" t="str">
        <x:f>IF(L169="Yes","Internal / Partner / Excluded",IF(M169&gt;='Scoring Model'!$B$11,"Hot",IF(M169&gt;='Scoring Model'!$B$12,"Warm","Cold")))</x:f>
        <x:v>Cold</x:v>
      </x:c>
    </x:row>
    <x:row r="170">
      <x:c r="A170" t="n">
        <x:v>169</x:v>
      </x:c>
      <x:c r="B170" t="str">
        <x:v>Carolina</x:v>
      </x:c>
      <x:c r="C170" t="str">
        <x:v>Pasluosta</x:v>
      </x:c>
      <x:c r="D170" t="str">
        <x:v>pasluostac@olega.com.ar</x:v>
      </x:c>
      <x:c r="E170" t="str">
        <x:v>Olega</x:v>
      </x:c>
      <x:c r="F170" t="str">
        <x:v>Argentina</x:v>
      </x:c>
      <x:c r="G170" t="str">
        <x:v>No</x:v>
      </x:c>
      <x:c r="H170" t="n">
        <x:v>0</x:v>
      </x:c>
      <x:c r="I170" s="32" t="n">
        <x:v>0</x:v>
      </x:c>
      <x:c r="J170" t="n">
        <x:v>0</x:v>
      </x:c>
      <x:c r="K170" t="n">
        <x:v>0</x:v>
      </x:c>
      <x:c r="L170" t="str">
        <x:v>No</x:v>
      </x:c>
      <x:c r="M170" s="64" t="n">
        <x:f>'Scoring Model'!$B$4+IF(G170="Yes",'Scoring Model'!$B$5,0)+MIN('Scoring Model'!$B$7,H170/'Scoring Model'!$B$6*'Scoring Model'!$B$7)+MIN('Scoring Model'!$B$8,J170*'Scoring Model'!$B$8)+MIN('Scoring Model'!$B$10,K170*'Scoring Model'!$B$9)</x:f>
        <x:v>10</x:v>
      </x:c>
      <x:c r="N170" t="str">
        <x:f>IF(L170="Yes","Internal / Partner / Excluded",IF(M170&gt;='Scoring Model'!$B$11,"Hot",IF(M170&gt;='Scoring Model'!$B$12,"Warm","Cold")))</x:f>
        <x:v>Cold</x:v>
      </x:c>
    </x:row>
    <x:row r="171">
      <x:c r="A171" t="n">
        <x:v>170</x:v>
      </x:c>
      <x:c r="B171" t="str">
        <x:v>DANIELA</x:v>
      </x:c>
      <x:c r="C171" t="str">
        <x:v>RAMSFELDER</x:v>
      </x:c>
      <x:c r="D171" t="str">
        <x:v>dramsfelder@gmail.com</x:v>
      </x:c>
      <x:c r="E171" t="str">
        <x:v>OLEGA </x:v>
      </x:c>
      <x:c r="F171" t="str">
        <x:v>ARGENTINA</x:v>
      </x:c>
      <x:c r="G171" t="str">
        <x:v>No</x:v>
      </x:c>
      <x:c r="H171" t="n">
        <x:v>0</x:v>
      </x:c>
      <x:c r="I171" s="32" t="n">
        <x:v>0</x:v>
      </x:c>
      <x:c r="J171" t="n">
        <x:v>0</x:v>
      </x:c>
      <x:c r="K171" t="n">
        <x:v>0</x:v>
      </x:c>
      <x:c r="L171" t="str">
        <x:v>No</x:v>
      </x:c>
      <x:c r="M171" s="64" t="n">
        <x:f>'Scoring Model'!$B$4+IF(G171="Yes",'Scoring Model'!$B$5,0)+MIN('Scoring Model'!$B$7,H171/'Scoring Model'!$B$6*'Scoring Model'!$B$7)+MIN('Scoring Model'!$B$8,J171*'Scoring Model'!$B$8)+MIN('Scoring Model'!$B$10,K171*'Scoring Model'!$B$9)</x:f>
        <x:v>10</x:v>
      </x:c>
      <x:c r="N171" t="str">
        <x:f>IF(L171="Yes","Internal / Partner / Excluded",IF(M171&gt;='Scoring Model'!$B$11,"Hot",IF(M171&gt;='Scoring Model'!$B$12,"Warm","Cold")))</x:f>
        <x:v>Cold</x:v>
      </x:c>
    </x:row>
    <x:row r="172">
      <x:c r="A172" t="n">
        <x:v>171</x:v>
      </x:c>
      <x:c r="B172" t="str">
        <x:v>Emilio</x:v>
      </x:c>
      <x:c r="C172" t="str">
        <x:v>Giugge</x:v>
      </x:c>
      <x:c r="D172" t="str">
        <x:v>oficinatecnica@olega.com.ar</x:v>
      </x:c>
      <x:c r="E172" t="str">
        <x:v>Olega SA</x:v>
      </x:c>
      <x:c r="F172" t="str">
        <x:v>Argentina</x:v>
      </x:c>
      <x:c r="G172" t="str">
        <x:v>No</x:v>
      </x:c>
      <x:c r="H172" t="n">
        <x:v>0</x:v>
      </x:c>
      <x:c r="I172" s="32" t="n">
        <x:v>0</x:v>
      </x:c>
      <x:c r="J172" t="n">
        <x:v>0</x:v>
      </x:c>
      <x:c r="K172" t="n">
        <x:v>0</x:v>
      </x:c>
      <x:c r="L172" t="str">
        <x:v>No</x:v>
      </x:c>
      <x:c r="M172" s="64" t="n">
        <x:f>'Scoring Model'!$B$4+IF(G172="Yes",'Scoring Model'!$B$5,0)+MIN('Scoring Model'!$B$7,H172/'Scoring Model'!$B$6*'Scoring Model'!$B$7)+MIN('Scoring Model'!$B$8,J172*'Scoring Model'!$B$8)+MIN('Scoring Model'!$B$10,K172*'Scoring Model'!$B$9)</x:f>
        <x:v>10</x:v>
      </x:c>
      <x:c r="N172" t="str">
        <x:f>IF(L172="Yes","Internal / Partner / Excluded",IF(M172&gt;='Scoring Model'!$B$11,"Hot",IF(M172&gt;='Scoring Model'!$B$12,"Warm","Cold")))</x:f>
        <x:v>Cold</x:v>
      </x:c>
    </x:row>
    <x:row r="173">
      <x:c r="A173" t="n">
        <x:v>172</x:v>
      </x:c>
      <x:c r="B173" t="str">
        <x:v>Soledad</x:v>
      </x:c>
      <x:c r="C173" t="str">
        <x:v>Ottonello</x:v>
      </x:c>
      <x:c r="D173" t="str">
        <x:v>rrhhcba@olega.com.ar</x:v>
      </x:c>
      <x:c r="E173" t="str">
        <x:v>Olega SA</x:v>
      </x:c>
      <x:c r="F173" t="str">
        <x:v>Argentina</x:v>
      </x:c>
      <x:c r="G173" t="str">
        <x:v>No</x:v>
      </x:c>
      <x:c r="H173" t="n">
        <x:v>0</x:v>
      </x:c>
      <x:c r="I173" s="32" t="n">
        <x:v>0</x:v>
      </x:c>
      <x:c r="J173" t="n">
        <x:v>0</x:v>
      </x:c>
      <x:c r="K173" t="n">
        <x:v>0</x:v>
      </x:c>
      <x:c r="L173" t="str">
        <x:v>No</x:v>
      </x:c>
      <x:c r="M173" s="64" t="n">
        <x:f>'Scoring Model'!$B$4+IF(G173="Yes",'Scoring Model'!$B$5,0)+MIN('Scoring Model'!$B$7,H173/'Scoring Model'!$B$6*'Scoring Model'!$B$7)+MIN('Scoring Model'!$B$8,J173*'Scoring Model'!$B$8)+MIN('Scoring Model'!$B$10,K173*'Scoring Model'!$B$9)</x:f>
        <x:v>10</x:v>
      </x:c>
      <x:c r="N173" t="str">
        <x:f>IF(L173="Yes","Internal / Partner / Excluded",IF(M173&gt;='Scoring Model'!$B$11,"Hot",IF(M173&gt;='Scoring Model'!$B$12,"Warm","Cold")))</x:f>
        <x:v>Cold</x:v>
      </x:c>
    </x:row>
    <x:row r="174">
      <x:c r="A174" t="n">
        <x:v>173</x:v>
      </x:c>
      <x:c r="B174" t="str">
        <x:v>Gisselle</x:v>
      </x:c>
      <x:c r="C174" t="str">
        <x:v>Carrasco</x:v>
      </x:c>
      <x:c r="D174" t="str">
        <x:v>gisselle.carrasco@nutrisco.com</x:v>
      </x:c>
      <x:c r="E174" t="str">
        <x:v>Orizon</x:v>
      </x:c>
      <x:c r="F174" t="str">
        <x:v>Chile</x:v>
      </x:c>
      <x:c r="G174" t="str">
        <x:v>No</x:v>
      </x:c>
      <x:c r="H174" t="n">
        <x:v>0</x:v>
      </x:c>
      <x:c r="I174" s="32" t="n">
        <x:v>0</x:v>
      </x:c>
      <x:c r="J174" t="n">
        <x:v>0</x:v>
      </x:c>
      <x:c r="K174" t="n">
        <x:v>0</x:v>
      </x:c>
      <x:c r="L174" t="str">
        <x:v>No</x:v>
      </x:c>
      <x:c r="M174" s="64" t="n">
        <x:f>'Scoring Model'!$B$4+IF(G174="Yes",'Scoring Model'!$B$5,0)+MIN('Scoring Model'!$B$7,H174/'Scoring Model'!$B$6*'Scoring Model'!$B$7)+MIN('Scoring Model'!$B$8,J174*'Scoring Model'!$B$8)+MIN('Scoring Model'!$B$10,K174*'Scoring Model'!$B$9)</x:f>
        <x:v>10</x:v>
      </x:c>
      <x:c r="N174" t="str">
        <x:f>IF(L174="Yes","Internal / Partner / Excluded",IF(M174&gt;='Scoring Model'!$B$11,"Hot",IF(M174&gt;='Scoring Model'!$B$12,"Warm","Cold")))</x:f>
        <x:v>Cold</x:v>
      </x:c>
    </x:row>
    <x:row r="175">
      <x:c r="A175" t="n">
        <x:v>174</x:v>
      </x:c>
      <x:c r="B175" t="str">
        <x:v>Larisa</x:v>
      </x:c>
      <x:c r="C175" t="str">
        <x:v>Burgos</x:v>
      </x:c>
      <x:c r="D175" t="str">
        <x:v>larisa.burgos@nutrisco.com</x:v>
      </x:c>
      <x:c r="E175" t="str">
        <x:v>Orizon S.A.</x:v>
      </x:c>
      <x:c r="F175" t="str">
        <x:v>Chile</x:v>
      </x:c>
      <x:c r="G175" t="str">
        <x:v>No</x:v>
      </x:c>
      <x:c r="H175" t="n">
        <x:v>0</x:v>
      </x:c>
      <x:c r="I175" s="32" t="n">
        <x:v>0</x:v>
      </x:c>
      <x:c r="J175" t="n">
        <x:v>0</x:v>
      </x:c>
      <x:c r="K175" t="n">
        <x:v>0</x:v>
      </x:c>
      <x:c r="L175" t="str">
        <x:v>No</x:v>
      </x:c>
      <x:c r="M175" s="64" t="n">
        <x:f>'Scoring Model'!$B$4+IF(G175="Yes",'Scoring Model'!$B$5,0)+MIN('Scoring Model'!$B$7,H175/'Scoring Model'!$B$6*'Scoring Model'!$B$7)+MIN('Scoring Model'!$B$8,J175*'Scoring Model'!$B$8)+MIN('Scoring Model'!$B$10,K175*'Scoring Model'!$B$9)</x:f>
        <x:v>10</x:v>
      </x:c>
      <x:c r="N175" t="str">
        <x:f>IF(L175="Yes","Internal / Partner / Excluded",IF(M175&gt;='Scoring Model'!$B$11,"Hot",IF(M175&gt;='Scoring Model'!$B$12,"Warm","Cold")))</x:f>
        <x:v>Cold</x:v>
      </x:c>
    </x:row>
    <x:row r="176">
      <x:c r="A176" t="n">
        <x:v>175</x:v>
      </x:c>
      <x:c r="B176" t="str">
        <x:v>Marco</x:v>
      </x:c>
      <x:c r="C176" t="str">
        <x:v>Peña</x:v>
      </x:c>
      <x:c r="D176" t="str">
        <x:v>marco.pena@nutrisco.com</x:v>
      </x:c>
      <x:c r="E176" t="str">
        <x:v>Orizon S.A.</x:v>
      </x:c>
      <x:c r="F176" t="str">
        <x:v>Chile</x:v>
      </x:c>
      <x:c r="G176" t="str">
        <x:v>No</x:v>
      </x:c>
      <x:c r="H176" t="n">
        <x:v>0</x:v>
      </x:c>
      <x:c r="I176" s="32" t="n">
        <x:v>0</x:v>
      </x:c>
      <x:c r="J176" t="n">
        <x:v>0</x:v>
      </x:c>
      <x:c r="K176" t="n">
        <x:v>0</x:v>
      </x:c>
      <x:c r="L176" t="str">
        <x:v>No</x:v>
      </x:c>
      <x:c r="M176" s="64" t="n">
        <x:f>'Scoring Model'!$B$4+IF(G176="Yes",'Scoring Model'!$B$5,0)+MIN('Scoring Model'!$B$7,H176/'Scoring Model'!$B$6*'Scoring Model'!$B$7)+MIN('Scoring Model'!$B$8,J176*'Scoring Model'!$B$8)+MIN('Scoring Model'!$B$10,K176*'Scoring Model'!$B$9)</x:f>
        <x:v>10</x:v>
      </x:c>
      <x:c r="N176" t="str">
        <x:f>IF(L176="Yes","Internal / Partner / Excluded",IF(M176&gt;='Scoring Model'!$B$11,"Hot",IF(M176&gt;='Scoring Model'!$B$12,"Warm","Cold")))</x:f>
        <x:v>Cold</x:v>
      </x:c>
    </x:row>
    <x:row r="177">
      <x:c r="A177" t="n">
        <x:v>176</x:v>
      </x:c>
      <x:c r="B177" t="str">
        <x:v>Camila</x:v>
      </x:c>
      <x:c r="C177" t="str">
        <x:v>Amigo</x:v>
      </x:c>
      <x:c r="D177" t="str">
        <x:v>camigo@agro.uba.ar</x:v>
      </x:c>
      <x:c r="E177" t="str">
        <x:v>Peterson solutions</x:v>
      </x:c>
      <x:c r="F177" t="str">
        <x:v>Argentina</x:v>
      </x:c>
      <x:c r="G177" t="str">
        <x:v>No</x:v>
      </x:c>
      <x:c r="H177" t="n">
        <x:v>0</x:v>
      </x:c>
      <x:c r="I177" s="32" t="n">
        <x:v>0</x:v>
      </x:c>
      <x:c r="J177" t="n">
        <x:v>0</x:v>
      </x:c>
      <x:c r="K177" t="n">
        <x:v>0</x:v>
      </x:c>
      <x:c r="L177" t="str">
        <x:v>No</x:v>
      </x:c>
      <x:c r="M177" s="64" t="n">
        <x:f>'Scoring Model'!$B$4+IF(G177="Yes",'Scoring Model'!$B$5,0)+MIN('Scoring Model'!$B$7,H177/'Scoring Model'!$B$6*'Scoring Model'!$B$7)+MIN('Scoring Model'!$B$8,J177*'Scoring Model'!$B$8)+MIN('Scoring Model'!$B$10,K177*'Scoring Model'!$B$9)</x:f>
        <x:v>10</x:v>
      </x:c>
      <x:c r="N177" t="str">
        <x:f>IF(L177="Yes","Internal / Partner / Excluded",IF(M177&gt;='Scoring Model'!$B$11,"Hot",IF(M177&gt;='Scoring Model'!$B$12,"Warm","Cold")))</x:f>
        <x:v>Cold</x:v>
      </x:c>
    </x:row>
    <x:row r="178">
      <x:c r="A178" t="n">
        <x:v>177</x:v>
      </x:c>
      <x:c r="B178" t="str">
        <x:v>Josefina</x:v>
      </x:c>
      <x:c r="C178" t="str">
        <x:v>Bogaard</x:v>
      </x:c>
      <x:c r="D178" t="str">
        <x:v>jbogaard@prosustentia.com</x:v>
      </x:c>
      <x:c r="E178" t="str">
        <x:v>ProSustentia</x:v>
      </x:c>
      <x:c r="F178" t="str">
        <x:v>Argentina</x:v>
      </x:c>
      <x:c r="G178" t="str">
        <x:v>No</x:v>
      </x:c>
      <x:c r="H178" t="n">
        <x:v>0</x:v>
      </x:c>
      <x:c r="I178" s="32" t="n">
        <x:v>0</x:v>
      </x:c>
      <x:c r="J178" t="n">
        <x:v>0</x:v>
      </x:c>
      <x:c r="K178" t="n">
        <x:v>0</x:v>
      </x:c>
      <x:c r="L178" t="str">
        <x:v>No</x:v>
      </x:c>
      <x:c r="M178" s="64" t="n">
        <x:f>'Scoring Model'!$B$4+IF(G178="Yes",'Scoring Model'!$B$5,0)+MIN('Scoring Model'!$B$7,H178/'Scoring Model'!$B$6*'Scoring Model'!$B$7)+MIN('Scoring Model'!$B$8,J178*'Scoring Model'!$B$8)+MIN('Scoring Model'!$B$10,K178*'Scoring Model'!$B$9)</x:f>
        <x:v>10</x:v>
      </x:c>
      <x:c r="N178" t="str">
        <x:f>IF(L178="Yes","Internal / Partner / Excluded",IF(M178&gt;='Scoring Model'!$B$11,"Hot",IF(M178&gt;='Scoring Model'!$B$12,"Warm","Cold")))</x:f>
        <x:v>Cold</x:v>
      </x:c>
    </x:row>
    <x:row r="179">
      <x:c r="A179" t="n">
        <x:v>178</x:v>
      </x:c>
      <x:c r="B179" t="str">
        <x:v>Nadia</x:v>
      </x:c>
      <x:c r="C179" t="str">
        <x:v>Mazzeo</x:v>
      </x:c>
      <x:c r="D179" t="str">
        <x:v>nmazzeo@prosustentia.com</x:v>
      </x:c>
      <x:c r="E179" t="str">
        <x:v>Prosustentia </x:v>
      </x:c>
      <x:c r="F179" t="str">
        <x:v>Argentina </x:v>
      </x:c>
      <x:c r="G179" t="str">
        <x:v>No</x:v>
      </x:c>
      <x:c r="H179" t="n">
        <x:v>0</x:v>
      </x:c>
      <x:c r="I179" s="32" t="n">
        <x:v>0</x:v>
      </x:c>
      <x:c r="J179" t="n">
        <x:v>0</x:v>
      </x:c>
      <x:c r="K179" t="n">
        <x:v>0</x:v>
      </x:c>
      <x:c r="L179" t="str">
        <x:v>No</x:v>
      </x:c>
      <x:c r="M179" s="64" t="n">
        <x:f>'Scoring Model'!$B$4+IF(G179="Yes",'Scoring Model'!$B$5,0)+MIN('Scoring Model'!$B$7,H179/'Scoring Model'!$B$6*'Scoring Model'!$B$7)+MIN('Scoring Model'!$B$8,J179*'Scoring Model'!$B$8)+MIN('Scoring Model'!$B$10,K179*'Scoring Model'!$B$9)</x:f>
        <x:v>10</x:v>
      </x:c>
      <x:c r="N179" t="str">
        <x:f>IF(L179="Yes","Internal / Partner / Excluded",IF(M179&gt;='Scoring Model'!$B$11,"Hot",IF(M179&gt;='Scoring Model'!$B$12,"Warm","Cold")))</x:f>
        <x:v>Cold</x:v>
      </x:c>
    </x:row>
    <x:row r="180">
      <x:c r="A180" t="n">
        <x:v>179</x:v>
      </x:c>
      <x:c r="B180" t="str">
        <x:v>Santiago</x:v>
      </x:c>
      <x:c r="C180" t="str">
        <x:v>Capote Saa</x:v>
      </x:c>
      <x:c r="D180" t="str">
        <x:v>juanpablo@qualabs.com</x:v>
      </x:c>
      <x:c r="E180" t="str">
        <x:v>Qualabs </x:v>
      </x:c>
      <x:c r="F180" t="str">
        <x:v>Uruguay</x:v>
      </x:c>
      <x:c r="G180" t="str">
        <x:v>No</x:v>
      </x:c>
      <x:c r="H180" t="n">
        <x:v>0</x:v>
      </x:c>
      <x:c r="I180" s="32" t="n">
        <x:v>0</x:v>
      </x:c>
      <x:c r="J180" t="n">
        <x:v>0</x:v>
      </x:c>
      <x:c r="K180" t="n">
        <x:v>0</x:v>
      </x:c>
      <x:c r="L180" t="str">
        <x:v>No</x:v>
      </x:c>
      <x:c r="M180" s="64" t="n">
        <x:f>'Scoring Model'!$B$4+IF(G180="Yes",'Scoring Model'!$B$5,0)+MIN('Scoring Model'!$B$7,H180/'Scoring Model'!$B$6*'Scoring Model'!$B$7)+MIN('Scoring Model'!$B$8,J180*'Scoring Model'!$B$8)+MIN('Scoring Model'!$B$10,K180*'Scoring Model'!$B$9)</x:f>
        <x:v>10</x:v>
      </x:c>
      <x:c r="N180" t="str">
        <x:f>IF(L180="Yes","Internal / Partner / Excluded",IF(M180&gt;='Scoring Model'!$B$11,"Hot",IF(M180&gt;='Scoring Model'!$B$12,"Warm","Cold")))</x:f>
        <x:v>Cold</x:v>
      </x:c>
    </x:row>
    <x:row r="181">
      <x:c r="A181" t="n">
        <x:v>180</x:v>
      </x:c>
      <x:c r="B181" t="str">
        <x:v>Carolina</x:v>
      </x:c>
      <x:c r="C181" t="str">
        <x:v>Henriquez</x:v>
      </x:c>
      <x:c r="D181" t="str">
        <x:v>chenriquez@spl.cl</x:v>
      </x:c>
      <x:c r="E181" t="str">
        <x:v>Sociedad Punta de Lobos</x:v>
      </x:c>
      <x:c r="F181" t="str">
        <x:v>Chile</x:v>
      </x:c>
      <x:c r="G181" t="str">
        <x:v>No</x:v>
      </x:c>
      <x:c r="H181" t="n">
        <x:v>0</x:v>
      </x:c>
      <x:c r="I181" s="32" t="n">
        <x:v>0</x:v>
      </x:c>
      <x:c r="J181" t="n">
        <x:v>0</x:v>
      </x:c>
      <x:c r="K181" t="n">
        <x:v>0</x:v>
      </x:c>
      <x:c r="L181" t="str">
        <x:v>No</x:v>
      </x:c>
      <x:c r="M181" s="64" t="n">
        <x:f>'Scoring Model'!$B$4+IF(G181="Yes",'Scoring Model'!$B$5,0)+MIN('Scoring Model'!$B$7,H181/'Scoring Model'!$B$6*'Scoring Model'!$B$7)+MIN('Scoring Model'!$B$8,J181*'Scoring Model'!$B$8)+MIN('Scoring Model'!$B$10,K181*'Scoring Model'!$B$9)</x:f>
        <x:v>10</x:v>
      </x:c>
      <x:c r="N181" t="str">
        <x:f>IF(L181="Yes","Internal / Partner / Excluded",IF(M181&gt;='Scoring Model'!$B$11,"Hot",IF(M181&gt;='Scoring Model'!$B$12,"Warm","Cold")))</x:f>
        <x:v>Cold</x:v>
      </x:c>
    </x:row>
    <x:row r="182">
      <x:c r="A182" t="n">
        <x:v>181</x:v>
      </x:c>
      <x:c r="B182" t="str">
        <x:v>Gimena Paola</x:v>
      </x:c>
      <x:c r="C182" t="str">
        <x:v>MEDINA</x:v>
      </x:c>
      <x:c r="D182" t="str">
        <x:v>gpmedina@tenaris.com</x:v>
      </x:c>
      <x:c r="E182" t="str">
        <x:v>Tenaris</x:v>
      </x:c>
      <x:c r="F182" t="str">
        <x:v>Argentina</x:v>
      </x:c>
      <x:c r="G182" t="str">
        <x:v>No</x:v>
      </x:c>
      <x:c r="H182" t="n">
        <x:v>0</x:v>
      </x:c>
      <x:c r="I182" s="32" t="n">
        <x:v>0</x:v>
      </x:c>
      <x:c r="J182" t="n">
        <x:v>0</x:v>
      </x:c>
      <x:c r="K182" t="n">
        <x:v>0</x:v>
      </x:c>
      <x:c r="L182" t="str">
        <x:v>No</x:v>
      </x:c>
      <x:c r="M182" s="64" t="n">
        <x:f>'Scoring Model'!$B$4+IF(G182="Yes",'Scoring Model'!$B$5,0)+MIN('Scoring Model'!$B$7,H182/'Scoring Model'!$B$6*'Scoring Model'!$B$7)+MIN('Scoring Model'!$B$8,J182*'Scoring Model'!$B$8)+MIN('Scoring Model'!$B$10,K182*'Scoring Model'!$B$9)</x:f>
        <x:v>10</x:v>
      </x:c>
      <x:c r="N182" t="str">
        <x:f>IF(L182="Yes","Internal / Partner / Excluded",IF(M182&gt;='Scoring Model'!$B$11,"Hot",IF(M182&gt;='Scoring Model'!$B$12,"Warm","Cold")))</x:f>
        <x:v>Cold</x:v>
      </x:c>
    </x:row>
    <x:row r="183">
      <x:c r="A183" t="n">
        <x:v>182</x:v>
      </x:c>
      <x:c r="B183" t="str">
        <x:v>fernando</x:v>
      </x:c>
      <x:c r="C183" t="str">
        <x:v>ALOMAR</x:v>
      </x:c>
      <x:c r="D183" t="str">
        <x:v>fernando_alomar@lapampeana.com.ar</x:v>
      </x:c>
      <x:c r="E183" t="str">
        <x:v>TRANSPORTADORA LA PAMPEANA SA</x:v>
      </x:c>
      <x:c r="F183" t="str">
        <x:v>Argentina</x:v>
      </x:c>
      <x:c r="G183" t="str">
        <x:v>No</x:v>
      </x:c>
      <x:c r="H183" t="n">
        <x:v>0</x:v>
      </x:c>
      <x:c r="I183" s="32" t="n">
        <x:v>0</x:v>
      </x:c>
      <x:c r="J183" t="n">
        <x:v>0</x:v>
      </x:c>
      <x:c r="K183" t="n">
        <x:v>0</x:v>
      </x:c>
      <x:c r="L183" t="str">
        <x:v>No</x:v>
      </x:c>
      <x:c r="M183" s="64" t="n">
        <x:f>'Scoring Model'!$B$4+IF(G183="Yes",'Scoring Model'!$B$5,0)+MIN('Scoring Model'!$B$7,H183/'Scoring Model'!$B$6*'Scoring Model'!$B$7)+MIN('Scoring Model'!$B$8,J183*'Scoring Model'!$B$8)+MIN('Scoring Model'!$B$10,K183*'Scoring Model'!$B$9)</x:f>
        <x:v>10</x:v>
      </x:c>
      <x:c r="N183" t="str">
        <x:f>IF(L183="Yes","Internal / Partner / Excluded",IF(M183&gt;='Scoring Model'!$B$11,"Hot",IF(M183&gt;='Scoring Model'!$B$12,"Warm","Cold")))</x:f>
        <x:v>Cold</x:v>
      </x:c>
    </x:row>
    <x:row r="184">
      <x:c r="A184" t="n">
        <x:v>183</x:v>
      </x:c>
      <x:c r="B184" t="str">
        <x:v>María Sofía</x:v>
      </x:c>
      <x:c r="C184" t="str">
        <x:v>López Taguada</x:v>
      </x:c>
      <x:c r="D184" t="str">
        <x:v>sofialopez@vinacobos.com</x:v>
      </x:c>
      <x:c r="E184" t="str">
        <x:v>Viña Cobos SA</x:v>
      </x:c>
      <x:c r="F184" t="str">
        <x:v>Argentina</x:v>
      </x:c>
      <x:c r="G184" t="str">
        <x:v>No</x:v>
      </x:c>
      <x:c r="H184" t="n">
        <x:v>0</x:v>
      </x:c>
      <x:c r="I184" s="32" t="n">
        <x:v>0</x:v>
      </x:c>
      <x:c r="J184" t="n">
        <x:v>0</x:v>
      </x:c>
      <x:c r="K184" t="n">
        <x:v>0</x:v>
      </x:c>
      <x:c r="L184" t="str">
        <x:v>No</x:v>
      </x:c>
      <x:c r="M184" s="64" t="n">
        <x:f>'Scoring Model'!$B$4+IF(G184="Yes",'Scoring Model'!$B$5,0)+MIN('Scoring Model'!$B$7,H184/'Scoring Model'!$B$6*'Scoring Model'!$B$7)+MIN('Scoring Model'!$B$8,J184*'Scoring Model'!$B$8)+MIN('Scoring Model'!$B$10,K184*'Scoring Model'!$B$9)</x:f>
        <x:v>10</x:v>
      </x:c>
      <x:c r="N184" t="str">
        <x:f>IF(L184="Yes","Internal / Partner / Excluded",IF(M184&gt;='Scoring Model'!$B$11,"Hot",IF(M184&gt;='Scoring Model'!$B$12,"Warm","Cold")))</x:f>
        <x:v>Cold</x:v>
      </x:c>
    </x:row>
    <x:row r="185">
      <x:c r="A185" t="n">
        <x:v>184</x:v>
      </x:c>
      <x:c r="B185" t="str">
        <x:v>Micaela</x:v>
      </x:c>
      <x:c r="C185" t="str">
        <x:v>Balbi</x:v>
      </x:c>
      <x:c r="D185" t="str">
        <x:v>micaela.balbi@hotmail.com</x:v>
      </x:c>
      <x:c r="E185" t="str">
        <x:v>Wines of Argentina</x:v>
      </x:c>
      <x:c r="F185" t="str">
        <x:v>Argentina</x:v>
      </x:c>
      <x:c r="G185" t="str">
        <x:v>No</x:v>
      </x:c>
      <x:c r="H185" t="n">
        <x:v>0</x:v>
      </x:c>
      <x:c r="I185" s="32" t="n">
        <x:v>0</x:v>
      </x:c>
      <x:c r="J185" t="n">
        <x:v>0</x:v>
      </x:c>
      <x:c r="K185" t="n">
        <x:v>0</x:v>
      </x:c>
      <x:c r="L185" t="str">
        <x:v>No</x:v>
      </x:c>
      <x:c r="M185" s="64" t="n">
        <x:f>'Scoring Model'!$B$4+IF(G185="Yes",'Scoring Model'!$B$5,0)+MIN('Scoring Model'!$B$7,H185/'Scoring Model'!$B$6*'Scoring Model'!$B$7)+MIN('Scoring Model'!$B$8,J185*'Scoring Model'!$B$8)+MIN('Scoring Model'!$B$10,K185*'Scoring Model'!$B$9)</x:f>
        <x:v>10</x:v>
      </x:c>
      <x:c r="N185" t="str">
        <x:f>IF(L185="Yes","Internal / Partner / Excluded",IF(M185&gt;='Scoring Model'!$B$11,"Hot",IF(M185&gt;='Scoring Model'!$B$12,"Warm","Cold")))</x:f>
        <x:v>Cold</x:v>
      </x:c>
    </x:row>
    <x:row r="186">
      <x:c r="A186" t="n">
        <x:v>185</x:v>
      </x:c>
      <x:c r="B186" t="str">
        <x:v>Martin</x:v>
      </x:c>
      <x:c r="C186" t="str">
        <x:v>Continanza</x:v>
      </x:c>
      <x:c r="D186" t="str">
        <x:v>mcontinanza@controlunion.com</x:v>
      </x:c>
      <x:c r="E186" t="str">
        <x:v>Control Union</x:v>
      </x:c>
      <x:c r="F186" t="str">
        <x:v>Argentina</x:v>
      </x:c>
      <x:c r="G186" t="str">
        <x:v>Yes</x:v>
      </x:c>
      <x:c r="H186" t="n">
        <x:v>52.1</x:v>
      </x:c>
      <x:c r="I186" s="32" t="n">
        <x:v>0.7448</x:v>
      </x:c>
      <x:c r="J186" t="n">
        <x:v>0</x:v>
      </x:c>
      <x:c r="K186" t="n">
        <x:v>0</x:v>
      </x:c>
      <x:c r="L186" t="str">
        <x:v>Yes</x:v>
      </x:c>
      <x:c r="M186" s="64" t="n">
        <x:f>'Scoring Model'!$B$4+IF(G186="Yes",'Scoring Model'!$B$5,0)+MIN('Scoring Model'!$B$7,H186/'Scoring Model'!$B$6*'Scoring Model'!$B$7)+MIN('Scoring Model'!$B$8,J186*'Scoring Model'!$B$8)+MIN('Scoring Model'!$B$10,K186*'Scoring Model'!$B$9)</x:f>
        <x:v>59.77142857142857</x:v>
      </x:c>
      <x:c r="N186" t="str">
        <x:f>IF(L186="Yes","Internal / Partner / Excluded",IF(M186&gt;='Scoring Model'!$B$11,"Hot",IF(M186&gt;='Scoring Model'!$B$12,"Warm","Cold")))</x:f>
        <x:v>Internal / Partner / Excluded</x:v>
      </x:c>
    </x:row>
    <x:row r="187">
      <x:c r="A187" t="n">
        <x:v>186</x:v>
      </x:c>
      <x:c r="B187" t="str">
        <x:v>Daniela</x:v>
      </x:c>
      <x:c r="C187" t="str">
        <x:v>Schiratti</x:v>
      </x:c>
      <x:c r="D187" t="str">
        <x:v>dschiratti@onepeterson.com</x:v>
      </x:c>
      <x:c r="E187" t="str">
        <x:v>Peterson </x:v>
      </x:c>
      <x:c r="F187" t="str">
        <x:v>Argentina </x:v>
      </x:c>
      <x:c r="G187" t="str">
        <x:v>Yes</x:v>
      </x:c>
      <x:c r="H187" t="n">
        <x:v>47.8</x:v>
      </x:c>
      <x:c r="I187" s="32" t="n">
        <x:v>0.6833</x:v>
      </x:c>
      <x:c r="J187" t="n">
        <x:v>0</x:v>
      </x:c>
      <x:c r="K187" t="n">
        <x:v>0</x:v>
      </x:c>
      <x:c r="L187" t="str">
        <x:v>Yes</x:v>
      </x:c>
      <x:c r="M187" s="64" t="n">
        <x:f>'Scoring Model'!$B$4+IF(G187="Yes",'Scoring Model'!$B$5,0)+MIN('Scoring Model'!$B$7,H187/'Scoring Model'!$B$6*'Scoring Model'!$B$7)+MIN('Scoring Model'!$B$8,J187*'Scoring Model'!$B$8)+MIN('Scoring Model'!$B$10,K187*'Scoring Model'!$B$9)</x:f>
        <x:v>57.31428571428572</x:v>
      </x:c>
      <x:c r="N187" t="str">
        <x:f>IF(L187="Yes","Internal / Partner / Excluded",IF(M187&gt;='Scoring Model'!$B$11,"Hot",IF(M187&gt;='Scoring Model'!$B$12,"Warm","Cold")))</x:f>
        <x:v>Internal / Partner / Excluded</x:v>
      </x:c>
    </x:row>
    <x:row r="188">
      <x:c r="A188" t="n">
        <x:v>187</x:v>
      </x:c>
      <x:c r="B188" t="str">
        <x:v>Constanza</x:v>
      </x:c>
      <x:c r="C188" t="str">
        <x:v>Perez Carbonari</x:v>
      </x:c>
      <x:c r="D188" t="str">
        <x:v>cpcarbonari@onepeterson.com</x:v>
      </x:c>
      <x:c r="E188" t="str">
        <x:v>Peterson</x:v>
      </x:c>
      <x:c r="F188" t="str">
        <x:v>Argentina</x:v>
      </x:c>
      <x:c r="G188" t="str">
        <x:v>Yes</x:v>
      </x:c>
      <x:c r="H188" t="n">
        <x:v>47.5</x:v>
      </x:c>
      <x:c r="I188" s="32" t="n">
        <x:v>0.6779</x:v>
      </x:c>
      <x:c r="J188" t="n">
        <x:v>0</x:v>
      </x:c>
      <x:c r="K188" t="n">
        <x:v>0</x:v>
      </x:c>
      <x:c r="L188" t="str">
        <x:v>Yes</x:v>
      </x:c>
      <x:c r="M188" s="64" t="n">
        <x:f>'Scoring Model'!$B$4+IF(G188="Yes",'Scoring Model'!$B$5,0)+MIN('Scoring Model'!$B$7,H188/'Scoring Model'!$B$6*'Scoring Model'!$B$7)+MIN('Scoring Model'!$B$8,J188*'Scoring Model'!$B$8)+MIN('Scoring Model'!$B$10,K188*'Scoring Model'!$B$9)</x:f>
        <x:v>57.142857142857146</x:v>
      </x:c>
      <x:c r="N188" t="str">
        <x:f>IF(L188="Yes","Internal / Partner / Excluded",IF(M188&gt;='Scoring Model'!$B$11,"Hot",IF(M188&gt;='Scoring Model'!$B$12,"Warm","Cold")))</x:f>
        <x:v>Internal / Partner / Excluded</x:v>
      </x:c>
    </x:row>
    <x:row r="189">
      <x:c r="A189" t="n">
        <x:v>188</x:v>
      </x:c>
      <x:c r="B189" t="str">
        <x:v>Gregorio</x:v>
      </x:c>
      <x:c r="C189" t="str">
        <x:v>Trimarco Magnolle</x:v>
      </x:c>
      <x:c r="D189" t="str">
        <x:v>gtrimarco@onepeterson.com</x:v>
      </x:c>
      <x:c r="E189" t="str"/>
      <x:c r="F189" t="str">
        <x:v>Argentina</x:v>
      </x:c>
      <x:c r="G189" t="str">
        <x:v>Yes</x:v>
      </x:c>
      <x:c r="H189" t="n">
        <x:v>46.9</x:v>
      </x:c>
      <x:c r="I189" s="32" t="n">
        <x:v>0.6693</x:v>
      </x:c>
      <x:c r="J189" t="n">
        <x:v>0</x:v>
      </x:c>
      <x:c r="K189" t="n">
        <x:v>0</x:v>
      </x:c>
      <x:c r="L189" t="str">
        <x:v>Yes</x:v>
      </x:c>
      <x:c r="M189" s="64" t="n">
        <x:f>'Scoring Model'!$B$4+IF(G189="Yes",'Scoring Model'!$B$5,0)+MIN('Scoring Model'!$B$7,H189/'Scoring Model'!$B$6*'Scoring Model'!$B$7)+MIN('Scoring Model'!$B$8,J189*'Scoring Model'!$B$8)+MIN('Scoring Model'!$B$10,K189*'Scoring Model'!$B$9)</x:f>
        <x:v>56.8</x:v>
      </x:c>
      <x:c r="N189" t="str">
        <x:f>IF(L189="Yes","Internal / Partner / Excluded",IF(M189&gt;='Scoring Model'!$B$11,"Hot",IF(M189&gt;='Scoring Model'!$B$12,"Warm","Cold")))</x:f>
        <x:v>Internal / Partner / Excluded</x:v>
      </x:c>
    </x:row>
    <x:row r="190">
      <x:c r="A190" t="n">
        <x:v>189</x:v>
      </x:c>
      <x:c r="B190" t="str">
        <x:v>Tomas</x:v>
      </x:c>
      <x:c r="C190" t="str">
        <x:v>Palacios</x:v>
      </x:c>
      <x:c r="D190" t="str">
        <x:v>tpalacios@controlunion.com</x:v>
      </x:c>
      <x:c r="E190" t="str">
        <x:v>CUA</x:v>
      </x:c>
      <x:c r="F190" t="str">
        <x:v>Arg</x:v>
      </x:c>
      <x:c r="G190" t="str">
        <x:v>Yes</x:v>
      </x:c>
      <x:c r="H190" t="n">
        <x:v>45.5</x:v>
      </x:c>
      <x:c r="I190" s="32" t="n">
        <x:v>0.65</x:v>
      </x:c>
      <x:c r="J190" t="n">
        <x:v>0</x:v>
      </x:c>
      <x:c r="K190" t="n">
        <x:v>0</x:v>
      </x:c>
      <x:c r="L190" t="str">
        <x:v>Yes</x:v>
      </x:c>
      <x:c r="M190" s="64" t="n">
        <x:f>'Scoring Model'!$B$4+IF(G190="Yes",'Scoring Model'!$B$5,0)+MIN('Scoring Model'!$B$7,H190/'Scoring Model'!$B$6*'Scoring Model'!$B$7)+MIN('Scoring Model'!$B$8,J190*'Scoring Model'!$B$8)+MIN('Scoring Model'!$B$10,K190*'Scoring Model'!$B$9)</x:f>
        <x:v>56</x:v>
      </x:c>
      <x:c r="N190" t="str">
        <x:f>IF(L190="Yes","Internal / Partner / Excluded",IF(M190&gt;='Scoring Model'!$B$11,"Hot",IF(M190&gt;='Scoring Model'!$B$12,"Warm","Cold")))</x:f>
        <x:v>Internal / Partner / Excluded</x:v>
      </x:c>
    </x:row>
    <x:row r="191">
      <x:c r="A191" t="n">
        <x:v>190</x:v>
      </x:c>
      <x:c r="B191" t="str">
        <x:v>Juan Martin</x:v>
      </x:c>
      <x:c r="C191" t="str">
        <x:v>Giordano</x:v>
      </x:c>
      <x:c r="D191" t="str">
        <x:v>jmgiordano@onepeterson.com</x:v>
      </x:c>
      <x:c r="E191" t="str">
        <x:v>Peterson Solutions</x:v>
      </x:c>
      <x:c r="F191" t="str">
        <x:v>Argentina</x:v>
      </x:c>
      <x:c r="G191" t="str">
        <x:v>Yes</x:v>
      </x:c>
      <x:c r="H191" t="n">
        <x:v>41.8</x:v>
      </x:c>
      <x:c r="I191" s="32" t="n">
        <x:v>0.5974</x:v>
      </x:c>
      <x:c r="J191" t="n">
        <x:v>0</x:v>
      </x:c>
      <x:c r="K191" t="n">
        <x:v>0</x:v>
      </x:c>
      <x:c r="L191" t="str">
        <x:v>Yes</x:v>
      </x:c>
      <x:c r="M191" s="64" t="n">
        <x:f>'Scoring Model'!$B$4+IF(G191="Yes",'Scoring Model'!$B$5,0)+MIN('Scoring Model'!$B$7,H191/'Scoring Model'!$B$6*'Scoring Model'!$B$7)+MIN('Scoring Model'!$B$8,J191*'Scoring Model'!$B$8)+MIN('Scoring Model'!$B$10,K191*'Scoring Model'!$B$9)</x:f>
        <x:v>53.885714285714286</x:v>
      </x:c>
      <x:c r="N191" t="str">
        <x:f>IF(L191="Yes","Internal / Partner / Excluded",IF(M191&gt;='Scoring Model'!$B$11,"Hot",IF(M191&gt;='Scoring Model'!$B$12,"Warm","Cold")))</x:f>
        <x:v>Internal / Partner / Excluded</x:v>
      </x:c>
    </x:row>
    <x:row r="192">
      <x:c r="A192" t="n">
        <x:v>191</x:v>
      </x:c>
      <x:c r="B192" t="str">
        <x:v>Maria</x:v>
      </x:c>
      <x:c r="C192" t="str">
        <x:v>Durelli</x:v>
      </x:c>
      <x:c r="D192" t="str">
        <x:v>mdurelli@controlunion.com</x:v>
      </x:c>
      <x:c r="E192" t="str"/>
      <x:c r="F192" t="str"/>
      <x:c r="G192" t="str">
        <x:v>Yes</x:v>
      </x:c>
      <x:c r="H192" t="n">
        <x:v>39.7</x:v>
      </x:c>
      <x:c r="I192" s="32" t="n">
        <x:v>0.5667</x:v>
      </x:c>
      <x:c r="J192" t="n">
        <x:v>0</x:v>
      </x:c>
      <x:c r="K192" t="n">
        <x:v>0</x:v>
      </x:c>
      <x:c r="L192" t="str">
        <x:v>Yes</x:v>
      </x:c>
      <x:c r="M192" s="64" t="n">
        <x:f>'Scoring Model'!$B$4+IF(G192="Yes",'Scoring Model'!$B$5,0)+MIN('Scoring Model'!$B$7,H192/'Scoring Model'!$B$6*'Scoring Model'!$B$7)+MIN('Scoring Model'!$B$8,J192*'Scoring Model'!$B$8)+MIN('Scoring Model'!$B$10,K192*'Scoring Model'!$B$9)</x:f>
        <x:v>52.68571428571428</x:v>
      </x:c>
      <x:c r="N192" t="str">
        <x:f>IF(L192="Yes","Internal / Partner / Excluded",IF(M192&gt;='Scoring Model'!$B$11,"Hot",IF(M192&gt;='Scoring Model'!$B$12,"Warm","Cold")))</x:f>
        <x:v>Internal / Partner / Excluded</x:v>
      </x:c>
    </x:row>
    <x:row r="193">
      <x:c r="A193" t="n">
        <x:v>192</x:v>
      </x:c>
      <x:c r="B193" t="str">
        <x:v>Asunción</x:v>
      </x:c>
      <x:c r="C193" t="str">
        <x:v>Marquez</x:v>
      </x:c>
      <x:c r="D193" t="str">
        <x:v>asmarquez@onepeterson.com</x:v>
      </x:c>
      <x:c r="E193" t="str">
        <x:v>Peterson Solutions</x:v>
      </x:c>
      <x:c r="F193" t="str">
        <x:v>Argentina</x:v>
      </x:c>
      <x:c r="G193" t="str">
        <x:v>Yes</x:v>
      </x:c>
      <x:c r="H193" t="n">
        <x:v>38</x:v>
      </x:c>
      <x:c r="I193" s="32" t="n">
        <x:v>0.5429</x:v>
      </x:c>
      <x:c r="J193" t="n">
        <x:v>0</x:v>
      </x:c>
      <x:c r="K193" t="n">
        <x:v>0</x:v>
      </x:c>
      <x:c r="L193" t="str">
        <x:v>Yes</x:v>
      </x:c>
      <x:c r="M193" s="64" t="n">
        <x:f>'Scoring Model'!$B$4+IF(G193="Yes",'Scoring Model'!$B$5,0)+MIN('Scoring Model'!$B$7,H193/'Scoring Model'!$B$6*'Scoring Model'!$B$7)+MIN('Scoring Model'!$B$8,J193*'Scoring Model'!$B$8)+MIN('Scoring Model'!$B$10,K193*'Scoring Model'!$B$9)</x:f>
        <x:v>51.71428571428571</x:v>
      </x:c>
      <x:c r="N193" t="str">
        <x:f>IF(L193="Yes","Internal / Partner / Excluded",IF(M193&gt;='Scoring Model'!$B$11,"Hot",IF(M193&gt;='Scoring Model'!$B$12,"Warm","Cold")))</x:f>
        <x:v>Internal / Partner / Excluded</x:v>
      </x:c>
    </x:row>
    <x:row r="194">
      <x:c r="A194" t="n">
        <x:v>193</x:v>
      </x:c>
      <x:c r="B194" t="str">
        <x:v>Lucila</x:v>
      </x:c>
      <x:c r="C194" t="str">
        <x:v>Carbini (OnePeterson)</x:v>
      </x:c>
      <x:c r="D194" t="str">
        <x:v>lcarbini2@onepeterson.com</x:v>
      </x:c>
      <x:c r="E194" t="str">
        <x:v>Peterson</x:v>
      </x:c>
      <x:c r="F194" t="str">
        <x:v>Argentina</x:v>
      </x:c>
      <x:c r="G194" t="str">
        <x:v>Yes</x:v>
      </x:c>
      <x:c r="H194" t="n">
        <x:v>36.6</x:v>
      </x:c>
      <x:c r="I194" s="32" t="n">
        <x:v>0.5233</x:v>
      </x:c>
      <x:c r="J194" t="n">
        <x:v>0</x:v>
      </x:c>
      <x:c r="K194" t="n">
        <x:v>0</x:v>
      </x:c>
      <x:c r="L194" t="str">
        <x:v>Yes</x:v>
      </x:c>
      <x:c r="M194" s="64" t="n">
        <x:f>'Scoring Model'!$B$4+IF(G194="Yes",'Scoring Model'!$B$5,0)+MIN('Scoring Model'!$B$7,H194/'Scoring Model'!$B$6*'Scoring Model'!$B$7)+MIN('Scoring Model'!$B$8,J194*'Scoring Model'!$B$8)+MIN('Scoring Model'!$B$10,K194*'Scoring Model'!$B$9)</x:f>
        <x:v>50.91428571428572</x:v>
      </x:c>
      <x:c r="N194" t="str">
        <x:f>IF(L194="Yes","Internal / Partner / Excluded",IF(M194&gt;='Scoring Model'!$B$11,"Hot",IF(M194&gt;='Scoring Model'!$B$12,"Warm","Cold")))</x:f>
        <x:v>Internal / Partner / Excluded</x:v>
      </x:c>
    </x:row>
    <x:row r="195">
      <x:c r="A195" t="n">
        <x:v>194</x:v>
      </x:c>
      <x:c r="B195" t="str">
        <x:v>Adolfo</x:v>
      </x:c>
      <x:c r="C195" t="str">
        <x:v>BOLL MORELLI</x:v>
      </x:c>
      <x:c r="D195" t="str">
        <x:v>aboll@onepeterson.com</x:v>
      </x:c>
      <x:c r="E195" t="str">
        <x:v>Peterson Solutions </x:v>
      </x:c>
      <x:c r="F195" t="str">
        <x:v>Argentina</x:v>
      </x:c>
      <x:c r="G195" t="str">
        <x:v>Yes</x:v>
      </x:c>
      <x:c r="H195" t="n">
        <x:v>24.8</x:v>
      </x:c>
      <x:c r="I195" s="32" t="n">
        <x:v>0.3543</x:v>
      </x:c>
      <x:c r="J195" t="n">
        <x:v>0</x:v>
      </x:c>
      <x:c r="K195" t="n">
        <x:v>0</x:v>
      </x:c>
      <x:c r="L195" t="str">
        <x:v>Yes</x:v>
      </x:c>
      <x:c r="M195" s="64" t="n">
        <x:f>'Scoring Model'!$B$4+IF(G195="Yes",'Scoring Model'!$B$5,0)+MIN('Scoring Model'!$B$7,H195/'Scoring Model'!$B$6*'Scoring Model'!$B$7)+MIN('Scoring Model'!$B$8,J195*'Scoring Model'!$B$8)+MIN('Scoring Model'!$B$10,K195*'Scoring Model'!$B$9)</x:f>
        <x:v>44.17142857142857</x:v>
      </x:c>
      <x:c r="N195" t="str">
        <x:f>IF(L195="Yes","Internal / Partner / Excluded",IF(M195&gt;='Scoring Model'!$B$11,"Hot",IF(M195&gt;='Scoring Model'!$B$12,"Warm","Cold")))</x:f>
        <x:v>Internal / Partner / Excluded</x:v>
      </x:c>
    </x:row>
    <x:row r="196">
      <x:c r="A196" t="n">
        <x:v>195</x:v>
      </x:c>
      <x:c r="B196" t="str">
        <x:v>Carlos</x:v>
      </x:c>
      <x:c r="C196" t="str">
        <x:v>Picco</x:v>
      </x:c>
      <x:c r="D196" t="str">
        <x:v>cpicco@controlunion.com</x:v>
      </x:c>
      <x:c r="E196" t="str">
        <x:v>Control Union Paraguay</x:v>
      </x:c>
      <x:c r="F196" t="str">
        <x:v>Paraguay</x:v>
      </x:c>
      <x:c r="G196" t="str">
        <x:v>Yes</x:v>
      </x:c>
      <x:c r="H196" t="n">
        <x:v>23.1</x:v>
      </x:c>
      <x:c r="I196" s="32" t="n">
        <x:v>0.33</x:v>
      </x:c>
      <x:c r="J196" t="n">
        <x:v>0</x:v>
      </x:c>
      <x:c r="K196" t="n">
        <x:v>0</x:v>
      </x:c>
      <x:c r="L196" t="str">
        <x:v>Yes</x:v>
      </x:c>
      <x:c r="M196" s="64" t="n">
        <x:f>'Scoring Model'!$B$4+IF(G196="Yes",'Scoring Model'!$B$5,0)+MIN('Scoring Model'!$B$7,H196/'Scoring Model'!$B$6*'Scoring Model'!$B$7)+MIN('Scoring Model'!$B$8,J196*'Scoring Model'!$B$8)+MIN('Scoring Model'!$B$10,K196*'Scoring Model'!$B$9)</x:f>
        <x:v>43.2</x:v>
      </x:c>
      <x:c r="N196" t="str">
        <x:f>IF(L196="Yes","Internal / Partner / Excluded",IF(M196&gt;='Scoring Model'!$B$11,"Hot",IF(M196&gt;='Scoring Model'!$B$12,"Warm","Cold")))</x:f>
        <x:v>Internal / Partner / Excluded</x:v>
      </x:c>
    </x:row>
    <x:row r="197">
      <x:c r="A197" t="n">
        <x:v>196</x:v>
      </x:c>
      <x:c r="B197" t="str">
        <x:v>María Cecilia</x:v>
      </x:c>
      <x:c r="C197" t="str">
        <x:v>Fernandez</x:v>
      </x:c>
      <x:c r="D197" t="str">
        <x:v>cfernandez@onepeterson.com</x:v>
      </x:c>
      <x:c r="E197" t="str">
        <x:v>Peterson Solutions</x:v>
      </x:c>
      <x:c r="F197" t="str">
        <x:v>Argentina</x:v>
      </x:c>
      <x:c r="G197" t="str">
        <x:v>Yes</x:v>
      </x:c>
      <x:c r="H197" t="n">
        <x:v>21.1</x:v>
      </x:c>
      <x:c r="I197" s="32" t="n">
        <x:v>0.3012</x:v>
      </x:c>
      <x:c r="J197" t="n">
        <x:v>0</x:v>
      </x:c>
      <x:c r="K197" t="n">
        <x:v>0</x:v>
      </x:c>
      <x:c r="L197" t="str">
        <x:v>Yes</x:v>
      </x:c>
      <x:c r="M197" s="64" t="n">
        <x:f>'Scoring Model'!$B$4+IF(G197="Yes",'Scoring Model'!$B$5,0)+MIN('Scoring Model'!$B$7,H197/'Scoring Model'!$B$6*'Scoring Model'!$B$7)+MIN('Scoring Model'!$B$8,J197*'Scoring Model'!$B$8)+MIN('Scoring Model'!$B$10,K197*'Scoring Model'!$B$9)</x:f>
        <x:v>42.05714285714286</x:v>
      </x:c>
      <x:c r="N197" t="str">
        <x:f>IF(L197="Yes","Internal / Partner / Excluded",IF(M197&gt;='Scoring Model'!$B$11,"Hot",IF(M197&gt;='Scoring Model'!$B$12,"Warm","Cold")))</x:f>
        <x:v>Internal / Partner / Excluded</x:v>
      </x:c>
    </x:row>
    <x:row r="198">
      <x:c r="A198" t="n">
        <x:v>197</x:v>
      </x:c>
      <x:c r="B198" t="str">
        <x:v>Lucila</x:v>
      </x:c>
      <x:c r="C198" t="str">
        <x:v>Rey Minervini</x:v>
      </x:c>
      <x:c r="D198" t="str">
        <x:v>lrey@controlunion.com</x:v>
      </x:c>
      <x:c r="E198" t="str"/>
      <x:c r="F198" t="str"/>
      <x:c r="G198" t="str">
        <x:v>Yes</x:v>
      </x:c>
      <x:c r="H198" t="n">
        <x:v>18.4</x:v>
      </x:c>
      <x:c r="I198" s="32" t="n">
        <x:v>0.2626</x:v>
      </x:c>
      <x:c r="J198" t="n">
        <x:v>0</x:v>
      </x:c>
      <x:c r="K198" t="n">
        <x:v>0</x:v>
      </x:c>
      <x:c r="L198" t="str">
        <x:v>Yes</x:v>
      </x:c>
      <x:c r="M198" s="64" t="n">
        <x:f>'Scoring Model'!$B$4+IF(G198="Yes",'Scoring Model'!$B$5,0)+MIN('Scoring Model'!$B$7,H198/'Scoring Model'!$B$6*'Scoring Model'!$B$7)+MIN('Scoring Model'!$B$8,J198*'Scoring Model'!$B$8)+MIN('Scoring Model'!$B$10,K198*'Scoring Model'!$B$9)</x:f>
        <x:v>40.51428571428571</x:v>
      </x:c>
      <x:c r="N198" t="str">
        <x:f>IF(L198="Yes","Internal / Partner / Excluded",IF(M198&gt;='Scoring Model'!$B$11,"Hot",IF(M198&gt;='Scoring Model'!$B$12,"Warm","Cold")))</x:f>
        <x:v>Internal / Partner / Excluded</x:v>
      </x:c>
    </x:row>
    <x:row r="199">
      <x:c r="A199" t="n">
        <x:v>198</x:v>
      </x:c>
      <x:c r="B199" t="str">
        <x:v>Maria Clara</x:v>
      </x:c>
      <x:c r="C199" t="str">
        <x:v>Lissarrague (OnePeterson)</x:v>
      </x:c>
      <x:c r="D199" t="str">
        <x:v>clissarrague@onepeterson.com</x:v>
      </x:c>
      <x:c r="E199" t="str">
        <x:v>Peterson Solutions</x:v>
      </x:c>
      <x:c r="F199" t="str"/>
      <x:c r="G199" t="str">
        <x:v>Yes</x:v>
      </x:c>
      <x:c r="H199" t="n">
        <x:v>1.4</x:v>
      </x:c>
      <x:c r="I199" s="32" t="n">
        <x:v>0.0193</x:v>
      </x:c>
      <x:c r="J199" t="n">
        <x:v>0</x:v>
      </x:c>
      <x:c r="K199" t="n">
        <x:v>0</x:v>
      </x:c>
      <x:c r="L199" t="str">
        <x:v>Yes</x:v>
      </x:c>
      <x:c r="M199" s="64" t="n">
        <x:f>'Scoring Model'!$B$4+IF(G199="Yes",'Scoring Model'!$B$5,0)+MIN('Scoring Model'!$B$7,H199/'Scoring Model'!$B$6*'Scoring Model'!$B$7)+MIN('Scoring Model'!$B$8,J199*'Scoring Model'!$B$8)+MIN('Scoring Model'!$B$10,K199*'Scoring Model'!$B$9)</x:f>
        <x:v>30.8</x:v>
      </x:c>
      <x:c r="N199" t="str">
        <x:f>IF(L199="Yes","Internal / Partner / Excluded",IF(M199&gt;='Scoring Model'!$B$11,"Hot",IF(M199&gt;='Scoring Model'!$B$12,"Warm","Cold")))</x:f>
        <x:v>Internal / Partner / Excluded</x:v>
      </x:c>
    </x:row>
    <x:row r="200">
      <x:c r="A200" t="n">
        <x:v>199</x:v>
      </x:c>
      <x:c r="B200" t="str">
        <x:v>Soklyna</x:v>
      </x:c>
      <x:c r="C200" t="str">
        <x:v>Khun</x:v>
      </x:c>
      <x:c r="D200" t="str">
        <x:v>skhun@controlunion.com</x:v>
      </x:c>
      <x:c r="E200" t="str"/>
      <x:c r="F200" t="str">
        <x:v>Cambodia</x:v>
      </x:c>
      <x:c r="G200" t="str">
        <x:v>No</x:v>
      </x:c>
      <x:c r="H200" t="n">
        <x:v>0</x:v>
      </x:c>
      <x:c r="I200" s="32" t="n">
        <x:v>0</x:v>
      </x:c>
      <x:c r="J200" t="n">
        <x:v>0</x:v>
      </x:c>
      <x:c r="K200" t="n">
        <x:v>0</x:v>
      </x:c>
      <x:c r="L200" t="str">
        <x:v>Yes</x:v>
      </x:c>
      <x:c r="M200" s="64" t="n">
        <x:f>'Scoring Model'!$B$4+IF(G200="Yes",'Scoring Model'!$B$5,0)+MIN('Scoring Model'!$B$7,H200/'Scoring Model'!$B$6*'Scoring Model'!$B$7)+MIN('Scoring Model'!$B$8,J200*'Scoring Model'!$B$8)+MIN('Scoring Model'!$B$10,K200*'Scoring Model'!$B$9)</x:f>
        <x:v>10</x:v>
      </x:c>
      <x:c r="N200" t="str">
        <x:f>IF(L200="Yes","Internal / Partner / Excluded",IF(M200&gt;='Scoring Model'!$B$11,"Hot",IF(M200&gt;='Scoring Model'!$B$12,"Warm","Cold")))</x:f>
        <x:v>Internal / Partner / Excluded</x:v>
      </x:c>
    </x:row>
    <x:row r="201">
      <x:c r="A201" t="n">
        <x:v>200</x:v>
      </x:c>
      <x:c r="B201" t="str">
        <x:v>Micaela</x:v>
      </x:c>
      <x:c r="C201" t="str">
        <x:v>Albornoz</x:v>
      </x:c>
      <x:c r="D201" t="str">
        <x:v>malbornoz@controlunion.com</x:v>
      </x:c>
      <x:c r="E201" t="str">
        <x:v>Control Union</x:v>
      </x:c>
      <x:c r="F201" t="str">
        <x:v>Argentina</x:v>
      </x:c>
      <x:c r="G201" t="str">
        <x:v>No</x:v>
      </x:c>
      <x:c r="H201" t="n">
        <x:v>0</x:v>
      </x:c>
      <x:c r="I201" s="32" t="n">
        <x:v>0</x:v>
      </x:c>
      <x:c r="J201" t="n">
        <x:v>0</x:v>
      </x:c>
      <x:c r="K201" t="n">
        <x:v>0</x:v>
      </x:c>
      <x:c r="L201" t="str">
        <x:v>Yes</x:v>
      </x:c>
      <x:c r="M201" s="64" t="n">
        <x:f>'Scoring Model'!$B$4+IF(G201="Yes",'Scoring Model'!$B$5,0)+MIN('Scoring Model'!$B$7,H201/'Scoring Model'!$B$6*'Scoring Model'!$B$7)+MIN('Scoring Model'!$B$8,J201*'Scoring Model'!$B$8)+MIN('Scoring Model'!$B$10,K201*'Scoring Model'!$B$9)</x:f>
        <x:v>10</x:v>
      </x:c>
      <x:c r="N201" t="str">
        <x:f>IF(L201="Yes","Internal / Partner / Excluded",IF(M201&gt;='Scoring Model'!$B$11,"Hot",IF(M201&gt;='Scoring Model'!$B$12,"Warm","Cold")))</x:f>
        <x:v>Internal / Partner / Excluded</x:v>
      </x:c>
    </x:row>
    <x:row r="202">
      <x:c r="A202" t="n">
        <x:v>201</x:v>
      </x:c>
      <x:c r="B202" t="str">
        <x:v>Justo</x:v>
      </x:c>
      <x:c r="C202" t="str">
        <x:v>Fernández Vidal</x:v>
      </x:c>
      <x:c r="D202" t="str">
        <x:v>justo.vidal@controlunion.com</x:v>
      </x:c>
      <x:c r="E202" t="str">
        <x:v>Control Union </x:v>
      </x:c>
      <x:c r="F202" t="str">
        <x:v>Argentina</x:v>
      </x:c>
      <x:c r="G202" t="str">
        <x:v>No</x:v>
      </x:c>
      <x:c r="H202" t="n">
        <x:v>0</x:v>
      </x:c>
      <x:c r="I202" s="32" t="n">
        <x:v>0</x:v>
      </x:c>
      <x:c r="J202" t="n">
        <x:v>0</x:v>
      </x:c>
      <x:c r="K202" t="n">
        <x:v>0</x:v>
      </x:c>
      <x:c r="L202" t="str">
        <x:v>Yes</x:v>
      </x:c>
      <x:c r="M202" s="64" t="n">
        <x:f>'Scoring Model'!$B$4+IF(G202="Yes",'Scoring Model'!$B$5,0)+MIN('Scoring Model'!$B$7,H202/'Scoring Model'!$B$6*'Scoring Model'!$B$7)+MIN('Scoring Model'!$B$8,J202*'Scoring Model'!$B$8)+MIN('Scoring Model'!$B$10,K202*'Scoring Model'!$B$9)</x:f>
        <x:v>10</x:v>
      </x:c>
      <x:c r="N202" t="str">
        <x:f>IF(L202="Yes","Internal / Partner / Excluded",IF(M202&gt;='Scoring Model'!$B$11,"Hot",IF(M202&gt;='Scoring Model'!$B$12,"Warm","Cold")))</x:f>
        <x:v>Internal / Partner / Excluded</x:v>
      </x:c>
    </x:row>
    <x:row r="203">
      <x:c r="A203" t="n">
        <x:v>202</x:v>
      </x:c>
      <x:c r="B203" t="str">
        <x:v>Maria</x:v>
      </x:c>
      <x:c r="C203" t="str">
        <x:v>Gaitan</x:v>
      </x:c>
      <x:c r="D203" t="str">
        <x:v>mgaitan@onepeterson.com</x:v>
      </x:c>
      <x:c r="E203" t="str">
        <x:v>Peterson Solutions</x:v>
      </x:c>
      <x:c r="F203" t="str">
        <x:v>Colombia</x:v>
      </x:c>
      <x:c r="G203" t="str">
        <x:v>No</x:v>
      </x:c>
      <x:c r="H203" t="n">
        <x:v>0</x:v>
      </x:c>
      <x:c r="I203" s="32" t="n">
        <x:v>0</x:v>
      </x:c>
      <x:c r="J203" t="n">
        <x:v>0</x:v>
      </x:c>
      <x:c r="K203" t="n">
        <x:v>0</x:v>
      </x:c>
      <x:c r="L203" t="str">
        <x:v>Yes</x:v>
      </x:c>
      <x:c r="M203" s="64" t="n">
        <x:f>'Scoring Model'!$B$4+IF(G203="Yes",'Scoring Model'!$B$5,0)+MIN('Scoring Model'!$B$7,H203/'Scoring Model'!$B$6*'Scoring Model'!$B$7)+MIN('Scoring Model'!$B$8,J203*'Scoring Model'!$B$8)+MIN('Scoring Model'!$B$10,K203*'Scoring Model'!$B$9)</x:f>
        <x:v>10</x:v>
      </x:c>
      <x:c r="N203" t="str">
        <x:f>IF(L203="Yes","Internal / Partner / Excluded",IF(M203&gt;='Scoring Model'!$B$11,"Hot",IF(M203&gt;='Scoring Model'!$B$12,"Warm","Cold")))</x:f>
        <x:v>Internal / Partner / Excluded</x:v>
      </x:c>
    </x:row>
  </x:sheetData>
  <x:conditionalFormatting sqref="M2:M2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{DDAE394B-17BD-4976-5492-6B80AF2ED20A}</x14:id>
        </x:ext>
      </x:extLst>
    </x:cfRule>
  </x:conditionalFormatting>
  <x:conditionalFormatting sqref="N2:N203">
    <x:cfRule type="expression" dxfId="0" priority="2">
      <x:formula>N2="Hot"</x:formula>
    </x:cfRule>
    <x:cfRule type="expression" dxfId="1" priority="3">
      <x:formula>N2="Warm"</x:formula>
    </x:cfRule>
    <x:cfRule type="expression" dxfId="2" priority="4">
      <x:formula>N2="Cold"</x:formula>
    </x:cfRule>
    <x:cfRule type="expression" dxfId="3" priority="5">
      <x:formula>N2="Internal / Partner / Excluded"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919894f06644d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DAE394B-17BD-4976-5492-6B80AF2ED20A}">
            <x14:dataBar gradient="1">
              <x14:cfvo type="min"/>
              <x14:cfvo type="max"/>
              <x14:fillColor rgb="FFA02B93"/>
            </x14:dataBar>
          </x14:cfRule>
          <xm:sqref>M2:M203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30" t="str">
        <x:v>Nombre de registro</x:v>
      </x:c>
      <x:c r="B1" s="30" t="str">
        <x:v>Apellidos de registro</x:v>
      </x:c>
      <x:c r="C1" s="30" t="str">
        <x:v>Correo electrónico de registro</x:v>
      </x:c>
      <x:c r="D1" s="30" t="str">
        <x:v>Hora de registro</x:v>
      </x:c>
      <x:c r="E1" s="30" t="str">
        <x:v>Estado del registro</x:v>
      </x:c>
      <x:c r="F1" s="30" t="str">
        <x:v>Organización</x:v>
      </x:c>
      <x:c r="G1" s="30" t="str">
        <x:v>País o región</x:v>
      </x:c>
    </x:row>
    <x:row r="2">
      <x:c r="A2" t="str">
        <x:v>Alexandra</x:v>
      </x:c>
      <x:c r="B2" t="str">
        <x:v>Blandon</x:v>
      </x:c>
      <x:c r="C2" t="str">
        <x:v>alexandra.blandon@asociacionazucarera.net</x:v>
      </x:c>
      <x:c r="D2" t="str">
        <x:v>8/12/26, 1:59:36 PM</x:v>
      </x:c>
      <x:c r="E2" t="str">
        <x:v>Registrado</x:v>
      </x:c>
      <x:c r="F2" t="str">
        <x:v>Fundazucar</x:v>
      </x:c>
      <x:c r="G2" t="str">
        <x:v>El Salvador</x:v>
      </x:c>
    </x:row>
    <x:row r="3">
      <x:c r="A3" t="str">
        <x:v>Melissa</x:v>
      </x:c>
      <x:c r="B3" t="str">
        <x:v>Mendez</x:v>
      </x:c>
      <x:c r="C3" t="str">
        <x:v>melissabeatrizm@gmail.com</x:v>
      </x:c>
      <x:c r="D3" t="str">
        <x:v>8/12/26, 2:03:43 PM</x:v>
      </x:c>
      <x:c r="E3" t="str">
        <x:v>Registrado</x:v>
      </x:c>
      <x:c r="F3" t="str">
        <x:v>Fundazúcar</x:v>
      </x:c>
      <x:c r="G3" t="str">
        <x:v>El Salvador</x:v>
      </x:c>
    </x:row>
    <x:row r="4">
      <x:c r="A4" t="str">
        <x:v>Agustina</x:v>
      </x:c>
      <x:c r="B4" t="str">
        <x:v>Espinola</x:v>
      </x:c>
      <x:c r="C4" t="str">
        <x:v>aespinola@westons-cider.co.uk</x:v>
      </x:c>
      <x:c r="D4" t="str">
        <x:v>8/12/26, 4:09:06 PM</x:v>
      </x:c>
      <x:c r="E4" t="str">
        <x:v>Registrado</x:v>
      </x:c>
      <x:c r="F4" t="str">
        <x:v>Westons Cider</x:v>
      </x:c>
      <x:c r="G4" t="str">
        <x:v>United Kingdom</x:v>
      </x:c>
    </x:row>
    <x:row r="5">
      <x:c r="A5" t="str">
        <x:v>Nadia</x:v>
      </x:c>
      <x:c r="B5" t="str">
        <x:v>Mazzeo</x:v>
      </x:c>
      <x:c r="C5" t="str">
        <x:v>nmazzeo@prosustentia.com</x:v>
      </x:c>
      <x:c r="D5" t="str">
        <x:v>8/12/26, 7:54:11 PM</x:v>
      </x:c>
      <x:c r="E5" t="str">
        <x:v>Registrado</x:v>
      </x:c>
      <x:c r="F5" t="str">
        <x:v>Prosustentia </x:v>
      </x:c>
      <x:c r="G5" t="str">
        <x:v>Argentina </x:v>
      </x:c>
    </x:row>
    <x:row r="6">
      <x:c r="A6" t="str">
        <x:v>Martin</x:v>
      </x:c>
      <x:c r="B6" t="str">
        <x:v>Continanza</x:v>
      </x:c>
      <x:c r="C6" t="str">
        <x:v>mcontinanza@controlunion.com</x:v>
      </x:c>
      <x:c r="D6" t="str">
        <x:v>8/12/26, 10:20:19 PM</x:v>
      </x:c>
      <x:c r="E6" t="str">
        <x:v>Registrado</x:v>
      </x:c>
      <x:c r="F6" t="str">
        <x:v>Control Union</x:v>
      </x:c>
      <x:c r="G6" t="str">
        <x:v>Argentina</x:v>
      </x:c>
    </x:row>
    <x:row r="7">
      <x:c r="A7" t="str">
        <x:v>Josefina</x:v>
      </x:c>
      <x:c r="B7" t="str">
        <x:v>Bogaard</x:v>
      </x:c>
      <x:c r="C7" t="str">
        <x:v>jbogaard@prosustentia.com</x:v>
      </x:c>
      <x:c r="D7" t="str">
        <x:v>8/13/26, 9:00:34 AM</x:v>
      </x:c>
      <x:c r="E7" t="str">
        <x:v>Registrado</x:v>
      </x:c>
      <x:c r="F7" t="str">
        <x:v>ProSustentia</x:v>
      </x:c>
      <x:c r="G7" t="str">
        <x:v>Argentina</x:v>
      </x:c>
    </x:row>
    <x:row r="8">
      <x:c r="A8" t="str">
        <x:v>Santiago</x:v>
      </x:c>
      <x:c r="B8" t="str">
        <x:v>Capote Saa</x:v>
      </x:c>
      <x:c r="C8" t="str">
        <x:v>juanpablo@qualabs.com</x:v>
      </x:c>
      <x:c r="D8" t="str">
        <x:v>8/13/26, 2:37:30 PM</x:v>
      </x:c>
      <x:c r="E8" t="str">
        <x:v>Registrado</x:v>
      </x:c>
      <x:c r="F8" t="str">
        <x:v>Qualabs </x:v>
      </x:c>
      <x:c r="G8" t="str">
        <x:v>Uruguay</x:v>
      </x:c>
    </x:row>
    <x:row r="9">
      <x:c r="A9" t="str">
        <x:v>Cecilia</x:v>
      </x:c>
      <x:c r="B9" t="str">
        <x:v>Albanesi</x:v>
      </x:c>
      <x:c r="C9" t="str">
        <x:v>ceci.albanesi@gmail.com</x:v>
      </x:c>
      <x:c r="D9" t="str">
        <x:v>8/13/26, 8:30:03 PM</x:v>
      </x:c>
      <x:c r="E9" t="str">
        <x:v>Registrado</x:v>
      </x:c>
      <x:c r="F9" t="str">
        <x:v>freelance</x:v>
      </x:c>
      <x:c r="G9" t="str">
        <x:v>Argentina</x:v>
      </x:c>
    </x:row>
    <x:row r="10">
      <x:c r="A10" t="str">
        <x:v>Camila</x:v>
      </x:c>
      <x:c r="B10" t="str">
        <x:v>Amigo</x:v>
      </x:c>
      <x:c r="C10" t="str">
        <x:v>camigo@agro.uba.ar</x:v>
      </x:c>
      <x:c r="D10" t="str">
        <x:v>8/14/26, 2:50:30 PM</x:v>
      </x:c>
      <x:c r="E10" t="str">
        <x:v>Registrado</x:v>
      </x:c>
      <x:c r="F10" t="str">
        <x:v>Peterson solutions</x:v>
      </x:c>
      <x:c r="G10" t="str">
        <x:v>Argentina</x:v>
      </x:c>
    </x:row>
    <x:row r="11">
      <x:c r="A11" t="str">
        <x:v>David</x:v>
      </x:c>
      <x:c r="B11" t="str">
        <x:v>Erbojo</x:v>
      </x:c>
      <x:c r="C11" t="str">
        <x:v>david.erbojo@molinosagro.com.ar</x:v>
      </x:c>
      <x:c r="D11" t="str">
        <x:v>8/18/26, 10:05:58 AM</x:v>
      </x:c>
      <x:c r="E11" t="str">
        <x:v>Registrado</x:v>
      </x:c>
      <x:c r="F11" t="str">
        <x:v>Molinos Agro</x:v>
      </x:c>
      <x:c r="G11" t="str">
        <x:v>Argentina</x:v>
      </x:c>
    </x:row>
    <x:row r="12">
      <x:c r="A12" t="str">
        <x:v>Julio</x:v>
      </x:c>
      <x:c r="B12" t="str">
        <x:v>Julio Peña</x:v>
      </x:c>
      <x:c r="C12" t="str">
        <x:v>jpena@domainebousquet.com</x:v>
      </x:c>
      <x:c r="D12" t="str">
        <x:v>8/18/26, 10:07:10 AM</x:v>
      </x:c>
      <x:c r="E12" t="str">
        <x:v>Registrado</x:v>
      </x:c>
      <x:c r="F12" t="str">
        <x:v>Domaine Bousquet S.A</x:v>
      </x:c>
      <x:c r="G12" t="str">
        <x:v>Argentina</x:v>
      </x:c>
    </x:row>
    <x:row r="13">
      <x:c r="A13" t="str">
        <x:v>Marina</x:v>
      </x:c>
      <x:c r="B13" t="str">
        <x:v>Bidegain</x:v>
      </x:c>
      <x:c r="C13" t="str">
        <x:v>mbidegain@naturaljuice.com.ar</x:v>
      </x:c>
      <x:c r="D13" t="str">
        <x:v>8/18/26, 10:14:26 AM</x:v>
      </x:c>
      <x:c r="E13" t="str">
        <x:v>Registrado</x:v>
      </x:c>
      <x:c r="F13" t="str">
        <x:v>Natural Juice SA</x:v>
      </x:c>
      <x:c r="G13" t="str">
        <x:v>Argentina</x:v>
      </x:c>
    </x:row>
    <x:row r="14">
      <x:c r="A14" t="str">
        <x:v>Adalberto</x:v>
      </x:c>
      <x:c r="B14" t="str">
        <x:v>Fratini</x:v>
      </x:c>
      <x:c r="C14" t="str">
        <x:v>afratini12@gmail.com</x:v>
      </x:c>
      <x:c r="D14" t="str">
        <x:v>8/18/26, 10:29:04 AM</x:v>
      </x:c>
      <x:c r="E14" t="str">
        <x:v>Registrado</x:v>
      </x:c>
      <x:c r="F14" t="str">
        <x:v>Ing. Agr.</x:v>
      </x:c>
      <x:c r="G14" t="str">
        <x:v>Argentina</x:v>
      </x:c>
    </x:row>
    <x:row r="15">
      <x:c r="A15" t="str">
        <x:v>Irma</x:v>
      </x:c>
      <x:c r="B15" t="str">
        <x:v>Remigio</x:v>
      </x:c>
      <x:c r="C15" t="str">
        <x:v>iremigio@domainebousquet.com</x:v>
      </x:c>
      <x:c r="D15" t="str">
        <x:v>8/18/26, 10:30:50 AM</x:v>
      </x:c>
      <x:c r="E15" t="str">
        <x:v>Registrado</x:v>
      </x:c>
      <x:c r="F15" t="str">
        <x:v>Domaine Bousquet</x:v>
      </x:c>
      <x:c r="G15" t="str">
        <x:v>Argentina</x:v>
      </x:c>
    </x:row>
    <x:row r="16">
      <x:c r="A16" t="str">
        <x:v>silvina</x:v>
      </x:c>
      <x:c r="B16" t="str">
        <x:v>Martinez</x:v>
      </x:c>
      <x:c r="C16" t="str">
        <x:v>smartinez@sophenia.com.ar</x:v>
      </x:c>
      <x:c r="D16" t="str">
        <x:v>8/18/26, 10:38:15 AM</x:v>
      </x:c>
      <x:c r="E16" t="str">
        <x:v>Registrado</x:v>
      </x:c>
      <x:c r="F16" t="str">
        <x:v>Finca Sophenia</x:v>
      </x:c>
      <x:c r="G16" t="str">
        <x:v>Argentina</x:v>
      </x:c>
    </x:row>
    <x:row r="17">
      <x:c r="A17" t="str">
        <x:v>Cristian</x:v>
      </x:c>
      <x:c r="B17" t="str">
        <x:v>Nuñez</x:v>
      </x:c>
      <x:c r="C17" t="str">
        <x:v>cnunez@jugos-sa.com.ar</x:v>
      </x:c>
      <x:c r="D17" t="str">
        <x:v>8/18/26, 10:39:38 AM</x:v>
      </x:c>
      <x:c r="E17" t="str">
        <x:v>Registrado</x:v>
      </x:c>
      <x:c r="F17" t="str">
        <x:v>JUGOS SA</x:v>
      </x:c>
      <x:c r="G17" t="str">
        <x:v>Argentina</x:v>
      </x:c>
    </x:row>
    <x:row r="18">
      <x:c r="A18" t="str">
        <x:v>Zoe</x:v>
      </x:c>
      <x:c r="B18" t="str">
        <x:v>Olivero</x:v>
      </x:c>
      <x:c r="C18" t="str">
        <x:v>zolivero@bio4.com.ar</x:v>
      </x:c>
      <x:c r="D18" t="str">
        <x:v>8/18/26, 10:40:49 AM</x:v>
      </x:c>
      <x:c r="E18" t="str">
        <x:v>Registrado</x:v>
      </x:c>
      <x:c r="F18" t="str">
        <x:v>BIOETANOL RIO CUARTO SA</x:v>
      </x:c>
      <x:c r="G18" t="str">
        <x:v>ARGENTINA</x:v>
      </x:c>
    </x:row>
    <x:row r="19">
      <x:c r="A19" t="str">
        <x:v>Sandra</x:v>
      </x:c>
      <x:c r="B19" t="str">
        <x:v>Gorischnik</x:v>
      </x:c>
      <x:c r="C19" t="str">
        <x:v>sandra.gorischnik@gmail.com</x:v>
      </x:c>
      <x:c r="D19" t="str">
        <x:v>8/18/26, 11:21:25 AM</x:v>
      </x:c>
      <x:c r="E19" t="str">
        <x:v>Registrado</x:v>
      </x:c>
      <x:c r="F19" t="str">
        <x:v>Banco Bice</x:v>
      </x:c>
      <x:c r="G19" t="str">
        <x:v>Argentina</x:v>
      </x:c>
    </x:row>
    <x:row r="20">
      <x:c r="A20" t="str">
        <x:v>Agostina</x:v>
      </x:c>
      <x:c r="B20" t="str">
        <x:v>Di Blassi</x:v>
      </x:c>
      <x:c r="C20" t="str">
        <x:v>abonino@domainebousquet.com</x:v>
      </x:c>
      <x:c r="D20" t="str">
        <x:v>8/18/26, 11:32:33 AM</x:v>
      </x:c>
      <x:c r="E20" t="str">
        <x:v>Registrado</x:v>
      </x:c>
      <x:c r="F20" t="str">
        <x:v>Domaine Bousquet</x:v>
      </x:c>
      <x:c r="G20" t="str">
        <x:v>Argentina</x:v>
      </x:c>
    </x:row>
    <x:row r="21">
      <x:c r="A21" t="str">
        <x:v>Nicolás</x:v>
      </x:c>
      <x:c r="B21" t="str">
        <x:v>Cantoro</x:v>
      </x:c>
      <x:c r="C21" t="str">
        <x:v>cantoron@olega.com.ar</x:v>
      </x:c>
      <x:c r="D21" t="str">
        <x:v>8/18/26, 12:00:27 PM</x:v>
      </x:c>
      <x:c r="E21" t="str">
        <x:v>Registrado</x:v>
      </x:c>
      <x:c r="F21" t="str">
        <x:v>OLEGA</x:v>
      </x:c>
      <x:c r="G21" t="str">
        <x:v>Argentina</x:v>
      </x:c>
    </x:row>
    <x:row r="22">
      <x:c r="A22" t="str">
        <x:v>Carolina</x:v>
      </x:c>
      <x:c r="B22" t="str">
        <x:v>Pasluosta</x:v>
      </x:c>
      <x:c r="C22" t="str">
        <x:v>pasluostac@olega.com.ar</x:v>
      </x:c>
      <x:c r="D22" t="str">
        <x:v>8/18/26, 12:15:50 PM</x:v>
      </x:c>
      <x:c r="E22" t="str">
        <x:v>Registrado</x:v>
      </x:c>
      <x:c r="F22" t="str">
        <x:v>Olega</x:v>
      </x:c>
      <x:c r="G22" t="str">
        <x:v>Argentina</x:v>
      </x:c>
    </x:row>
    <x:row r="23">
      <x:c r="A23" t="str">
        <x:v>Soledad</x:v>
      </x:c>
      <x:c r="B23" t="str">
        <x:v>Ottonello</x:v>
      </x:c>
      <x:c r="C23" t="str">
        <x:v>rrhhcba@olega.com.ar</x:v>
      </x:c>
      <x:c r="D23" t="str">
        <x:v>8/18/26, 12:18:44 PM</x:v>
      </x:c>
      <x:c r="E23" t="str">
        <x:v>Registrado</x:v>
      </x:c>
      <x:c r="F23" t="str">
        <x:v>Olega SA</x:v>
      </x:c>
      <x:c r="G23" t="str">
        <x:v>Argentina</x:v>
      </x:c>
    </x:row>
    <x:row r="24">
      <x:c r="A24" t="str">
        <x:v>DANIELA</x:v>
      </x:c>
      <x:c r="B24" t="str">
        <x:v>RAMSFELDER</x:v>
      </x:c>
      <x:c r="C24" t="str">
        <x:v>dramsfelder@gmail.com</x:v>
      </x:c>
      <x:c r="D24" t="str">
        <x:v>8/18/26, 12:34:33 PM</x:v>
      </x:c>
      <x:c r="E24" t="str">
        <x:v>Registrado</x:v>
      </x:c>
      <x:c r="F24" t="str">
        <x:v>OLEGA </x:v>
      </x:c>
      <x:c r="G24" t="str">
        <x:v>ARGENTINA</x:v>
      </x:c>
    </x:row>
    <x:row r="25">
      <x:c r="A25" t="str">
        <x:v>Emilio</x:v>
      </x:c>
      <x:c r="B25" t="str">
        <x:v>Giugge</x:v>
      </x:c>
      <x:c r="C25" t="str">
        <x:v>oficinatecnica@olega.com.ar</x:v>
      </x:c>
      <x:c r="D25" t="str">
        <x:v>8/18/26, 12:48:02 PM</x:v>
      </x:c>
      <x:c r="E25" t="str">
        <x:v>Registrado</x:v>
      </x:c>
      <x:c r="F25" t="str">
        <x:v>Olega SA</x:v>
      </x:c>
      <x:c r="G25" t="str">
        <x:v>Argentina</x:v>
      </x:c>
    </x:row>
    <x:row r="26">
      <x:c r="A26" t="str">
        <x:v>Maick Jose</x:v>
      </x:c>
      <x:c r="B26" t="str">
        <x:v>Gomez Camarena</x:v>
      </x:c>
      <x:c r="C26" t="str">
        <x:v>mgomez@cementosinka.com.pe</x:v>
      </x:c>
      <x:c r="D26" t="str">
        <x:v>8/18/26, 1:05:43 PM</x:v>
      </x:c>
      <x:c r="E26" t="str">
        <x:v>Registrado</x:v>
      </x:c>
      <x:c r="F26" t="str">
        <x:v>CCISA</x:v>
      </x:c>
      <x:c r="G26" t="str">
        <x:v>Perú</x:v>
      </x:c>
    </x:row>
    <x:row r="27">
      <x:c r="A27" t="str">
        <x:v>Francisco</x:v>
      </x:c>
      <x:c r="B27" t="str">
        <x:v>Lomazzi</x:v>
      </x:c>
      <x:c r="C27" t="str">
        <x:v>franciscolomazzi@espartina.com.ar</x:v>
      </x:c>
      <x:c r="D27" t="str">
        <x:v>8/18/26, 2:46:56 PM</x:v>
      </x:c>
      <x:c r="E27" t="str">
        <x:v>Registrado</x:v>
      </x:c>
      <x:c r="F27" t="str">
        <x:v>Espartina S.A.</x:v>
      </x:c>
      <x:c r="G27" t="str">
        <x:v>Argentina</x:v>
      </x:c>
    </x:row>
    <x:row r="28">
      <x:c r="A28" t="str">
        <x:v>Estefania</x:v>
      </x:c>
      <x:c r="B28" t="str">
        <x:v>Mahler</x:v>
      </x:c>
      <x:c r="C28" t="str">
        <x:v>estefaniam@novarchem.com.ar</x:v>
      </x:c>
      <x:c r="D28" t="str">
        <x:v>8/19/26, 12:46:42 PM</x:v>
      </x:c>
      <x:c r="E28" t="str">
        <x:v>Registrado</x:v>
      </x:c>
      <x:c r="F28" t="str">
        <x:v>NOVARCHEM SA</x:v>
      </x:c>
      <x:c r="G28" t="str">
        <x:v>Argentina</x:v>
      </x:c>
    </x:row>
    <x:row r="29">
      <x:c r="A29" t="str">
        <x:v>Vanesa</x:v>
      </x:c>
      <x:c r="B29" t="str">
        <x:v>Zupel</x:v>
      </x:c>
      <x:c r="C29" t="str">
        <x:v>vanesa.zupel@buyatti.com.ar</x:v>
      </x:c>
      <x:c r="D29" t="str">
        <x:v>8/20/26, 2:23:39 PM</x:v>
      </x:c>
      <x:c r="E29" t="str">
        <x:v>Registrado</x:v>
      </x:c>
      <x:c r="F29" t="str">
        <x:v>Buyatti SAICA</x:v>
      </x:c>
      <x:c r="G29" t="str">
        <x:v>Argentina</x:v>
      </x:c>
    </x:row>
    <x:row r="30">
      <x:c r="A30" t="str">
        <x:v>SOFIA MARIA</x:v>
      </x:c>
      <x:c r="B30" t="str">
        <x:v>TINARI COTTER</x:v>
      </x:c>
      <x:c r="C30" t="str">
        <x:v>sofitinari@hotmail.com</x:v>
      </x:c>
      <x:c r="D30" t="str">
        <x:v>8/21/26, 10:46:19 AM</x:v>
      </x:c>
      <x:c r="E30" t="str">
        <x:v>Registrado</x:v>
      </x:c>
      <x:c r="F30" t="str">
        <x:v>31438717</x:v>
      </x:c>
      <x:c r="G30" t="str">
        <x:v>Argentina</x:v>
      </x:c>
    </x:row>
    <x:row r="31">
      <x:c r="A31" t="str">
        <x:v>Victoria</x:v>
      </x:c>
      <x:c r="B31" t="str">
        <x:v>Guevara</x:v>
      </x:c>
      <x:c r="C31" t="str">
        <x:v>victoria.jgr@gmail.com</x:v>
      </x:c>
      <x:c r="D31" t="str">
        <x:v>8/21/26, 5:52:31 PM</x:v>
      </x:c>
      <x:c r="E31" t="str">
        <x:v>Registrado</x:v>
      </x:c>
      <x:c r="F31" t="str"/>
      <x:c r="G31" t="str">
        <x:v>Uruguay</x:v>
      </x:c>
    </x:row>
    <x:row r="32">
      <x:c r="A32" t="str">
        <x:v>Maria José Martins</x:v>
      </x:c>
      <x:c r="B32" t="str">
        <x:v>Siva</x:v>
      </x:c>
      <x:c r="C32" t="str">
        <x:v>mariajose.silva@cotoncouleur.com</x:v>
      </x:c>
      <x:c r="D32" t="str">
        <x:v>8/21/26, 8:06:07 PM</x:v>
      </x:c>
      <x:c r="E32" t="str">
        <x:v>Registrado</x:v>
      </x:c>
      <x:c r="F32" t="str">
        <x:v>Coton Couleur - Empresa Têxtil, S.A.</x:v>
      </x:c>
      <x:c r="G32" t="str">
        <x:v>Portugal</x:v>
      </x:c>
    </x:row>
    <x:row r="33">
      <x:c r="A33" t="str">
        <x:v>Justo</x:v>
      </x:c>
      <x:c r="B33" t="str">
        <x:v>Fernández Vidal</x:v>
      </x:c>
      <x:c r="C33" t="str">
        <x:v>justo.vidal@controlunion.com</x:v>
      </x:c>
      <x:c r="D33" t="str">
        <x:v>8/24/26, 9:34:00 AM</x:v>
      </x:c>
      <x:c r="E33" t="str">
        <x:v>Registrado</x:v>
      </x:c>
      <x:c r="F33" t="str">
        <x:v>Control Union </x:v>
      </x:c>
      <x:c r="G33" t="str">
        <x:v>Argentina</x:v>
      </x:c>
    </x:row>
    <x:row r="34">
      <x:c r="A34" t="str">
        <x:v>Carlos</x:v>
      </x:c>
      <x:c r="B34" t="str">
        <x:v>Picco</x:v>
      </x:c>
      <x:c r="C34" t="str">
        <x:v>cpicco@controlunion.com</x:v>
      </x:c>
      <x:c r="D34" t="str">
        <x:v>8/24/26, 1:49:08 PM</x:v>
      </x:c>
      <x:c r="E34" t="str">
        <x:v>Registrado</x:v>
      </x:c>
      <x:c r="F34" t="str">
        <x:v>Control Union Paraguay</x:v>
      </x:c>
      <x:c r="G34" t="str">
        <x:v>Paraguay</x:v>
      </x:c>
    </x:row>
    <x:row r="35">
      <x:c r="A35" t="str">
        <x:v>Micaela</x:v>
      </x:c>
      <x:c r="B35" t="str">
        <x:v>Corrarello</x:v>
      </x:c>
      <x:c r="C35" t="str">
        <x:v>micaela.c@desitec.com.ar</x:v>
      </x:c>
      <x:c r="D35" t="str">
        <x:v>8/25/26, 10:22:45 AM</x:v>
      </x:c>
      <x:c r="E35" t="str">
        <x:v>Registrado</x:v>
      </x:c>
      <x:c r="F35" t="str">
        <x:v>Desitec S.A.</x:v>
      </x:c>
      <x:c r="G35" t="str">
        <x:v>Argentina</x:v>
      </x:c>
    </x:row>
    <x:row r="36">
      <x:c r="A36" t="str">
        <x:v>Nadia</x:v>
      </x:c>
      <x:c r="B36" t="str">
        <x:v>Engler</x:v>
      </x:c>
      <x:c r="C36" t="str">
        <x:v>nadia.engler@austinpowder.com</x:v>
      </x:c>
      <x:c r="D36" t="str">
        <x:v>8/25/26, 11:02:32 AM</x:v>
      </x:c>
      <x:c r="E36" t="str">
        <x:v>Registrado</x:v>
      </x:c>
      <x:c r="F36" t="str">
        <x:v>AUSTIN POWDER ARGNETINA</x:v>
      </x:c>
      <x:c r="G36" t="str">
        <x:v>Argentina</x:v>
      </x:c>
    </x:row>
    <x:row r="37">
      <x:c r="A37" t="str">
        <x:v>fernando</x:v>
      </x:c>
      <x:c r="B37" t="str">
        <x:v>ALOMAR</x:v>
      </x:c>
      <x:c r="C37" t="str">
        <x:v>fernando_alomar@lapampeana.com.ar</x:v>
      </x:c>
      <x:c r="D37" t="str">
        <x:v>8/25/26, 11:06:45 AM</x:v>
      </x:c>
      <x:c r="E37" t="str">
        <x:v>Registrado</x:v>
      </x:c>
      <x:c r="F37" t="str">
        <x:v>TRANSPORTADORA LA PAMPEANA SA</x:v>
      </x:c>
      <x:c r="G37" t="str">
        <x:v>Argentina</x:v>
      </x:c>
    </x:row>
    <x:row r="38">
      <x:c r="A38" t="str">
        <x:v>Mariana</x:v>
      </x:c>
      <x:c r="B38" t="str">
        <x:v>Mrozek</x:v>
      </x:c>
      <x:c r="C38" t="str">
        <x:v>mariana@pai-argentina.com</x:v>
      </x:c>
      <x:c r="D38" t="str">
        <x:v>8/25/26, 11:54:26 AM</x:v>
      </x:c>
      <x:c r="E38" t="str">
        <x:v>Registrado</x:v>
      </x:c>
      <x:c r="F38" t="str">
        <x:v>PAI S.A.</x:v>
      </x:c>
      <x:c r="G38" t="str">
        <x:v>Argentina</x:v>
      </x:c>
    </x:row>
    <x:row r="39">
      <x:c r="A39" t="str">
        <x:v>Carolina</x:v>
      </x:c>
      <x:c r="B39" t="str">
        <x:v>Oriolo</x:v>
      </x:c>
      <x:c r="C39" t="str">
        <x:v>carolinaoriolo@inagro.com.ar</x:v>
      </x:c>
      <x:c r="D39" t="str">
        <x:v>8/25/26, 12:11:03 PM</x:v>
      </x:c>
      <x:c r="E39" t="str">
        <x:v>Registrado</x:v>
      </x:c>
      <x:c r="F39" t="str">
        <x:v>Inagro Trading SA</x:v>
      </x:c>
      <x:c r="G39" t="str">
        <x:v>Argentina</x:v>
      </x:c>
    </x:row>
    <x:row r="40">
      <x:c r="A40" t="str">
        <x:v>Martin Carlos</x:v>
      </x:c>
      <x:c r="B40" t="str">
        <x:v>Cambiano</x:v>
      </x:c>
      <x:c r="C40" t="str">
        <x:v>martincambiano@uca.edu.ar</x:v>
      </x:c>
      <x:c r="D40" t="str">
        <x:v>8/25/26, 1:41:25 PM</x:v>
      </x:c>
      <x:c r="E40" t="str">
        <x:v>Registrado</x:v>
      </x:c>
      <x:c r="F40" t="str">
        <x:v>ECO Logos</x:v>
      </x:c>
      <x:c r="G40" t="str">
        <x:v>Argentina</x:v>
      </x:c>
    </x:row>
    <x:row r="41">
      <x:c r="A41" t="str">
        <x:v>Maria</x:v>
      </x:c>
      <x:c r="B41" t="str">
        <x:v>Gaitan</x:v>
      </x:c>
      <x:c r="C41" t="str">
        <x:v>mgaitan@onepeterson.com</x:v>
      </x:c>
      <x:c r="D41" t="str">
        <x:v>8/25/26, 2:30:56 PM</x:v>
      </x:c>
      <x:c r="E41" t="str">
        <x:v>Registrado</x:v>
      </x:c>
      <x:c r="F41" t="str">
        <x:v>Peterson Solutions</x:v>
      </x:c>
      <x:c r="G41" t="str">
        <x:v>Colombia</x:v>
      </x:c>
    </x:row>
    <x:row r="42">
      <x:c r="A42" t="str">
        <x:v>Gimena Paola</x:v>
      </x:c>
      <x:c r="B42" t="str">
        <x:v>MEDINA</x:v>
      </x:c>
      <x:c r="C42" t="str">
        <x:v>gpmedina@tenaris.com</x:v>
      </x:c>
      <x:c r="D42" t="str">
        <x:v>8/25/26, 3:52:16 PM</x:v>
      </x:c>
      <x:c r="E42" t="str">
        <x:v>Registrado</x:v>
      </x:c>
      <x:c r="F42" t="str">
        <x:v>Tenaris</x:v>
      </x:c>
      <x:c r="G42" t="str">
        <x:v>Argentina</x:v>
      </x:c>
    </x:row>
    <x:row r="43">
      <x:c r="A43" t="str">
        <x:v>Yony Alexander</x:v>
      </x:c>
      <x:c r="B43" t="str">
        <x:v>Zuluaga Betancur</x:v>
      </x:c>
      <x:c r="C43" t="str">
        <x:v>yony.zuluaga@aris-mining.co</x:v>
      </x:c>
      <x:c r="D43" t="str">
        <x:v>8/25/26, 4:17:14 PM</x:v>
      </x:c>
      <x:c r="E43" t="str">
        <x:v>Registrado</x:v>
      </x:c>
      <x:c r="F43" t="str">
        <x:v>Aris Mining</x:v>
      </x:c>
      <x:c r="G43" t="str">
        <x:v>Colombia</x:v>
      </x:c>
    </x:row>
    <x:row r="44">
      <x:c r="A44" t="str">
        <x:v>Romina</x:v>
      </x:c>
      <x:c r="B44" t="str">
        <x:v>Seselovsky</x:v>
      </x:c>
      <x:c r="C44" t="str">
        <x:v>rominaseselovsky@hotmail.com</x:v>
      </x:c>
      <x:c r="D44" t="str">
        <x:v>8/26/26, 11:28:00 AM</x:v>
      </x:c>
      <x:c r="E44" t="str">
        <x:v>Registrado</x:v>
      </x:c>
      <x:c r="F44" t="str"/>
      <x:c r="G44" t="str"/>
    </x:row>
    <x:row r="45">
      <x:c r="A45" t="str">
        <x:v>Rocio</x:v>
      </x:c>
      <x:c r="B45" t="str">
        <x:v>Perez Fantini</x:v>
      </x:c>
      <x:c r="C45" t="str">
        <x:v>rperez@salentein.com</x:v>
      </x:c>
      <x:c r="D45" t="str">
        <x:v>8/26/26, 1:20:48 PM</x:v>
      </x:c>
      <x:c r="E45" t="str">
        <x:v>Registrado</x:v>
      </x:c>
      <x:c r="F45" t="str">
        <x:v>Bodegas Salentein</x:v>
      </x:c>
      <x:c r="G45" t="str">
        <x:v>Argentina</x:v>
      </x:c>
    </x:row>
    <x:row r="46">
      <x:c r="A46" t="str">
        <x:v>Pablo</x:v>
      </x:c>
      <x:c r="B46" t="str">
        <x:v>Palumbo</x:v>
      </x:c>
      <x:c r="C46" t="str">
        <x:v>ppalumbo@salentein.com</x:v>
      </x:c>
      <x:c r="D46" t="str">
        <x:v>8/26/26, 1:21:21 PM</x:v>
      </x:c>
      <x:c r="E46" t="str">
        <x:v>Registrado</x:v>
      </x:c>
      <x:c r="F46" t="str">
        <x:v>Bodegas Salentein SA</x:v>
      </x:c>
      <x:c r="G46" t="str">
        <x:v>Argentina</x:v>
      </x:c>
    </x:row>
    <x:row r="47">
      <x:c r="A47" t="str">
        <x:v>Lucia</x:v>
      </x:c>
      <x:c r="B47" t="str">
        <x:v>Frugoni</x:v>
      </x:c>
      <x:c r="C47" t="str">
        <x:v>lfrugoni@salentein.com</x:v>
      </x:c>
      <x:c r="D47" t="str">
        <x:v>8/26/26, 1:21:36 PM</x:v>
      </x:c>
      <x:c r="E47" t="str">
        <x:v>Registrado</x:v>
      </x:c>
      <x:c r="F47" t="str">
        <x:v>Bodega Salentein SA</x:v>
      </x:c>
      <x:c r="G47" t="str">
        <x:v>Argentina</x:v>
      </x:c>
    </x:row>
    <x:row r="48">
      <x:c r="A48" t="str">
        <x:v>Ezequiel Marcos</x:v>
      </x:c>
      <x:c r="B48" t="str">
        <x:v>Kiener</x:v>
      </x:c>
      <x:c r="C48" t="str">
        <x:v>ezequiel.kiener@amaggi.com.ar</x:v>
      </x:c>
      <x:c r="D48" t="str">
        <x:v>8/26/26, 5:34:07 PM</x:v>
      </x:c>
      <x:c r="E48" t="str">
        <x:v>Registrado</x:v>
      </x:c>
      <x:c r="F48" t="str">
        <x:v>AMAGGI</x:v>
      </x:c>
      <x:c r="G48" t="str">
        <x:v>Argentina</x:v>
      </x:c>
    </x:row>
    <x:row r="49">
      <x:c r="A49" t="str">
        <x:v>Natalia</x:v>
      </x:c>
      <x:c r="B49" t="str">
        <x:v>Bonassies</x:v>
      </x:c>
      <x:c r="C49" t="str">
        <x:v>nbonassies@cera.org.ar</x:v>
      </x:c>
      <x:c r="D49" t="str">
        <x:v>8/28/26, 6:00:45 PM</x:v>
      </x:c>
      <x:c r="E49" t="str">
        <x:v>Registrado</x:v>
      </x:c>
      <x:c r="F49" t="str">
        <x:v>Cera</x:v>
      </x:c>
      <x:c r="G49" t="str">
        <x:v>Argentina </x:v>
      </x:c>
    </x:row>
    <x:row r="50">
      <x:c r="A50" t="str">
        <x:v>Gustavo</x:v>
      </x:c>
      <x:c r="B50" t="str">
        <x:v>Cardemil</x:v>
      </x:c>
      <x:c r="C50" t="str">
        <x:v>gcardemil@adelagro.cl</x:v>
      </x:c>
      <x:c r="D50" t="str">
        <x:v>8/29/26, 4:28:22 PM</x:v>
      </x:c>
      <x:c r="E50" t="str">
        <x:v>Registrado</x:v>
      </x:c>
      <x:c r="F50" t="str">
        <x:v>Asesorías del Agro GCA</x:v>
      </x:c>
      <x:c r="G50" t="str">
        <x:v>Chile</x:v>
      </x:c>
    </x:row>
    <x:row r="51">
      <x:c r="A51" t="str">
        <x:v>Micaela</x:v>
      </x:c>
      <x:c r="B51" t="str">
        <x:v>Albornoz</x:v>
      </x:c>
      <x:c r="C51" t="str">
        <x:v>malbornoz@controlunion.com</x:v>
      </x:c>
      <x:c r="D51" t="str">
        <x:v>8/31/26, 10:42:25 AM</x:v>
      </x:c>
      <x:c r="E51" t="str">
        <x:v>Registrado</x:v>
      </x:c>
      <x:c r="F51" t="str">
        <x:v>Control Union</x:v>
      </x:c>
      <x:c r="G51" t="str">
        <x:v>Argentina</x:v>
      </x:c>
    </x:row>
    <x:row r="52">
      <x:c r="A52" t="str">
        <x:v>Adolfo</x:v>
      </x:c>
      <x:c r="B52" t="str">
        <x:v>BOLL MORELLI</x:v>
      </x:c>
      <x:c r="C52" t="str">
        <x:v>aboll@onepeterson.com</x:v>
      </x:c>
      <x:c r="D52" t="str">
        <x:v>9/01/26, 9:13:41 AM</x:v>
      </x:c>
      <x:c r="E52" t="str">
        <x:v>Registrado</x:v>
      </x:c>
      <x:c r="F52" t="str">
        <x:v>Peterson Solutions </x:v>
      </x:c>
      <x:c r="G52" t="str">
        <x:v>Argentina</x:v>
      </x:c>
    </x:row>
    <x:row r="53">
      <x:c r="A53" t="str">
        <x:v>Silvana</x:v>
      </x:c>
      <x:c r="B53" t="str">
        <x:v>Beccarini</x:v>
      </x:c>
      <x:c r="C53" t="str">
        <x:v>calidad@biovanda.com.ar</x:v>
      </x:c>
      <x:c r="D53" t="str">
        <x:v>9/01/26, 10:29:18 AM</x:v>
      </x:c>
      <x:c r="E53" t="str">
        <x:v>Registrado</x:v>
      </x:c>
      <x:c r="F53" t="str">
        <x:v>Bio Vanda S.A.</x:v>
      </x:c>
      <x:c r="G53" t="str">
        <x:v>Argentina</x:v>
      </x:c>
    </x:row>
    <x:row r="54">
      <x:c r="A54" t="str">
        <x:v>Romina</x:v>
      </x:c>
      <x:c r="B54" t="str">
        <x:v>De Los Santos</x:v>
      </x:c>
      <x:c r="C54" t="str">
        <x:v>rdelossantos@sanmiguelglobal.com</x:v>
      </x:c>
      <x:c r="D54" t="str">
        <x:v>9/01/26, 10:35:08 AM</x:v>
      </x:c>
      <x:c r="E54" t="str">
        <x:v>Registrado</x:v>
      </x:c>
      <x:c r="F54" t="str">
        <x:v>SAN MIGUEL</x:v>
      </x:c>
      <x:c r="G54" t="str">
        <x:v>Argentina</x:v>
      </x:c>
    </x:row>
    <x:row r="55">
      <x:c r="A55" t="str">
        <x:v>Luis Fernando</x:v>
      </x:c>
      <x:c r="B55" t="str">
        <x:v>Pino</x:v>
      </x:c>
      <x:c r="C55" t="str">
        <x:v>lpino@ceyesa.com.pe</x:v>
      </x:c>
      <x:c r="D55" t="str">
        <x:v>9/01/26, 11:31:15 AM</x:v>
      </x:c>
      <x:c r="E55" t="str">
        <x:v>Registrado</x:v>
      </x:c>
      <x:c r="F55" t="str">
        <x:v>CEYESA</x:v>
      </x:c>
      <x:c r="G55" t="str">
        <x:v>Peru</x:v>
      </x:c>
    </x:row>
    <x:row r="56">
      <x:c r="A56" t="str">
        <x:v>Carolina</x:v>
      </x:c>
      <x:c r="B56" t="str">
        <x:v>Henriquez</x:v>
      </x:c>
      <x:c r="C56" t="str">
        <x:v>chenriquez@spl.cl</x:v>
      </x:c>
      <x:c r="D56" t="str">
        <x:v>9/01/26, 5:25:52 PM</x:v>
      </x:c>
      <x:c r="E56" t="str">
        <x:v>Registrado</x:v>
      </x:c>
      <x:c r="F56" t="str">
        <x:v>Sociedad Punta de Lobos</x:v>
      </x:c>
      <x:c r="G56" t="str">
        <x:v>Chile</x:v>
      </x:c>
    </x:row>
    <x:row r="57">
      <x:c r="A57" t="str">
        <x:v>Alejandra</x:v>
      </x:c>
      <x:c r="B57" t="str">
        <x:v>Farías</x:v>
      </x:c>
      <x:c r="C57" t="str">
        <x:v>alejandra.farias@imcdchile.com</x:v>
      </x:c>
      <x:c r="D57" t="str">
        <x:v>9/01/26, 5:35:19 PM</x:v>
      </x:c>
      <x:c r="E57" t="str">
        <x:v>Registrado</x:v>
      </x:c>
      <x:c r="F57" t="str">
        <x:v>IMCD Chile</x:v>
      </x:c>
      <x:c r="G57" t="str">
        <x:v>Chile</x:v>
      </x:c>
    </x:row>
    <x:row r="58">
      <x:c r="A58" t="str">
        <x:v>Angelina</x:v>
      </x:c>
      <x:c r="B58" t="str">
        <x:v>Achilli</x:v>
      </x:c>
      <x:c r="C58" t="str">
        <x:v>aachilli@laanonima.com.ar</x:v>
      </x:c>
      <x:c r="D58" t="str">
        <x:v>9/02/26, 8:09:00 AM</x:v>
      </x:c>
      <x:c r="E58" t="str">
        <x:v>Registrado</x:v>
      </x:c>
      <x:c r="F58" t="str">
        <x:v>La Anonima </x:v>
      </x:c>
      <x:c r="G58" t="str">
        <x:v>Argentina </x:v>
      </x:c>
    </x:row>
    <x:row r="59">
      <x:c r="A59" t="str">
        <x:v>Barbara</x:v>
      </x:c>
      <x:c r="B59" t="str">
        <x:v>Stern</x:v>
      </x:c>
      <x:c r="C59" t="str">
        <x:v>bcs2168@columbia.edu</x:v>
      </x:c>
      <x:c r="D59" t="str">
        <x:v>9/02/26, 9:10:22 AM</x:v>
      </x:c>
      <x:c r="E59" t="str">
        <x:v>Registrado</x:v>
      </x:c>
      <x:c r="F59" t="str"/>
      <x:c r="G59" t="str">
        <x:v>Argentina</x:v>
      </x:c>
    </x:row>
    <x:row r="60">
      <x:c r="A60" t="str">
        <x:v>Larisa</x:v>
      </x:c>
      <x:c r="B60" t="str">
        <x:v>Burgos</x:v>
      </x:c>
      <x:c r="C60" t="str">
        <x:v>larisa.burgos@nutrisco.com</x:v>
      </x:c>
      <x:c r="D60" t="str">
        <x:v>9/02/26, 9:36:51 AM</x:v>
      </x:c>
      <x:c r="E60" t="str">
        <x:v>Registrado</x:v>
      </x:c>
      <x:c r="F60" t="str">
        <x:v>Orizon S.A.</x:v>
      </x:c>
      <x:c r="G60" t="str">
        <x:v>Chile</x:v>
      </x:c>
    </x:row>
    <x:row r="61">
      <x:c r="A61" t="str">
        <x:v>Francisco</x:v>
      </x:c>
      <x:c r="B61" t="str">
        <x:v>Roger</x:v>
      </x:c>
      <x:c r="C61" t="str">
        <x:v>francisco.roger@nutrisco.com</x:v>
      </x:c>
      <x:c r="D61" t="str">
        <x:v>9/02/26, 9:40:47 AM</x:v>
      </x:c>
      <x:c r="E61" t="str">
        <x:v>Registrado</x:v>
      </x:c>
      <x:c r="F61" t="str">
        <x:v>Nutrisco</x:v>
      </x:c>
      <x:c r="G61" t="str">
        <x:v>Chile</x:v>
      </x:c>
    </x:row>
    <x:row r="62">
      <x:c r="A62" t="str">
        <x:v>Carolina</x:v>
      </x:c>
      <x:c r="B62" t="str">
        <x:v>Nemeth</x:v>
      </x:c>
      <x:c r="C62" t="str">
        <x:v>carolina.nemeth@nutrisco.com</x:v>
      </x:c>
      <x:c r="D62" t="str">
        <x:v>9/02/26, 9:40:48 AM</x:v>
      </x:c>
      <x:c r="E62" t="str">
        <x:v>Registrado</x:v>
      </x:c>
      <x:c r="F62" t="str">
        <x:v>Nutrisco</x:v>
      </x:c>
      <x:c r="G62" t="str">
        <x:v>Bio Bio, Chile </x:v>
      </x:c>
    </x:row>
    <x:row r="63">
      <x:c r="A63" t="str">
        <x:v>Marco</x:v>
      </x:c>
      <x:c r="B63" t="str">
        <x:v>Peña</x:v>
      </x:c>
      <x:c r="C63" t="str">
        <x:v>marco.pena@nutrisco.com</x:v>
      </x:c>
      <x:c r="D63" t="str">
        <x:v>9/02/26, 10:21:32 AM</x:v>
      </x:c>
      <x:c r="E63" t="str">
        <x:v>Registrado</x:v>
      </x:c>
      <x:c r="F63" t="str">
        <x:v>Orizon S.A.</x:v>
      </x:c>
      <x:c r="G63" t="str">
        <x:v>Chile</x:v>
      </x:c>
    </x:row>
    <x:row r="64">
      <x:c r="A64" t="str">
        <x:v>Gisselle</x:v>
      </x:c>
      <x:c r="B64" t="str">
        <x:v>Carrasco</x:v>
      </x:c>
      <x:c r="C64" t="str">
        <x:v>gisselle.carrasco@nutrisco.com</x:v>
      </x:c>
      <x:c r="D64" t="str">
        <x:v>9/02/26, 10:23:23 AM</x:v>
      </x:c>
      <x:c r="E64" t="str">
        <x:v>Registrado</x:v>
      </x:c>
      <x:c r="F64" t="str">
        <x:v>Orizon</x:v>
      </x:c>
      <x:c r="G64" t="str">
        <x:v>Chile</x:v>
      </x:c>
    </x:row>
    <x:row r="65">
      <x:c r="A65" t="str">
        <x:v>Sebastián</x:v>
      </x:c>
      <x:c r="B65" t="str">
        <x:v>Carrasco</x:v>
      </x:c>
      <x:c r="C65" t="str">
        <x:v>sebastian.carrasco@nutrisco.com</x:v>
      </x:c>
      <x:c r="D65" t="str">
        <x:v>9/02/26, 10:35:50 AM</x:v>
      </x:c>
      <x:c r="E65" t="str">
        <x:v>Registrado</x:v>
      </x:c>
      <x:c r="F65" t="str">
        <x:v>Nutrisco Chile</x:v>
      </x:c>
      <x:c r="G65" t="str">
        <x:v>Chile</x:v>
      </x:c>
    </x:row>
    <x:row r="66">
      <x:c r="A66" t="str">
        <x:v>Matias</x:v>
      </x:c>
      <x:c r="B66" t="str">
        <x:v>Stortini</x:v>
      </x:c>
      <x:c r="C66" t="str">
        <x:v>stortini@justla.com.ar</x:v>
      </x:c>
      <x:c r="D66" t="str">
        <x:v>9/02/26, 10:50:49 AM</x:v>
      </x:c>
      <x:c r="E66" t="str">
        <x:v>Registrado</x:v>
      </x:c>
      <x:c r="F66" t="str">
        <x:v>Just</x:v>
      </x:c>
      <x:c r="G66" t="str">
        <x:v>Argentina</x:v>
      </x:c>
    </x:row>
    <x:row r="67">
      <x:c r="A67" t="str">
        <x:v>Sebastian</x:v>
      </x:c>
      <x:c r="B67" t="str">
        <x:v>Lopez</x:v>
      </x:c>
      <x:c r="C67" t="str">
        <x:v>slopez@justla.com.ar</x:v>
      </x:c>
      <x:c r="D67" t="str">
        <x:v>9/02/26, 11:24:48 AM</x:v>
      </x:c>
      <x:c r="E67" t="str">
        <x:v>Registrado</x:v>
      </x:c>
      <x:c r="F67" t="str">
        <x:v>Just International LATAM</x:v>
      </x:c>
      <x:c r="G67" t="str">
        <x:v>Argentina</x:v>
      </x:c>
    </x:row>
    <x:row r="68">
      <x:c r="A68" t="str">
        <x:v>Daniela</x:v>
      </x:c>
      <x:c r="B68" t="str">
        <x:v>Schiratti</x:v>
      </x:c>
      <x:c r="C68" t="str">
        <x:v>dschiratti@onepeterson.com</x:v>
      </x:c>
      <x:c r="D68" t="str">
        <x:v>9/02/26, 11:39:52 AM</x:v>
      </x:c>
      <x:c r="E68" t="str">
        <x:v>Registrado</x:v>
      </x:c>
      <x:c r="F68" t="str">
        <x:v>Peterson </x:v>
      </x:c>
      <x:c r="G68" t="str">
        <x:v>Argentina </x:v>
      </x:c>
    </x:row>
    <x:row r="69">
      <x:c r="A69" t="str">
        <x:v>Lourdes</x:v>
      </x:c>
      <x:c r="B69" t="str">
        <x:v>Manrique</x:v>
      </x:c>
      <x:c r="C69" t="str">
        <x:v>lourdes.manrique@regrow.ag</x:v>
      </x:c>
      <x:c r="D69" t="str">
        <x:v>9/02/26, 11:47:25 AM</x:v>
      </x:c>
      <x:c r="E69" t="str">
        <x:v>Registrado</x:v>
      </x:c>
      <x:c r="F69" t="str">
        <x:v>Regrow</x:v>
      </x:c>
      <x:c r="G69" t="str">
        <x:v>Argentina</x:v>
      </x:c>
    </x:row>
    <x:row r="70">
      <x:c r="A70" t="str">
        <x:v>Alvaro</x:v>
      </x:c>
      <x:c r="B70" t="str">
        <x:v>Gaillour</x:v>
      </x:c>
      <x:c r="C70" t="str">
        <x:v>agaillour95@gmail.com</x:v>
      </x:c>
      <x:c r="D70" t="str">
        <x:v>9/02/26, 2:48:00 PM</x:v>
      </x:c>
      <x:c r="E70" t="str">
        <x:v>Registrado</x:v>
      </x:c>
      <x:c r="F70" t="str"/>
      <x:c r="G70" t="str">
        <x:v>Perú/LAC</x:v>
      </x:c>
    </x:row>
    <x:row r="71">
      <x:c r="A71" t="str">
        <x:v>Emile</x:v>
      </x:c>
      <x:c r="B71" t="str">
        <x:v>Maerten</x:v>
      </x:c>
      <x:c r="C71" t="str">
        <x:v>emile.maerten@terratiogroup.com</x:v>
      </x:c>
      <x:c r="D71" t="str">
        <x:v>9/02/26, 5:36:46 PM</x:v>
      </x:c>
      <x:c r="E71" t="str">
        <x:v>Registrado</x:v>
      </x:c>
      <x:c r="F71" t="str">
        <x:v>Terratio</x:v>
      </x:c>
      <x:c r="G71" t="str">
        <x:v>Argentine</x:v>
      </x:c>
    </x:row>
    <x:row r="72">
      <x:c r="A72" t="str">
        <x:v>Macarena</x:v>
      </x:c>
      <x:c r="B72" t="str">
        <x:v>Mo</x:v>
      </x:c>
      <x:c r="C72" t="str">
        <x:v>macarenamo.u@gmail.com</x:v>
      </x:c>
      <x:c r="D72" t="str">
        <x:v>9/02/26, 7:31:00 PM</x:v>
      </x:c>
      <x:c r="E72" t="str">
        <x:v>Registrado</x:v>
      </x:c>
      <x:c r="F72" t="str">
        <x:v>Consultora</x:v>
      </x:c>
      <x:c r="G72" t="str">
        <x:v>Uruguay</x:v>
      </x:c>
    </x:row>
    <x:row r="73">
      <x:c r="A73" t="str">
        <x:v>MIRIAM</x:v>
      </x:c>
      <x:c r="B73" t="str">
        <x:v>NAVARRO FERNANDEZ</x:v>
      </x:c>
      <x:c r="C73" t="str">
        <x:v>miriam.navarro@grupobimbo.com</x:v>
      </x:c>
      <x:c r="D73" t="str">
        <x:v>9/02/26, 8:11:25 PM</x:v>
      </x:c>
      <x:c r="E73" t="str">
        <x:v>Registrado</x:v>
      </x:c>
      <x:c r="F73" t="str">
        <x:v>Grupo Bimbo</x:v>
      </x:c>
      <x:c r="G73" t="str">
        <x:v>México</x:v>
      </x:c>
    </x:row>
    <x:row r="74">
      <x:c r="A74" t="str">
        <x:v>LAURIE FABIENNE MICHELLE</x:v>
      </x:c>
      <x:c r="B74" t="str">
        <x:v>CHEOUX</x:v>
      </x:c>
      <x:c r="C74" t="str">
        <x:v>laurie.cheoux@grupobimbo.com</x:v>
      </x:c>
      <x:c r="D74" t="str">
        <x:v>9/03/26, 7:36:55 AM</x:v>
      </x:c>
      <x:c r="E74" t="str">
        <x:v>Registrado</x:v>
      </x:c>
      <x:c r="F74" t="str">
        <x:v>bimboq QSR</x:v>
      </x:c>
      <x:c r="G74" t="str">
        <x:v>España</x:v>
      </x:c>
    </x:row>
    <x:row r="75">
      <x:c r="A75" t="str">
        <x:v>Ana</x:v>
      </x:c>
      <x:c r="B75" t="str">
        <x:v>Fraisse</x:v>
      </x:c>
      <x:c r="C75" t="str">
        <x:v>ana.fraisse@grupobimbo.com</x:v>
      </x:c>
      <x:c r="D75" t="str">
        <x:v>9/03/26, 10:36:49 AM</x:v>
      </x:c>
      <x:c r="E75" t="str">
        <x:v>Registrado</x:v>
      </x:c>
      <x:c r="F75" t="str">
        <x:v>Bimbo QSR</x:v>
      </x:c>
      <x:c r="G75" t="str">
        <x:v>United States</x:v>
      </x:c>
    </x:row>
    <x:row r="76">
      <x:c r="A76" t="str">
        <x:v>Ana</x:v>
      </x:c>
      <x:c r="B76" t="str">
        <x:v>GUERELLO</x:v>
      </x:c>
      <x:c r="C76" t="str">
        <x:v>ana.guerello@laserenisima.com</x:v>
      </x:c>
      <x:c r="D76" t="str">
        <x:v>9/03/26, 4:06:14 PM</x:v>
      </x:c>
      <x:c r="E76" t="str">
        <x:v>Registrado</x:v>
      </x:c>
      <x:c r="F76" t="str">
        <x:v>La Serenisima</x:v>
      </x:c>
      <x:c r="G76" t="str">
        <x:v>Argentina</x:v>
      </x:c>
    </x:row>
    <x:row r="77">
      <x:c r="A77" t="str">
        <x:v>EMILIA</x:v>
      </x:c>
      <x:c r="B77" t="str">
        <x:v>CANAVATI PEREZ</x:v>
      </x:c>
      <x:c r="C77" t="str">
        <x:v>emilia.canavati@grupobimbo.com</x:v>
      </x:c>
      <x:c r="D77" t="str">
        <x:v>9/03/26, 4:18:17 PM</x:v>
      </x:c>
      <x:c r="E77" t="str">
        <x:v>Registrado</x:v>
      </x:c>
      <x:c r="F77" t="str">
        <x:v>Grupo Bimbo</x:v>
      </x:c>
      <x:c r="G77" t="str">
        <x:v>México</x:v>
      </x:c>
    </x:row>
    <x:row r="78">
      <x:c r="A78" t="str">
        <x:v>YAEL</x:v>
      </x:c>
      <x:c r="B78" t="str">
        <x:v>RIVERA QUIROZ</x:v>
      </x:c>
      <x:c r="C78" t="str">
        <x:v>yael.rivera@grupobimbo.com</x:v>
      </x:c>
      <x:c r="D78" t="str">
        <x:v>9/03/26, 4:47:52 PM</x:v>
      </x:c>
      <x:c r="E78" t="str">
        <x:v>Registrado</x:v>
      </x:c>
      <x:c r="F78" t="str">
        <x:v>Grupo Bimbo</x:v>
      </x:c>
      <x:c r="G78" t="str">
        <x:v>México</x:v>
      </x:c>
    </x:row>
    <x:row r="79">
      <x:c r="A79" t="str">
        <x:v>SANTIAGO XAVIER</x:v>
      </x:c>
      <x:c r="B79" t="str">
        <x:v>ZULUAGA NOINDICAOTRO</x:v>
      </x:c>
      <x:c r="C79" t="str">
        <x:v>santiago.zuluaga@grupobimbo.com</x:v>
      </x:c>
      <x:c r="D79" t="str">
        <x:v>9/03/26, 5:52:01 PM</x:v>
      </x:c>
      <x:c r="E79" t="str">
        <x:v>Registrado</x:v>
      </x:c>
      <x:c r="F79" t="str">
        <x:v>GRUPO BIMBO</x:v>
      </x:c>
      <x:c r="G79" t="str">
        <x:v>GLOBAL</x:v>
      </x:c>
    </x:row>
    <x:row r="80">
      <x:c r="A80" t="str">
        <x:v>Kathya</x:v>
      </x:c>
      <x:c r="B80" t="str">
        <x:v>Briceño</x:v>
      </x:c>
      <x:c r="C80" t="str">
        <x:v>kathyabriceno@gmail.com</x:v>
      </x:c>
      <x:c r="D80" t="str">
        <x:v>9/04/26, 9:58:24 AM</x:v>
      </x:c>
      <x:c r="E80" t="str">
        <x:v>Registrado</x:v>
      </x:c>
      <x:c r="F80" t="str"/>
      <x:c r="G80" t="str">
        <x:v>Spain</x:v>
      </x:c>
    </x:row>
    <x:row r="81">
      <x:c r="A81" t="str">
        <x:v>Clara</x:v>
      </x:c>
      <x:c r="B81" t="str">
        <x:v>Foresi</x:v>
      </x:c>
      <x:c r="C81" t="str">
        <x:v>claraforesi@gmail.com</x:v>
      </x:c>
      <x:c r="D81" t="str">
        <x:v>9/04/26, 11:27:16 AM</x:v>
      </x:c>
      <x:c r="E81" t="str">
        <x:v>Registrado</x:v>
      </x:c>
      <x:c r="F81" t="str">
        <x:v>WOFA</x:v>
      </x:c>
      <x:c r="G81" t="str">
        <x:v>Argentina</x:v>
      </x:c>
    </x:row>
    <x:row r="82">
      <x:c r="A82" t="str">
        <x:v>Cecilia</x:v>
      </x:c>
      <x:c r="B82" t="str">
        <x:v>Acuña</x:v>
      </x:c>
      <x:c r="C82" t="str">
        <x:v>cacuna@iadb.org</x:v>
      </x:c>
      <x:c r="D82" t="str">
        <x:v>9/04/26, 12:31:20 PM</x:v>
      </x:c>
      <x:c r="E82" t="str">
        <x:v>Registrado</x:v>
      </x:c>
      <x:c r="F82" t="str">
        <x:v>Bid invest</x:v>
      </x:c>
      <x:c r="G82" t="str">
        <x:v>Argentina</x:v>
      </x:c>
    </x:row>
    <x:row r="83">
      <x:c r="A83" t="str">
        <x:v>Carlos</x:v>
      </x:c>
      <x:c r="B83" t="str">
        <x:v>Cabrera</x:v>
      </x:c>
      <x:c r="C83" t="str">
        <x:v>ccabrera@acpagro.com</x:v>
      </x:c>
      <x:c r="D83" t="str">
        <x:v>9/06/26, 9:23:02 PM</x:v>
      </x:c>
      <x:c r="E83" t="str">
        <x:v>Registrado</x:v>
      </x:c>
      <x:c r="F83" t="str">
        <x:v>Agricola Cerro Prieto SA</x:v>
      </x:c>
      <x:c r="G83" t="str">
        <x:v>Perú </x:v>
      </x:c>
    </x:row>
    <x:row r="84">
      <x:c r="A84" t="str">
        <x:v>Carolina</x:v>
      </x:c>
      <x:c r="B84" t="str">
        <x:v>Barbuzza</x:v>
      </x:c>
      <x:c r="C84" t="str">
        <x:v>cfbarbuzza@gmail.com</x:v>
      </x:c>
      <x:c r="D84" t="str">
        <x:v>9/07/26, 12:23:33 PM</x:v>
      </x:c>
      <x:c r="E84" t="str">
        <x:v>Registrado</x:v>
      </x:c>
      <x:c r="F84" t="str">
        <x:v>Ingeniería Ambiental Consultora</x:v>
      </x:c>
      <x:c r="G84" t="str">
        <x:v>Argentina</x:v>
      </x:c>
    </x:row>
    <x:row r="85">
      <x:c r="A85" t="str">
        <x:v>Valentina</x:v>
      </x:c>
      <x:c r="B85" t="str">
        <x:v>Dinamarca</x:v>
      </x:c>
      <x:c r="C85" t="str">
        <x:v>vdinamarca@domainebousquet.com</x:v>
      </x:c>
      <x:c r="D85" t="str">
        <x:v>9/07/26, 2:35:38 PM</x:v>
      </x:c>
      <x:c r="E85" t="str">
        <x:v>Registrado</x:v>
      </x:c>
      <x:c r="F85" t="str">
        <x:v>Domaine Bousquet</x:v>
      </x:c>
      <x:c r="G85" t="str">
        <x:v>Argentina</x:v>
      </x:c>
    </x:row>
    <x:row r="86">
      <x:c r="A86" t="str">
        <x:v>Micaela</x:v>
      </x:c>
      <x:c r="B86" t="str">
        <x:v>Balbi</x:v>
      </x:c>
      <x:c r="C86" t="str">
        <x:v>micaela.balbi@hotmail.com</x:v>
      </x:c>
      <x:c r="D86" t="str">
        <x:v>9/09/26, 9:39:11 AM</x:v>
      </x:c>
      <x:c r="E86" t="str">
        <x:v>Registrado</x:v>
      </x:c>
      <x:c r="F86" t="str">
        <x:v>Wines of Argentina</x:v>
      </x:c>
      <x:c r="G86" t="str">
        <x:v>Argentina</x:v>
      </x:c>
    </x:row>
    <x:row r="87">
      <x:c r="A87" t="str">
        <x:v>Lucila</x:v>
      </x:c>
      <x:c r="B87" t="str">
        <x:v>Carbini (OnePeterson)</x:v>
      </x:c>
      <x:c r="C87" t="str">
        <x:v>lcarbini2@onepeterson.com</x:v>
      </x:c>
      <x:c r="D87" t="str">
        <x:v>9/09/26, 10:12:00 AM</x:v>
      </x:c>
      <x:c r="E87" t="str">
        <x:v>Registrado</x:v>
      </x:c>
      <x:c r="F87" t="str">
        <x:v>Peterson</x:v>
      </x:c>
      <x:c r="G87" t="str">
        <x:v>Argentina</x:v>
      </x:c>
    </x:row>
    <x:row r="88">
      <x:c r="A88" t="str">
        <x:v>MARIA CECILIA</x:v>
      </x:c>
      <x:c r="B88" t="str">
        <x:v>NIEVAS</x:v>
      </x:c>
      <x:c r="C88" t="str">
        <x:v>cnievas@familiaschroeder.com</x:v>
      </x:c>
      <x:c r="D88" t="str">
        <x:v>9/09/26, 10:12:57 AM</x:v>
      </x:c>
      <x:c r="E88" t="str">
        <x:v>Registrado</x:v>
      </x:c>
      <x:c r="F88" t="str">
        <x:v>MARIA Y ADELINA S.A.</x:v>
      </x:c>
      <x:c r="G88" t="str">
        <x:v>Argentina</x:v>
      </x:c>
    </x:row>
    <x:row r="89">
      <x:c r="A89" t="str">
        <x:v>Leandro</x:v>
      </x:c>
      <x:c r="B89" t="str">
        <x:v>Bastias</x:v>
      </x:c>
      <x:c r="C89" t="str">
        <x:v>lbastias@budeguer.com</x:v>
      </x:c>
      <x:c r="D89" t="str">
        <x:v>9/09/26, 10:13:30 AM</x:v>
      </x:c>
      <x:c r="E89" t="str">
        <x:v>Registrado</x:v>
      </x:c>
      <x:c r="F89" t="str">
        <x:v>Bodegas Budeguer S.A.</x:v>
      </x:c>
      <x:c r="G89" t="str">
        <x:v>Argentina</x:v>
      </x:c>
    </x:row>
    <x:row r="90">
      <x:c r="A90" t="str">
        <x:v>Carina</x:v>
      </x:c>
      <x:c r="B90" t="str">
        <x:v>Barros</x:v>
      </x:c>
      <x:c r="C90" t="str">
        <x:v>carina@bodegafosterlorca.com</x:v>
      </x:c>
      <x:c r="D90" t="str">
        <x:v>9/09/26, 10:14:07 AM</x:v>
      </x:c>
      <x:c r="E90" t="str">
        <x:v>Registrado</x:v>
      </x:c>
      <x:c r="F90" t="str">
        <x:v>Bodega y Viñedos Mauricio Lorca SA </x:v>
      </x:c>
      <x:c r="G90" t="str">
        <x:v>Argentina</x:v>
      </x:c>
    </x:row>
    <x:row r="91">
      <x:c r="A91" t="str">
        <x:v>María Sofía</x:v>
      </x:c>
      <x:c r="B91" t="str">
        <x:v>López Taguada</x:v>
      </x:c>
      <x:c r="C91" t="str">
        <x:v>sofialopez@vinacobos.com</x:v>
      </x:c>
      <x:c r="D91" t="str">
        <x:v>9/09/26, 10:14:39 AM</x:v>
      </x:c>
      <x:c r="E91" t="str">
        <x:v>Registrado</x:v>
      </x:c>
      <x:c r="F91" t="str">
        <x:v>Viña Cobos SA</x:v>
      </x:c>
      <x:c r="G91" t="str">
        <x:v>Argentina</x:v>
      </x:c>
    </x:row>
    <x:row r="92">
      <x:c r="A92" t="str">
        <x:v>LOURDES</x:v>
      </x:c>
      <x:c r="B92" t="str">
        <x:v>CASASOLA</x:v>
      </x:c>
      <x:c r="C92" t="str">
        <x:v>lourdes.casasola@grupocolome.com</x:v>
      </x:c>
      <x:c r="D92" t="str">
        <x:v>9/09/26, 10:15:07 AM</x:v>
      </x:c>
      <x:c r="E92" t="str">
        <x:v>Registrado</x:v>
      </x:c>
      <x:c r="F92" t="str">
        <x:v>GRUPO COLOME S A </x:v>
      </x:c>
      <x:c r="G92" t="str">
        <x:v>Argentina</x:v>
      </x:c>
    </x:row>
    <x:row r="93">
      <x:c r="A93" t="str">
        <x:v>María Fernanda</x:v>
      </x:c>
      <x:c r="B93" t="str">
        <x:v>González</x:v>
      </x:c>
      <x:c r="C93" t="str">
        <x:v>marifer.fg84@gmail.com</x:v>
      </x:c>
      <x:c r="D93" t="str">
        <x:v>9/09/26, 10:15:32 AM</x:v>
      </x:c>
      <x:c r="E93" t="str">
        <x:v>Registrado</x:v>
      </x:c>
      <x:c r="F93" t="str"/>
      <x:c r="G93" t="str"/>
    </x:row>
    <x:row r="94">
      <x:c r="A94" t="str">
        <x:v>María Teresa</x:v>
      </x:c>
      <x:c r="B94" t="str">
        <x:v>Juri</x:v>
      </x:c>
      <x:c r="C94" t="str">
        <x:v>marite.juri@bodegasbianchi.com.ar</x:v>
      </x:c>
      <x:c r="D94" t="str">
        <x:v>9/09/26, 10:15:55 AM</x:v>
      </x:c>
      <x:c r="E94" t="str">
        <x:v>Registrado</x:v>
      </x:c>
      <x:c r="F94" t="str"/>
      <x:c r="G94" t="str"/>
    </x:row>
    <x:row r="95">
      <x:c r="A95" t="str">
        <x:v>ALEJANDRA</x:v>
      </x:c>
      <x:c r="B95" t="str">
        <x:v>GIMENEZ</x:v>
      </x:c>
      <x:c r="C95" t="str">
        <x:v>alejandra.gimenez@bodegasbianchi.com.ar</x:v>
      </x:c>
      <x:c r="D95" t="str">
        <x:v>9/09/26, 10:16:41 AM</x:v>
      </x:c>
      <x:c r="E95" t="str">
        <x:v>Registrado</x:v>
      </x:c>
      <x:c r="F95" t="str"/>
      <x:c r="G95" t="str"/>
    </x:row>
    <x:row r="96">
      <x:c r="A96" t="str">
        <x:v>Joaquina</x:v>
      </x:c>
      <x:c r="B96" t="str">
        <x:v>Cristeche</x:v>
      </x:c>
      <x:c r="C96" t="str">
        <x:v>joaquina.cristeche@explora.com.ar</x:v>
      </x:c>
      <x:c r="D96" t="str">
        <x:v>9/09/26, 10:16:43 AM</x:v>
      </x:c>
      <x:c r="E96" t="str">
        <x:v>Registrado</x:v>
      </x:c>
      <x:c r="F96" t="str">
        <x:v>Explora SA</x:v>
      </x:c>
      <x:c r="G96" t="str">
        <x:v>Argentina </x:v>
      </x:c>
    </x:row>
    <x:row r="97">
      <x:c r="A97" t="str">
        <x:v>andrea</x:v>
      </x:c>
      <x:c r="B97" t="str">
        <x:v>carparelli</x:v>
      </x:c>
      <x:c r="C97" t="str">
        <x:v>acarparelli@antigal.com</x:v>
      </x:c>
      <x:c r="D97" t="str">
        <x:v>9/09/26, 10:17:08 AM</x:v>
      </x:c>
      <x:c r="E97" t="str">
        <x:v>Registrado</x:v>
      </x:c>
      <x:c r="F97" t="str"/>
      <x:c r="G97" t="str"/>
    </x:row>
    <x:row r="98">
      <x:c r="A98" t="str">
        <x:v>mariana</x:v>
      </x:c>
      <x:c r="B98" t="str">
        <x:v>corvalan</x:v>
      </x:c>
      <x:c r="C98" t="str">
        <x:v>mcorvalan@familiazuccardi.com</x:v>
      </x:c>
      <x:c r="D98" t="str">
        <x:v>9/09/26, 10:17:29 AM</x:v>
      </x:c>
      <x:c r="E98" t="str">
        <x:v>Registrado</x:v>
      </x:c>
      <x:c r="F98" t="str"/>
      <x:c r="G98" t="str"/>
    </x:row>
    <x:row r="99">
      <x:c r="A99" t="str">
        <x:v>Mauro Andrés</x:v>
      </x:c>
      <x:c r="B99" t="str">
        <x:v>Povedano</x:v>
      </x:c>
      <x:c r="C99" t="str">
        <x:v>apovedano@bodegasfabre.com</x:v>
      </x:c>
      <x:c r="D99" t="str">
        <x:v>9/09/26, 10:17:52 AM</x:v>
      </x:c>
      <x:c r="E99" t="str">
        <x:v>Registrado</x:v>
      </x:c>
      <x:c r="F99" t="str"/>
      <x:c r="G99" t="str"/>
    </x:row>
    <x:row r="100">
      <x:c r="A100" t="str">
        <x:v>Agostina Daniela</x:v>
      </x:c>
      <x:c r="B100" t="str">
        <x:v>Guerrero</x:v>
      </x:c>
      <x:c r="C100" t="str">
        <x:v>agosdaguer.info@gmail.com</x:v>
      </x:c>
      <x:c r="D100" t="str">
        <x:v>9/09/26, 10:18:18 AM</x:v>
      </x:c>
      <x:c r="E100" t="str">
        <x:v>Registrado</x:v>
      </x:c>
      <x:c r="F100" t="str"/>
      <x:c r="G100" t="str"/>
    </x:row>
    <x:row r="101">
      <x:c r="A101" t="str">
        <x:v>ANTONELLA</x:v>
      </x:c>
      <x:c r="B101" t="str">
        <x:v>GIULIANI</x:v>
      </x:c>
      <x:c r="C101" t="str">
        <x:v>antonellabodegatupun@gmail.com</x:v>
      </x:c>
      <x:c r="D101" t="str">
        <x:v>9/09/26, 10:18:46 AM</x:v>
      </x:c>
      <x:c r="E101" t="str">
        <x:v>Registrado</x:v>
      </x:c>
      <x:c r="F101" t="str"/>
      <x:c r="G101" t="str"/>
    </x:row>
    <x:row r="102">
      <x:c r="A102" t="str">
        <x:v>Natalia</x:v>
      </x:c>
      <x:c r="B102" t="str">
        <x:v>Tolin</x:v>
      </x:c>
      <x:c r="C102" t="str">
        <x:v>natalia.tolin@ojodeagua.global</x:v>
      </x:c>
      <x:c r="D102" t="str">
        <x:v>9/09/26, 10:19:33 AM</x:v>
      </x:c>
      <x:c r="E102" t="str">
        <x:v>Registrado</x:v>
      </x:c>
      <x:c r="F102" t="str"/>
      <x:c r="G102" t="str"/>
    </x:row>
    <x:row r="103">
      <x:c r="A103" t="str">
        <x:v>Natalia</x:v>
      </x:c>
      <x:c r="B103" t="str">
        <x:v>Marital</x:v>
      </x:c>
      <x:c r="C103" t="str">
        <x:v>nmarital@bodegasfabre.com</x:v>
      </x:c>
      <x:c r="D103" t="str">
        <x:v>9/09/26, 10:20:00 AM</x:v>
      </x:c>
      <x:c r="E103" t="str">
        <x:v>Registrado</x:v>
      </x:c>
      <x:c r="F103" t="str"/>
      <x:c r="G103" t="str"/>
    </x:row>
    <x:row r="104">
      <x:c r="A104" t="str">
        <x:v>Ana Gabriela</x:v>
      </x:c>
      <x:c r="B104" t="str">
        <x:v>Ormeño</x:v>
      </x:c>
      <x:c r="C104" t="str">
        <x:v>anagabriela.o2010@gmail.com</x:v>
      </x:c>
      <x:c r="D104" t="str">
        <x:v>9/09/26, 10:20:29 AM</x:v>
      </x:c>
      <x:c r="E104" t="str">
        <x:v>Registrado</x:v>
      </x:c>
      <x:c r="F104" t="str"/>
      <x:c r="G104" t="str"/>
    </x:row>
    <x:row r="105">
      <x:c r="A105" t="str">
        <x:v>MARÍA BELÉN</x:v>
      </x:c>
      <x:c r="B105" t="str">
        <x:v>CASSATA</x:v>
      </x:c>
      <x:c r="C105" t="str">
        <x:v>cassatab@coopsve.com</x:v>
      </x:c>
      <x:c r="D105" t="str">
        <x:v>9/09/26, 10:20:57 AM</x:v>
      </x:c>
      <x:c r="E105" t="str">
        <x:v>Registrado</x:v>
      </x:c>
      <x:c r="F105" t="str"/>
      <x:c r="G105" t="str"/>
    </x:row>
    <x:row r="106">
      <x:c r="A106" t="str">
        <x:v>juan</x:v>
      </x:c>
      <x:c r="B106" t="str">
        <x:v>suarez</x:v>
      </x:c>
      <x:c r="C106" t="str">
        <x:v>juanfasuarez@gmail.com</x:v>
      </x:c>
      <x:c r="D106" t="str">
        <x:v>9/09/26, 10:21:23 AM</x:v>
      </x:c>
      <x:c r="E106" t="str">
        <x:v>Registrado</x:v>
      </x:c>
      <x:c r="F106" t="str"/>
      <x:c r="G106" t="str"/>
    </x:row>
    <x:row r="107">
      <x:c r="A107" t="str">
        <x:v>Ana Belén</x:v>
      </x:c>
      <x:c r="B107" t="str">
        <x:v>Orioli</x:v>
      </x:c>
      <x:c r="C107" t="str">
        <x:v>borioli@norton.com.ar</x:v>
      </x:c>
      <x:c r="D107" t="str">
        <x:v>9/09/26, 10:21:48 AM</x:v>
      </x:c>
      <x:c r="E107" t="str">
        <x:v>Registrado</x:v>
      </x:c>
      <x:c r="F107" t="str"/>
      <x:c r="G107" t="str"/>
    </x:row>
    <x:row r="108">
      <x:c r="A108" t="str">
        <x:v>Nora Beatriz</x:v>
      </x:c>
      <x:c r="B108" t="str">
        <x:v>Rubio</x:v>
      </x:c>
      <x:c r="C108" t="str">
        <x:v>nrubio@salentein.com</x:v>
      </x:c>
      <x:c r="D108" t="str">
        <x:v>9/09/26, 10:22:14 AM</x:v>
      </x:c>
      <x:c r="E108" t="str">
        <x:v>Registrado</x:v>
      </x:c>
      <x:c r="F108" t="str"/>
      <x:c r="G108" t="str"/>
    </x:row>
    <x:row r="109">
      <x:c r="A109" t="str">
        <x:v>Pamela</x:v>
      </x:c>
      <x:c r="B109" t="str">
        <x:v>Posse</x:v>
      </x:c>
      <x:c r="C109" t="str">
        <x:v>pame_posse@yahoo.com.ar</x:v>
      </x:c>
      <x:c r="D109" t="str">
        <x:v>9/09/26, 10:22:41 AM</x:v>
      </x:c>
      <x:c r="E109" t="str">
        <x:v>Registrado</x:v>
      </x:c>
      <x:c r="F109" t="str"/>
      <x:c r="G109" t="str"/>
    </x:row>
    <x:row r="110">
      <x:c r="A110" t="str">
        <x:v>Viviana</x:v>
      </x:c>
      <x:c r="B110" t="str">
        <x:v>Michel</x:v>
      </x:c>
      <x:c r="C110" t="str">
        <x:v>alejandravivianamichel17@gmail.com</x:v>
      </x:c>
      <x:c r="D110" t="str">
        <x:v>9/09/26, 10:23:05 AM</x:v>
      </x:c>
      <x:c r="E110" t="str">
        <x:v>Registrado</x:v>
      </x:c>
      <x:c r="F110" t="str"/>
      <x:c r="G110" t="str"/>
    </x:row>
    <x:row r="111">
      <x:c r="A111" t="str">
        <x:v>CELINA ANABEL</x:v>
      </x:c>
      <x:c r="B111" t="str">
        <x:v>ROSAS</x:v>
      </x:c>
      <x:c r="C111" t="str">
        <x:v>celinarosas@mendozavineyards.com</x:v>
      </x:c>
      <x:c r="D111" t="str">
        <x:v>9/09/26, 10:23:29 AM</x:v>
      </x:c>
      <x:c r="E111" t="str">
        <x:v>Registrado</x:v>
      </x:c>
      <x:c r="F111" t="str"/>
      <x:c r="G111" t="str"/>
    </x:row>
    <x:row r="112">
      <x:c r="A112" t="str">
        <x:v>Antonella</x:v>
      </x:c>
      <x:c r="B112" t="str">
        <x:v>Rodriguez Squillaci</x:v>
      </x:c>
      <x:c r="C112" t="str">
        <x:v>antonellarodriguez@mendozavineyards.com</x:v>
      </x:c>
      <x:c r="D112" t="str">
        <x:v>9/09/26, 10:23:57 AM</x:v>
      </x:c>
      <x:c r="E112" t="str">
        <x:v>Registrado</x:v>
      </x:c>
      <x:c r="F112" t="str"/>
      <x:c r="G112" t="str"/>
    </x:row>
    <x:row r="113">
      <x:c r="A113" t="str">
        <x:v>Rosario</x:v>
      </x:c>
      <x:c r="B113" t="str">
        <x:v>Sotelo</x:v>
      </x:c>
      <x:c r="C113" t="str">
        <x:v>rosario.sotelo@grupocolome.com</x:v>
      </x:c>
      <x:c r="D113" t="str">
        <x:v>9/09/26, 10:24:22 AM</x:v>
      </x:c>
      <x:c r="E113" t="str">
        <x:v>Registrado</x:v>
      </x:c>
      <x:c r="F113" t="str"/>
      <x:c r="G113" t="str"/>
    </x:row>
    <x:row r="114">
      <x:c r="A114" t="str">
        <x:v>Soledad</x:v>
      </x:c>
      <x:c r="B114" t="str">
        <x:v>Juncosa</x:v>
      </x:c>
      <x:c r="C114" t="str">
        <x:v>sjuncosa@winesofargentina.com</x:v>
      </x:c>
      <x:c r="D114" t="str">
        <x:v>9/09/26, 10:24:50 AM</x:v>
      </x:c>
      <x:c r="E114" t="str">
        <x:v>Registrado</x:v>
      </x:c>
      <x:c r="F114" t="str"/>
      <x:c r="G114" t="str"/>
    </x:row>
    <x:row r="115">
      <x:c r="A115" t="str">
        <x:v>ROCÍO</x:v>
      </x:c>
      <x:c r="B115" t="str">
        <x:v>PAREJA POQUET</x:v>
      </x:c>
      <x:c r="C115" t="str">
        <x:v>rpareja@luigibosca.com</x:v>
      </x:c>
      <x:c r="D115" t="str">
        <x:v>9/09/26, 10:25:20 AM</x:v>
      </x:c>
      <x:c r="E115" t="str">
        <x:v>Registrado</x:v>
      </x:c>
      <x:c r="F115" t="str"/>
      <x:c r="G115" t="str"/>
    </x:row>
    <x:row r="116">
      <x:c r="A116" t="str">
        <x:v>Patricia</x:v>
      </x:c>
      <x:c r="B116" t="str">
        <x:v>Baldaccini</x:v>
      </x:c>
      <x:c r="C116" t="str">
        <x:v>patricia.baldaccini@gmail.com</x:v>
      </x:c>
      <x:c r="D116" t="str">
        <x:v>9/09/26, 10:25:46 AM</x:v>
      </x:c>
      <x:c r="E116" t="str">
        <x:v>Registrado</x:v>
      </x:c>
      <x:c r="F116" t="str"/>
      <x:c r="G116" t="str"/>
    </x:row>
    <x:row r="117">
      <x:c r="A117" t="str">
        <x:v>Milagros</x:v>
      </x:c>
      <x:c r="B117" t="str">
        <x:v>Nuñez</x:v>
      </x:c>
      <x:c r="C117" t="str">
        <x:v>milagros.nunez@grupocolome.com</x:v>
      </x:c>
      <x:c r="D117" t="str">
        <x:v>9/09/26, 10:26:59 AM</x:v>
      </x:c>
      <x:c r="E117" t="str">
        <x:v>Registrado</x:v>
      </x:c>
      <x:c r="F117" t="str"/>
      <x:c r="G117" t="str"/>
    </x:row>
    <x:row r="118">
      <x:c r="A118" t="str">
        <x:v>Joaquin</x:v>
      </x:c>
      <x:c r="B118" t="str">
        <x:v>Ramirez</x:v>
      </x:c>
      <x:c r="C118" t="str">
        <x:v>enologia@elporvenirdecafayate.com</x:v>
      </x:c>
      <x:c r="D118" t="str">
        <x:v>9/09/26, 10:27:38 AM</x:v>
      </x:c>
      <x:c r="E118" t="str">
        <x:v>Registrado</x:v>
      </x:c>
      <x:c r="F118" t="str"/>
      <x:c r="G118" t="str"/>
    </x:row>
    <x:row r="119">
      <x:c r="A119" t="str">
        <x:v>Valentina</x:v>
      </x:c>
      <x:c r="B119" t="str">
        <x:v>Porta</x:v>
      </x:c>
      <x:c r="C119" t="str">
        <x:v>aporta@familiazuccardi.com</x:v>
      </x:c>
      <x:c r="D119" t="str">
        <x:v>9/09/26, 10:28:15 AM</x:v>
      </x:c>
      <x:c r="E119" t="str">
        <x:v>Registrado</x:v>
      </x:c>
      <x:c r="F119" t="str"/>
      <x:c r="G119" t="str"/>
    </x:row>
    <x:row r="120">
      <x:c r="A120" t="str">
        <x:v>Flavia</x:v>
      </x:c>
      <x:c r="B120" t="str">
        <x:v>Martin</x:v>
      </x:c>
      <x:c r="C120" t="str">
        <x:v>martinflavia1104@gmail.com</x:v>
      </x:c>
      <x:c r="D120" t="str">
        <x:v>9/09/26, 10:28:50 AM</x:v>
      </x:c>
      <x:c r="E120" t="str">
        <x:v>Registrado</x:v>
      </x:c>
      <x:c r="F120" t="str"/>
      <x:c r="G120" t="str"/>
    </x:row>
    <x:row r="121">
      <x:c r="A121" t="str">
        <x:v>Silvana</x:v>
      </x:c>
      <x:c r="B121" t="str">
        <x:v>Di Marco</x:v>
      </x:c>
      <x:c r="C121" t="str">
        <x:v>silvanadimarco@mendozavineyards.com</x:v>
      </x:c>
      <x:c r="D121" t="str">
        <x:v>9/09/26, 10:29:14 AM</x:v>
      </x:c>
      <x:c r="E121" t="str">
        <x:v>Registrado</x:v>
      </x:c>
      <x:c r="F121" t="str"/>
      <x:c r="G121" t="str"/>
    </x:row>
    <x:row r="122">
      <x:c r="A122" t="str">
        <x:v>Alejandro</x:v>
      </x:c>
      <x:c r="B122" t="str">
        <x:v>Mónaco</x:v>
      </x:c>
      <x:c r="C122" t="str">
        <x:v>monacoale@hotmail.com</x:v>
      </x:c>
      <x:c r="D122" t="str">
        <x:v>9/09/26, 10:30:07 AM</x:v>
      </x:c>
      <x:c r="E122" t="str">
        <x:v>Registrado</x:v>
      </x:c>
      <x:c r="F122" t="str"/>
      <x:c r="G122" t="str"/>
    </x:row>
    <x:row r="123">
      <x:c r="A123" t="str">
        <x:v>Andrea</x:v>
      </x:c>
      <x:c r="B123" t="str">
        <x:v>Cosentino</x:v>
      </x:c>
      <x:c r="C123" t="str">
        <x:v>acosentino.bromatologia@gmail.com</x:v>
      </x:c>
      <x:c r="D123" t="str">
        <x:v>9/09/26, 10:30:28 AM</x:v>
      </x:c>
      <x:c r="E123" t="str">
        <x:v>Registrado</x:v>
      </x:c>
      <x:c r="F123" t="str"/>
      <x:c r="G123" t="str"/>
    </x:row>
    <x:row r="124">
      <x:c r="A124" t="str">
        <x:v>Laura</x:v>
      </x:c>
      <x:c r="B124" t="str">
        <x:v>Hidalgo</x:v>
      </x:c>
      <x:c r="C124" t="str">
        <x:v>hidalgoml@gmail.com</x:v>
      </x:c>
      <x:c r="D124" t="str">
        <x:v>9/09/26, 10:31:11 AM</x:v>
      </x:c>
      <x:c r="E124" t="str">
        <x:v>Registrado</x:v>
      </x:c>
      <x:c r="F124" t="str"/>
      <x:c r="G124" t="str"/>
    </x:row>
    <x:row r="125">
      <x:c r="A125" t="str">
        <x:v>Jennifer</x:v>
      </x:c>
      <x:c r="B125" t="str">
        <x:v>Ferré</x:v>
      </x:c>
      <x:c r="C125" t="str">
        <x:v>calidad.amalaya@grupocolome.com</x:v>
      </x:c>
      <x:c r="D125" t="str">
        <x:v>9/09/26, 10:31:41 AM</x:v>
      </x:c>
      <x:c r="E125" t="str">
        <x:v>Registrado</x:v>
      </x:c>
      <x:c r="F125" t="str"/>
      <x:c r="G125" t="str"/>
    </x:row>
    <x:row r="126">
      <x:c r="A126" t="str">
        <x:v>SILVANA</x:v>
      </x:c>
      <x:c r="B126" t="str">
        <x:v>BARUFALDI</x:v>
      </x:c>
      <x:c r="C126" t="str">
        <x:v>silvana.barufaldi@grupopenaflor.com.ar</x:v>
      </x:c>
      <x:c r="D126" t="str">
        <x:v>9/09/26, 10:32:48 AM</x:v>
      </x:c>
      <x:c r="E126" t="str">
        <x:v>Registrado</x:v>
      </x:c>
      <x:c r="F126" t="str"/>
      <x:c r="G126" t="str"/>
    </x:row>
    <x:row r="127">
      <x:c r="A127" t="str">
        <x:v>Daniel</x:v>
      </x:c>
      <x:c r="B127" t="str">
        <x:v>Velásquez</x:v>
      </x:c>
      <x:c r="C127" t="str">
        <x:v>contacto@bywine.com.ar</x:v>
      </x:c>
      <x:c r="D127" t="str">
        <x:v>9/09/26, 10:33:07 AM</x:v>
      </x:c>
      <x:c r="E127" t="str">
        <x:v>Registrado</x:v>
      </x:c>
      <x:c r="F127" t="str"/>
      <x:c r="G127" t="str"/>
    </x:row>
    <x:row r="128">
      <x:c r="A128" t="str">
        <x:v>Florencia</x:v>
      </x:c>
      <x:c r="B128" t="str">
        <x:v>Gomez</x:v>
      </x:c>
      <x:c r="C128" t="str">
        <x:v>florencia.gomez@grupoavinea.com</x:v>
      </x:c>
      <x:c r="D128" t="str">
        <x:v>9/09/26, 10:33:27 AM</x:v>
      </x:c>
      <x:c r="E128" t="str">
        <x:v>Registrado</x:v>
      </x:c>
      <x:c r="F128" t="str"/>
      <x:c r="G128" t="str"/>
    </x:row>
    <x:row r="129">
      <x:c r="A129" t="str">
        <x:v>Patricia</x:v>
      </x:c>
      <x:c r="B129" t="str">
        <x:v>Mulet</x:v>
      </x:c>
      <x:c r="C129" t="str">
        <x:v>pamymsa@gmail.com</x:v>
      </x:c>
      <x:c r="D129" t="str">
        <x:v>9/09/26, 10:33:48 AM</x:v>
      </x:c>
      <x:c r="E129" t="str">
        <x:v>Registrado</x:v>
      </x:c>
      <x:c r="F129" t="str"/>
      <x:c r="G129" t="str"/>
    </x:row>
    <x:row r="130">
      <x:c r="A130" t="str">
        <x:v>Natalia</x:v>
      </x:c>
      <x:c r="B130" t="str">
        <x:v>Corgo</x:v>
      </x:c>
      <x:c r="C130" t="str">
        <x:v>nhcorgo@gmail.com</x:v>
      </x:c>
      <x:c r="D130" t="str">
        <x:v>9/09/26, 10:34:07 AM</x:v>
      </x:c>
      <x:c r="E130" t="str">
        <x:v>Registrado</x:v>
      </x:c>
      <x:c r="F130" t="str"/>
      <x:c r="G130" t="str"/>
    </x:row>
    <x:row r="131">
      <x:c r="A131" t="str">
        <x:v>Daniela</x:v>
      </x:c>
      <x:c r="B131" t="str">
        <x:v>Tiezzi</x:v>
      </x:c>
      <x:c r="C131" t="str">
        <x:v>tiezzidaniela@gmail.com</x:v>
      </x:c>
      <x:c r="D131" t="str">
        <x:v>9/09/26, 10:34:25 AM</x:v>
      </x:c>
      <x:c r="E131" t="str">
        <x:v>Registrado</x:v>
      </x:c>
      <x:c r="F131" t="str"/>
      <x:c r="G131" t="str"/>
    </x:row>
    <x:row r="132">
      <x:c r="A132" t="str">
        <x:v>Pippa</x:v>
      </x:c>
      <x:c r="B132" t="str">
        <x:v>Townley</x:v>
      </x:c>
      <x:c r="C132" t="str">
        <x:v>pippat@blendswineestates.com</x:v>
      </x:c>
      <x:c r="D132" t="str">
        <x:v>9/09/26, 10:35:08 AM</x:v>
      </x:c>
      <x:c r="E132" t="str">
        <x:v>Registrado</x:v>
      </x:c>
      <x:c r="F132" t="str"/>
      <x:c r="G132" t="str"/>
    </x:row>
    <x:row r="133">
      <x:c r="A133" t="str">
        <x:v>Ignacio</x:v>
      </x:c>
      <x:c r="B133" t="str">
        <x:v>Ciancio</x:v>
      </x:c>
      <x:c r="C133" t="str">
        <x:v>ignaciociancio@hotmail.com</x:v>
      </x:c>
      <x:c r="D133" t="str">
        <x:v>9/09/26, 10:35:39 AM</x:v>
      </x:c>
      <x:c r="E133" t="str">
        <x:v>Registrado</x:v>
      </x:c>
      <x:c r="F133" t="str"/>
      <x:c r="G133" t="str"/>
    </x:row>
    <x:row r="134">
      <x:c r="A134" t="str">
        <x:v>Daniela</x:v>
      </x:c>
      <x:c r="B134" t="str">
        <x:v>Mezzatesta</x:v>
      </x:c>
      <x:c r="C134" t="str">
        <x:v>dmezzatesta@terrazasdelosandes.com.ar</x:v>
      </x:c>
      <x:c r="D134" t="str">
        <x:v>9/09/26, 10:36:10 AM</x:v>
      </x:c>
      <x:c r="E134" t="str">
        <x:v>Registrado</x:v>
      </x:c>
      <x:c r="F134" t="str"/>
      <x:c r="G134" t="str"/>
    </x:row>
    <x:row r="135">
      <x:c r="A135" t="str">
        <x:v>Berenice</x:v>
      </x:c>
      <x:c r="B135" t="str">
        <x:v>Burdet</x:v>
      </x:c>
      <x:c r="C135" t="str">
        <x:v>bereniceburdet@masitupungato.com</x:v>
      </x:c>
      <x:c r="D135" t="str">
        <x:v>9/09/26, 10:37:11 AM</x:v>
      </x:c>
      <x:c r="E135" t="str">
        <x:v>Registrado</x:v>
      </x:c>
      <x:c r="F135" t="str"/>
      <x:c r="G135" t="str"/>
    </x:row>
    <x:row r="136">
      <x:c r="A136" t="str">
        <x:v>ANA MARIA</x:v>
      </x:c>
      <x:c r="B136" t="str">
        <x:v>CHERASCO</x:v>
      </x:c>
      <x:c r="C136" t="str">
        <x:v>acherasco@liafcontrol.com</x:v>
      </x:c>
      <x:c r="D136" t="str">
        <x:v>9/09/26, 10:37:41 AM</x:v>
      </x:c>
      <x:c r="E136" t="str">
        <x:v>Registrado</x:v>
      </x:c>
      <x:c r="F136" t="str"/>
      <x:c r="G136" t="str"/>
    </x:row>
    <x:row r="137">
      <x:c r="A137" t="str">
        <x:v>Lucas</x:v>
      </x:c>
      <x:c r="B137" t="str">
        <x:v>Escudero</x:v>
      </x:c>
      <x:c r="C137" t="str">
        <x:v>lucas.escudero90@gmail.com</x:v>
      </x:c>
      <x:c r="D137" t="str">
        <x:v>9/09/26, 10:38:03 AM</x:v>
      </x:c>
      <x:c r="E137" t="str">
        <x:v>Registrado</x:v>
      </x:c>
      <x:c r="F137" t="str"/>
      <x:c r="G137" t="str"/>
    </x:row>
    <x:row r="138">
      <x:c r="A138" t="str">
        <x:v>Fernanda</x:v>
      </x:c>
      <x:c r="B138" t="str">
        <x:v>Bustos</x:v>
      </x:c>
      <x:c r="C138" t="str">
        <x:v>bustos.fernanda89@gmail.com</x:v>
      </x:c>
      <x:c r="D138" t="str">
        <x:v>9/09/26, 10:38:23 AM</x:v>
      </x:c>
      <x:c r="E138" t="str">
        <x:v>Registrado</x:v>
      </x:c>
      <x:c r="F138" t="str"/>
      <x:c r="G138" t="str"/>
    </x:row>
    <x:row r="139">
      <x:c r="A139" t="str">
        <x:v>Germán</x:v>
      </x:c>
      <x:c r="B139" t="str">
        <x:v>Turcuman</x:v>
      </x:c>
      <x:c r="C139" t="str">
        <x:v>gturcuman@familiazuccardi.com</x:v>
      </x:c>
      <x:c r="D139" t="str">
        <x:v>9/09/26, 10:38:45 AM</x:v>
      </x:c>
      <x:c r="E139" t="str">
        <x:v>Registrado</x:v>
      </x:c>
      <x:c r="F139" t="str"/>
      <x:c r="G139" t="str"/>
    </x:row>
    <x:row r="140">
      <x:c r="A140" t="str">
        <x:v>SEBASTIAN</x:v>
      </x:c>
      <x:c r="B140" t="str">
        <x:v>CASTRO</x:v>
      </x:c>
      <x:c r="C140" t="str">
        <x:v>scastro@familiazuccardi.com</x:v>
      </x:c>
      <x:c r="D140" t="str">
        <x:v>9/09/26, 10:39:05 AM</x:v>
      </x:c>
      <x:c r="E140" t="str">
        <x:v>Registrado</x:v>
      </x:c>
      <x:c r="F140" t="str"/>
      <x:c r="G140" t="str"/>
    </x:row>
    <x:row r="141">
      <x:c r="A141" t="str">
        <x:v>Laura</x:v>
      </x:c>
      <x:c r="B141" t="str">
        <x:v>Alturria</x:v>
      </x:c>
      <x:c r="C141" t="str">
        <x:v>tecnicas@bodegasdeargentina.org</x:v>
      </x:c>
      <x:c r="D141" t="str">
        <x:v>9/09/26, 10:39:26 AM</x:v>
      </x:c>
      <x:c r="E141" t="str">
        <x:v>Registrado</x:v>
      </x:c>
      <x:c r="F141" t="str"/>
      <x:c r="G141" t="str"/>
    </x:row>
    <x:row r="142">
      <x:c r="A142" t="str">
        <x:v>Andres</x:v>
      </x:c>
      <x:c r="B142" t="str">
        <x:v>Valero</x:v>
      </x:c>
      <x:c r="C142" t="str">
        <x:v>andres.valero@grupoavinea.com</x:v>
      </x:c>
      <x:c r="D142" t="str">
        <x:v>9/09/26, 10:39:34 AM</x:v>
      </x:c>
      <x:c r="E142" t="str">
        <x:v>Registrado</x:v>
      </x:c>
      <x:c r="F142" t="str"/>
      <x:c r="G142" t="str"/>
    </x:row>
    <x:row r="143">
      <x:c r="A143" t="str">
        <x:v>Jesica</x:v>
      </x:c>
      <x:c r="B143" t="str">
        <x:v>Giovanini</x:v>
      </x:c>
      <x:c r="C143" t="str">
        <x:v>jgiovanini@rutiniwines.com</x:v>
      </x:c>
      <x:c r="D143" t="str">
        <x:v>9/09/26, 10:40:01 AM</x:v>
      </x:c>
      <x:c r="E143" t="str">
        <x:v>Registrado</x:v>
      </x:c>
      <x:c r="F143" t="str"/>
      <x:c r="G143" t="str"/>
    </x:row>
    <x:row r="144">
      <x:c r="A144" t="str">
        <x:v>Macarena</x:v>
      </x:c>
      <x:c r="B144" t="str">
        <x:v>Mora</x:v>
      </x:c>
      <x:c r="C144" t="str">
        <x:v>administracion@casayague.com</x:v>
      </x:c>
      <x:c r="D144" t="str">
        <x:v>9/09/26, 10:40:21 AM</x:v>
      </x:c>
      <x:c r="E144" t="str">
        <x:v>Registrado</x:v>
      </x:c>
      <x:c r="F144" t="str"/>
      <x:c r="G144" t="str"/>
    </x:row>
    <x:row r="145">
      <x:c r="A145" t="str">
        <x:v>Ana Clara</x:v>
      </x:c>
      <x:c r="B145" t="str">
        <x:v>Longo</x:v>
      </x:c>
      <x:c r="C145" t="str">
        <x:v>anaclara.longo@grupopenaflor.com.ar</x:v>
      </x:c>
      <x:c r="D145" t="str">
        <x:v>9/09/26, 10:40:26 AM</x:v>
      </x:c>
      <x:c r="E145" t="str">
        <x:v>Registrado</x:v>
      </x:c>
      <x:c r="F145" t="str"/>
      <x:c r="G145" t="str"/>
    </x:row>
    <x:row r="146">
      <x:c r="A146" t="str">
        <x:v>María Laura</x:v>
      </x:c>
      <x:c r="B146" t="str">
        <x:v>Meschini Gonzalez</x:v>
      </x:c>
      <x:c r="C146" t="str">
        <x:v>mlgonzalez@catenazapata.com</x:v>
      </x:c>
      <x:c r="D146" t="str">
        <x:v>9/09/26, 10:40:35 AM</x:v>
      </x:c>
      <x:c r="E146" t="str">
        <x:v>Registrado</x:v>
      </x:c>
      <x:c r="F146" t="str"/>
      <x:c r="G146" t="str"/>
    </x:row>
    <x:row r="147">
      <x:c r="A147" t="str">
        <x:v>ANDRES</x:v>
      </x:c>
      <x:c r="B147" t="str">
        <x:v>STOCCO</x:v>
      </x:c>
      <x:c r="C147" t="str">
        <x:v>andres.stocco@chakanawines.com.ar</x:v>
      </x:c>
      <x:c r="D147" t="str">
        <x:v>9/09/26, 10:40:58 AM</x:v>
      </x:c>
      <x:c r="E147" t="str">
        <x:v>Registrado</x:v>
      </x:c>
      <x:c r="F147" t="str"/>
      <x:c r="G147" t="str"/>
    </x:row>
    <x:row r="148">
      <x:c r="A148" t="str">
        <x:v>Laura</x:v>
      </x:c>
      <x:c r="B148" t="str">
        <x:v>González</x:v>
      </x:c>
      <x:c r="C148" t="str">
        <x:v>lgonzalez@catenazapata.com</x:v>
      </x:c>
      <x:c r="D148" t="str">
        <x:v>9/09/26, 10:41:07 AM</x:v>
      </x:c>
      <x:c r="E148" t="str">
        <x:v>Registrado</x:v>
      </x:c>
      <x:c r="F148" t="str"/>
      <x:c r="G148" t="str"/>
    </x:row>
    <x:row r="149">
      <x:c r="A149" t="str">
        <x:v>Laura</x:v>
      </x:c>
      <x:c r="B149" t="str">
        <x:v>Contino</x:v>
      </x:c>
      <x:c r="C149" t="str">
        <x:v>lcontino@achaval-ferrer.com</x:v>
      </x:c>
      <x:c r="D149" t="str">
        <x:v>9/09/26, 10:41:37 AM</x:v>
      </x:c>
      <x:c r="E149" t="str">
        <x:v>Registrado</x:v>
      </x:c>
      <x:c r="F149" t="str"/>
      <x:c r="G149" t="str"/>
    </x:row>
    <x:row r="150">
      <x:c r="A150" t="str">
        <x:v>Gustavo</x:v>
      </x:c>
      <x:c r="B150" t="str">
        <x:v>Crespo</x:v>
      </x:c>
      <x:c r="C150" t="str">
        <x:v>gustavoc@blendswineestates.com</x:v>
      </x:c>
      <x:c r="D150" t="str">
        <x:v>9/09/26, 10:41:52 AM</x:v>
      </x:c>
      <x:c r="E150" t="str">
        <x:v>Registrado</x:v>
      </x:c>
      <x:c r="F150" t="str"/>
      <x:c r="G150" t="str"/>
    </x:row>
    <x:row r="151">
      <x:c r="A151" t="str">
        <x:v>Marisa</x:v>
      </x:c>
      <x:c r="B151" t="str">
        <x:v>Zapata</x:v>
      </x:c>
      <x:c r="C151" t="str">
        <x:v>mzapata@catenazapata.com</x:v>
      </x:c>
      <x:c r="D151" t="str">
        <x:v>9/09/26, 10:42:08 AM</x:v>
      </x:c>
      <x:c r="E151" t="str">
        <x:v>Registrado</x:v>
      </x:c>
      <x:c r="F151" t="str"/>
      <x:c r="G151" t="str"/>
    </x:row>
    <x:row r="152">
      <x:c r="A152" t="str">
        <x:v>Mariana del Carmen</x:v>
      </x:c>
      <x:c r="B152" t="str">
        <x:v>Labella</x:v>
      </x:c>
      <x:c r="C152" t="str">
        <x:v>maribella440@gmail.com</x:v>
      </x:c>
      <x:c r="D152" t="str">
        <x:v>9/09/26, 10:42:35 AM</x:v>
      </x:c>
      <x:c r="E152" t="str">
        <x:v>Registrado</x:v>
      </x:c>
      <x:c r="F152" t="str"/>
      <x:c r="G152" t="str"/>
    </x:row>
    <x:row r="153">
      <x:c r="A153" t="str">
        <x:v>Agustina</x:v>
      </x:c>
      <x:c r="B153" t="str">
        <x:v>Merlo Vallone</x:v>
      </x:c>
      <x:c r="C153" t="str">
        <x:v>agustina.merlo@lagarde.com.ar</x:v>
      </x:c>
      <x:c r="D153" t="str">
        <x:v>9/09/26, 10:42:40 AM</x:v>
      </x:c>
      <x:c r="E153" t="str">
        <x:v>Registrado</x:v>
      </x:c>
      <x:c r="F153" t="str"/>
      <x:c r="G153" t="str"/>
    </x:row>
    <x:row r="154">
      <x:c r="A154" t="str">
        <x:v>Agustina</x:v>
      </x:c>
      <x:c r="B154" t="str">
        <x:v>Martín</x:v>
      </x:c>
      <x:c r="C154" t="str">
        <x:v>amartin@familiazuccardi.com</x:v>
      </x:c>
      <x:c r="D154" t="str">
        <x:v>9/09/26, 10:42:59 AM</x:v>
      </x:c>
      <x:c r="E154" t="str">
        <x:v>Registrado</x:v>
      </x:c>
      <x:c r="F154" t="str"/>
      <x:c r="G154" t="str"/>
    </x:row>
    <x:row r="155">
      <x:c r="A155" t="str">
        <x:v>ROCIO</x:v>
      </x:c>
      <x:c r="B155" t="str">
        <x:v>FRETTES</x:v>
      </x:c>
      <x:c r="C155" t="str">
        <x:v>rocio@pulentaestate.com</x:v>
      </x:c>
      <x:c r="D155" t="str">
        <x:v>9/09/26, 10:43:11 AM</x:v>
      </x:c>
      <x:c r="E155" t="str">
        <x:v>Registrado</x:v>
      </x:c>
      <x:c r="F155" t="str"/>
      <x:c r="G155" t="str"/>
    </x:row>
    <x:row r="156">
      <x:c r="A156" t="str">
        <x:v>Sofía Macarena</x:v>
      </x:c>
      <x:c r="B156" t="str">
        <x:v>Orelogio</x:v>
      </x:c>
      <x:c r="C156" t="str">
        <x:v>sofia.orelogio@lagarde.com.ar</x:v>
      </x:c>
      <x:c r="D156" t="str">
        <x:v>9/09/26, 10:43:23 AM</x:v>
      </x:c>
      <x:c r="E156" t="str">
        <x:v>Registrado</x:v>
      </x:c>
      <x:c r="F156" t="str"/>
      <x:c r="G156" t="str"/>
    </x:row>
    <x:row r="157">
      <x:c r="A157" t="str">
        <x:v>Virginia</x:v>
      </x:c>
      <x:c r="B157" t="str">
        <x:v>Cubecino</x:v>
      </x:c>
      <x:c r="C157" t="str">
        <x:v>vcubecino@rutiniwines.com</x:v>
      </x:c>
      <x:c r="D157" t="str">
        <x:v>9/09/26, 10:43:43 AM</x:v>
      </x:c>
      <x:c r="E157" t="str">
        <x:v>Registrado</x:v>
      </x:c>
      <x:c r="F157" t="str"/>
      <x:c r="G157" t="str"/>
    </x:row>
    <x:row r="158">
      <x:c r="A158" t="str">
        <x:v>Tomas</x:v>
      </x:c>
      <x:c r="B158" t="str">
        <x:v>Palacios</x:v>
      </x:c>
      <x:c r="C158" t="str">
        <x:v>tpalacios@controlunion.com</x:v>
      </x:c>
      <x:c r="D158" t="str">
        <x:v>9/09/26, 10:43:46 AM</x:v>
      </x:c>
      <x:c r="E158" t="str">
        <x:v>Registrado</x:v>
      </x:c>
      <x:c r="F158" t="str">
        <x:v>CUA</x:v>
      </x:c>
      <x:c r="G158" t="str">
        <x:v>Arg</x:v>
      </x:c>
    </x:row>
    <x:row r="159">
      <x:c r="A159" t="str">
        <x:v>Andrea</x:v>
      </x:c>
      <x:c r="B159" t="str">
        <x:v>Rivarola</x:v>
      </x:c>
      <x:c r="C159" t="str">
        <x:v>drivarola@inti.gob.ar</x:v>
      </x:c>
      <x:c r="D159" t="str">
        <x:v>9/09/26, 10:44:00 AM</x:v>
      </x:c>
      <x:c r="E159" t="str">
        <x:v>Registrado</x:v>
      </x:c>
      <x:c r="F159" t="str"/>
      <x:c r="G159" t="str"/>
    </x:row>
    <x:row r="160">
      <x:c r="A160" t="str">
        <x:v>Nicolas</x:v>
      </x:c>
      <x:c r="B160" t="str">
        <x:v>Heredia</x:v>
      </x:c>
      <x:c r="C160" t="str">
        <x:v>nicoheredia31@gmail.com</x:v>
      </x:c>
      <x:c r="D160" t="str">
        <x:v>9/09/26, 10:44:05 AM</x:v>
      </x:c>
      <x:c r="E160" t="str">
        <x:v>Registrado</x:v>
      </x:c>
      <x:c r="F160" t="str"/>
      <x:c r="G160" t="str"/>
    </x:row>
    <x:row r="161">
      <x:c r="A161" t="str">
        <x:v>Pablo</x:v>
      </x:c>
      <x:c r="B161" t="str">
        <x:v>cerutti</x:v>
      </x:c>
      <x:c r="C161" t="str">
        <x:v>pcerutti@inti.gob.ar</x:v>
      </x:c>
      <x:c r="D161" t="str">
        <x:v>9/09/26, 10:44:26 AM</x:v>
      </x:c>
      <x:c r="E161" t="str">
        <x:v>Registrado</x:v>
      </x:c>
      <x:c r="F161" t="str"/>
      <x:c r="G161" t="str"/>
    </x:row>
    <x:row r="162">
      <x:c r="A162" t="str">
        <x:v>Noelia</x:v>
      </x:c>
      <x:c r="B162" t="str">
        <x:v>Peralta</x:v>
      </x:c>
      <x:c r="C162" t="str">
        <x:v>noelia.peralta@decero.com</x:v>
      </x:c>
      <x:c r="D162" t="str">
        <x:v>9/09/26, 10:44:48 AM</x:v>
      </x:c>
      <x:c r="E162" t="str">
        <x:v>Registrado</x:v>
      </x:c>
      <x:c r="F162" t="str"/>
      <x:c r="G162" t="str"/>
    </x:row>
    <x:row r="163">
      <x:c r="A163" t="str">
        <x:v>Sergio</x:v>
      </x:c>
      <x:c r="B163" t="str">
        <x:v>Tiberi</x:v>
      </x:c>
      <x:c r="C163" t="str">
        <x:v>stiberi@familiazuccardi.com</x:v>
      </x:c>
      <x:c r="D163" t="str">
        <x:v>9/09/26, 10:45:07 AM</x:v>
      </x:c>
      <x:c r="E163" t="str">
        <x:v>Registrado</x:v>
      </x:c>
      <x:c r="F163" t="str"/>
      <x:c r="G163" t="str"/>
    </x:row>
    <x:row r="164">
      <x:c r="A164" t="str">
        <x:v>Majo</x:v>
      </x:c>
      <x:c r="B164" t="str">
        <x:v>Peroni</x:v>
      </x:c>
      <x:c r="C164" t="str">
        <x:v>mp.branding.content@gmail.com</x:v>
      </x:c>
      <x:c r="D164" t="str">
        <x:v>9/09/26, 10:45:32 AM</x:v>
      </x:c>
      <x:c r="E164" t="str">
        <x:v>Registrado</x:v>
      </x:c>
      <x:c r="F164" t="str"/>
      <x:c r="G164" t="str"/>
    </x:row>
    <x:row r="165">
      <x:c r="A165" t="str">
        <x:v>Pablo Esteban</x:v>
      </x:c>
      <x:c r="B165" t="str">
        <x:v>Rodriguez</x:v>
      </x:c>
      <x:c r="C165" t="str">
        <x:v>import@tresvins.dk</x:v>
      </x:c>
      <x:c r="D165" t="str">
        <x:v>9/09/26, 10:45:36 AM</x:v>
      </x:c>
      <x:c r="E165" t="str">
        <x:v>Registrado</x:v>
      </x:c>
      <x:c r="F165" t="str"/>
      <x:c r="G165" t="str"/>
    </x:row>
    <x:row r="166">
      <x:c r="A166" t="str">
        <x:v>Amparo</x:v>
      </x:c>
      <x:c r="B166" t="str">
        <x:v>Zandomeni</x:v>
      </x:c>
      <x:c r="C166" t="str">
        <x:v>amparo@pulentaestate.com</x:v>
      </x:c>
      <x:c r="D166" t="str">
        <x:v>9/09/26, 10:46:06 AM</x:v>
      </x:c>
      <x:c r="E166" t="str">
        <x:v>Registrado</x:v>
      </x:c>
      <x:c r="F166" t="str"/>
      <x:c r="G166" t="str"/>
    </x:row>
    <x:row r="167">
      <x:c r="A167" t="str">
        <x:v>María Paula</x:v>
      </x:c>
      <x:c r="B167" t="str">
        <x:v>Trejo Simonassi</x:v>
      </x:c>
      <x:c r="C167" t="str">
        <x:v>mtrejosimonassi@gmail.com</x:v>
      </x:c>
      <x:c r="D167" t="str">
        <x:v>9/09/26, 10:46:12 AM</x:v>
      </x:c>
      <x:c r="E167" t="str">
        <x:v>Registrado</x:v>
      </x:c>
      <x:c r="F167" t="str"/>
      <x:c r="G167" t="str"/>
    </x:row>
    <x:row r="168">
      <x:c r="A168" t="str">
        <x:v>Teresa</x:v>
      </x:c>
      <x:c r="B168" t="str">
        <x:v>Cedenilla</x:v>
      </x:c>
      <x:c r="C168" t="str">
        <x:v>teresa.cedenilla@blendswineestates.com</x:v>
      </x:c>
      <x:c r="D168" t="str">
        <x:v>9/09/26, 10:47:00 AM</x:v>
      </x:c>
      <x:c r="E168" t="str">
        <x:v>Registrado</x:v>
      </x:c>
      <x:c r="F168" t="str"/>
      <x:c r="G168" t="str"/>
    </x:row>
    <x:row r="169">
      <x:c r="A169" t="str">
        <x:v>Mercedes</x:v>
      </x:c>
      <x:c r="B169" t="str">
        <x:v>Alvarez</x:v>
      </x:c>
      <x:c r="C169" t="str">
        <x:v>mercedes.alvarez@trivento.com</x:v>
      </x:c>
      <x:c r="D169" t="str">
        <x:v>9/09/26, 10:47:27 AM</x:v>
      </x:c>
      <x:c r="E169" t="str">
        <x:v>Registrado</x:v>
      </x:c>
      <x:c r="F169" t="str"/>
      <x:c r="G169" t="str"/>
    </x:row>
    <x:row r="170">
      <x:c r="A170" t="str">
        <x:v>Dalia</x:v>
      </x:c>
      <x:c r="B170" t="str">
        <x:v>Orlinski</x:v>
      </x:c>
      <x:c r="C170" t="str">
        <x:v>dalia.orlinski@grupoavinea.com</x:v>
      </x:c>
      <x:c r="D170" t="str">
        <x:v>9/09/26, 10:47:48 AM</x:v>
      </x:c>
      <x:c r="E170" t="str">
        <x:v>Registrado</x:v>
      </x:c>
      <x:c r="F170" t="str"/>
      <x:c r="G170" t="str"/>
    </x:row>
    <x:row r="171">
      <x:c r="A171" t="str">
        <x:v>Julieta</x:v>
      </x:c>
      <x:c r="B171" t="str">
        <x:v>Capreti</x:v>
      </x:c>
      <x:c r="C171" t="str">
        <x:v>j.capreti@hotmail.com</x:v>
      </x:c>
      <x:c r="D171" t="str">
        <x:v>9/09/26, 10:48:51 AM</x:v>
      </x:c>
      <x:c r="E171" t="str">
        <x:v>Registrado</x:v>
      </x:c>
      <x:c r="F171" t="str"/>
      <x:c r="G171" t="str"/>
    </x:row>
    <x:row r="172">
      <x:c r="A172" t="str">
        <x:v>Sol</x:v>
      </x:c>
      <x:c r="B172" t="str">
        <x:v>Cornejo</x:v>
      </x:c>
      <x:c r="C172" t="str">
        <x:v>scornejo@rutiniwines.com</x:v>
      </x:c>
      <x:c r="D172" t="str">
        <x:v>9/09/26, 10:50:17 AM</x:v>
      </x:c>
      <x:c r="E172" t="str">
        <x:v>Registrado</x:v>
      </x:c>
      <x:c r="F172" t="str"/>
      <x:c r="G172" t="str"/>
    </x:row>
    <x:row r="173">
      <x:c r="A173" t="str">
        <x:v>Leticia</x:v>
      </x:c>
      <x:c r="B173" t="str">
        <x:v>Viazzo</x:v>
      </x:c>
      <x:c r="C173" t="str">
        <x:v>lviazzo@terrazasdelosandes.com.ar</x:v>
      </x:c>
      <x:c r="D173" t="str">
        <x:v>9/09/26, 10:51:02 AM</x:v>
      </x:c>
      <x:c r="E173" t="str">
        <x:v>Registrado</x:v>
      </x:c>
      <x:c r="F173" t="str"/>
      <x:c r="G173" t="str"/>
    </x:row>
    <x:row r="174">
      <x:c r="A174" t="str">
        <x:v>MARIA JOSE</x:v>
      </x:c>
      <x:c r="B174" t="str">
        <x:v>PELEITAY PINTO</x:v>
      </x:c>
      <x:c r="C174" t="str">
        <x:v>mariajose@bodegafosterlorca.com</x:v>
      </x:c>
      <x:c r="D174" t="str">
        <x:v>9/09/26, 11:04:20 AM</x:v>
      </x:c>
      <x:c r="E174" t="str">
        <x:v>Registrado</x:v>
      </x:c>
      <x:c r="F174" t="str"/>
      <x:c r="G174" t="str"/>
    </x:row>
    <x:row r="175">
      <x:c r="A175" t="str">
        <x:v>Ángela</x:v>
      </x:c>
      <x:c r="B175" t="str">
        <x:v>Martín Pobo</x:v>
      </x:c>
      <x:c r="C175" t="str">
        <x:v>amartin@aimplas.es</x:v>
      </x:c>
      <x:c r="D175" t="str">
        <x:v>9/09/26, 11:13:30 AM</x:v>
      </x:c>
      <x:c r="E175" t="str">
        <x:v>Registrado</x:v>
      </x:c>
      <x:c r="F175" t="str">
        <x:v>AIMPLAS</x:v>
      </x:c>
      <x:c r="G175" t="str">
        <x:v>España</x:v>
      </x:c>
    </x:row>
    <x:row r="176">
      <x:c r="A176" t="str">
        <x:v>Blusztein</x:v>
      </x:c>
      <x:c r="B176" t="str">
        <x:v>Hanne</x:v>
      </x:c>
      <x:c r="C176" t="str">
        <x:v>hblusztein@ahkargentina.com.ar</x:v>
      </x:c>
      <x:c r="D176" t="str">
        <x:v>9/09/26, 11:28:55 AM</x:v>
      </x:c>
      <x:c r="E176" t="str">
        <x:v>Registrado</x:v>
      </x:c>
      <x:c r="F176" t="str">
        <x:v>AHK Argentina</x:v>
      </x:c>
      <x:c r="G176" t="str">
        <x:v>Argentina</x:v>
      </x:c>
    </x:row>
    <x:row r="177">
      <x:c r="A177" t="str">
        <x:v>Josefina</x:v>
      </x:c>
      <x:c r="B177" t="str">
        <x:v>Ripani</x:v>
      </x:c>
      <x:c r="C177" t="str">
        <x:v>josefina.ripani@bunge.com</x:v>
      </x:c>
      <x:c r="D177" t="str">
        <x:v>9/09/26, 3:55:15 PM</x:v>
      </x:c>
      <x:c r="E177" t="str">
        <x:v>Registrado</x:v>
      </x:c>
      <x:c r="F177" t="str">
        <x:v>Bunge</x:v>
      </x:c>
      <x:c r="G177" t="str">
        <x:v>Argentina</x:v>
      </x:c>
    </x:row>
    <x:row r="178">
      <x:c r="A178" t="str">
        <x:v>CAROLINA</x:v>
      </x:c>
      <x:c r="B178" t="str">
        <x:v>PEDRETTI</x:v>
      </x:c>
      <x:c r="C178" t="str">
        <x:v>cpedretti@foodsmentor.com</x:v>
      </x:c>
      <x:c r="D178" t="str">
        <x:v>9/09/26, 4:29:53 PM</x:v>
      </x:c>
      <x:c r="E178" t="str">
        <x:v>Registrado</x:v>
      </x:c>
      <x:c r="F178" t="str">
        <x:v>FOODS MENTOR SRL</x:v>
      </x:c>
      <x:c r="G178" t="str">
        <x:v>ARGENTINA</x:v>
      </x:c>
    </x:row>
    <x:row r="179">
      <x:c r="A179" t="str">
        <x:v>Lucía</x:v>
      </x:c>
      <x:c r="B179" t="str">
        <x:v>del Barrio</x:v>
      </x:c>
      <x:c r="C179" t="str">
        <x:v>liris.ambiente@gmail.com</x:v>
      </x:c>
      <x:c r="D179" t="str">
        <x:v>9/09/26, 4:35:25 PM</x:v>
      </x:c>
      <x:c r="E179" t="str">
        <x:v>Registrado</x:v>
      </x:c>
      <x:c r="F179" t="str"/>
      <x:c r="G179" t="str"/>
    </x:row>
    <x:row r="180">
      <x:c r="A180" t="str">
        <x:v>Sonia</x:v>
      </x:c>
      <x:c r="B180" t="str">
        <x:v>Pereyra</x:v>
      </x:c>
      <x:c r="C180" t="str">
        <x:v>soniapereyra445@gmail.com</x:v>
      </x:c>
      <x:c r="D180" t="str">
        <x:v>9/09/26, 4:35:55 PM</x:v>
      </x:c>
      <x:c r="E180" t="str">
        <x:v>Registrado</x:v>
      </x:c>
      <x:c r="F180" t="str"/>
      <x:c r="G180" t="str"/>
    </x:row>
    <x:row r="181">
      <x:c r="A181" t="str">
        <x:v>Soklyna</x:v>
      </x:c>
      <x:c r="B181" t="str">
        <x:v>Khun</x:v>
      </x:c>
      <x:c r="C181" t="str">
        <x:v>skhun@controlunion.com</x:v>
      </x:c>
      <x:c r="D181" t="str">
        <x:v>9/09/26, 10:56:02 PM</x:v>
      </x:c>
      <x:c r="E181" t="str">
        <x:v>Registrado</x:v>
      </x:c>
      <x:c r="F181" t="str"/>
      <x:c r="G181" t="str">
        <x:v>Cambodia</x:v>
      </x:c>
    </x:row>
    <x:row r="182">
      <x:c r="A182" t="str">
        <x:v>Erika</x:v>
      </x:c>
      <x:c r="B182" t="str">
        <x:v>Villagran</x:v>
      </x:c>
      <x:c r="C182" t="str">
        <x:v>evillagran@pft.com.ar</x:v>
      </x:c>
      <x:c r="D182" t="str">
        <x:v>9/10/26, 9:43:45 AM</x:v>
      </x:c>
      <x:c r="E182" t="str">
        <x:v>Registrado</x:v>
      </x:c>
      <x:c r="F182" t="str">
        <x:v>Patagonian Fruits S.A.</x:v>
      </x:c>
      <x:c r="G182" t="str">
        <x:v>Argentina</x:v>
      </x:c>
    </x:row>
    <x:row r="183">
      <x:c r="A183" t="str">
        <x:v>Fabián</x:v>
      </x:c>
      <x:c r="B183" t="str">
        <x:v>Garófalo</x:v>
      </x:c>
      <x:c r="C183" t="str">
        <x:v>fabian.garofalo@ecoetika.com</x:v>
      </x:c>
      <x:c r="D183" t="str">
        <x:v>9/10/26, 10:21:43 AM</x:v>
      </x:c>
      <x:c r="E183" t="str">
        <x:v>Registrado</x:v>
      </x:c>
      <x:c r="F183" t="str">
        <x:v>EcoEtika</x:v>
      </x:c>
      <x:c r="G183" t="str">
        <x:v>Argentina</x:v>
      </x:c>
    </x:row>
    <x:row r="184">
      <x:c r="A184" t="str">
        <x:v>Constanza</x:v>
      </x:c>
      <x:c r="B184" t="str">
        <x:v>DiVico</x:v>
      </x:c>
      <x:c r="C184" t="str">
        <x:v>constanza.divico@seaboard.com.ar</x:v>
      </x:c>
      <x:c r="D184" t="str">
        <x:v>9/10/26, 10:22:21 AM</x:v>
      </x:c>
      <x:c r="E184" t="str">
        <x:v>Registrado</x:v>
      </x:c>
      <x:c r="F184" t="str">
        <x:v>Seaboard Energías Renovables y Alimentos S.R.L.</x:v>
      </x:c>
      <x:c r="G184" t="str">
        <x:v>Argentina</x:v>
      </x:c>
    </x:row>
    <x:row r="185">
      <x:c r="A185" t="str">
        <x:v>Maria Gabriela</x:v>
      </x:c>
      <x:c r="B185" t="str">
        <x:v>Montenegro</x:v>
      </x:c>
      <x:c r="C185" t="str">
        <x:v>gmontenegro@cofcointernational.com</x:v>
      </x:c>
      <x:c r="D185" t="str">
        <x:v>9/10/26, 10:30:18 AM</x:v>
      </x:c>
      <x:c r="E185" t="str">
        <x:v>Registrado</x:v>
      </x:c>
      <x:c r="F185" t="str">
        <x:v>COFCO INTERNATIONAL ARGENTINA S.A.</x:v>
      </x:c>
      <x:c r="G185" t="str">
        <x:v>Argentina</x:v>
      </x:c>
    </x:row>
    <x:row r="186">
      <x:c r="A186" t="str">
        <x:v>Camila</x:v>
      </x:c>
      <x:c r="B186" t="str">
        <x:v>Oliva</x:v>
      </x:c>
      <x:c r="C186" t="str">
        <x:v>camilaoliva@cofcointernational.com</x:v>
      </x:c>
      <x:c r="D186" t="str">
        <x:v>9/10/26, 10:32:46 AM</x:v>
      </x:c>
      <x:c r="E186" t="str">
        <x:v>Registrado</x:v>
      </x:c>
      <x:c r="F186" t="str">
        <x:v>COFCO INTL</x:v>
      </x:c>
      <x:c r="G186" t="str">
        <x:v>Argentina</x:v>
      </x:c>
    </x:row>
    <x:row r="187">
      <x:c r="A187" t="str">
        <x:v>Ornella</x:v>
      </x:c>
      <x:c r="B187" t="str">
        <x:v>Corallo</x:v>
      </x:c>
      <x:c r="C187" t="str">
        <x:v>ornellacorallo@cofcointernational.com</x:v>
      </x:c>
      <x:c r="D187" t="str">
        <x:v>9/10/26, 10:32:50 AM</x:v>
      </x:c>
      <x:c r="E187" t="str">
        <x:v>Registrado</x:v>
      </x:c>
      <x:c r="F187" t="str">
        <x:v>COFCO INTERNATIONAL</x:v>
      </x:c>
      <x:c r="G187" t="str">
        <x:v>Argentina</x:v>
      </x:c>
    </x:row>
    <x:row r="188">
      <x:c r="A188" t="str">
        <x:v>Tomas</x:v>
      </x:c>
      <x:c r="B188" t="str">
        <x:v>Buscalia</x:v>
      </x:c>
      <x:c r="C188" t="str">
        <x:v>tbuscalia@cofcointernational.com</x:v>
      </x:c>
      <x:c r="D188" t="str">
        <x:v>9/10/26, 10:32:58 AM</x:v>
      </x:c>
      <x:c r="E188" t="str">
        <x:v>Registrado</x:v>
      </x:c>
      <x:c r="F188" t="str">
        <x:v>COFCO INTERNATIONAL ARGENTINA</x:v>
      </x:c>
      <x:c r="G188" t="str">
        <x:v>Argentina</x:v>
      </x:c>
    </x:row>
    <x:row r="189">
      <x:c r="A189" t="str">
        <x:v>Virginia</x:v>
      </x:c>
      <x:c r="B189" t="str">
        <x:v>Cabral</x:v>
      </x:c>
      <x:c r="C189" t="str">
        <x:v>virginiacabral@cofcointernational.com</x:v>
      </x:c>
      <x:c r="D189" t="str">
        <x:v>9/10/26, 10:33:29 AM</x:v>
      </x:c>
      <x:c r="E189" t="str">
        <x:v>Registrado</x:v>
      </x:c>
      <x:c r="F189" t="str">
        <x:v>COFCO International Argentina</x:v>
      </x:c>
      <x:c r="G189" t="str">
        <x:v>Argentina</x:v>
      </x:c>
    </x:row>
    <x:row r="190">
      <x:c r="A190" t="str">
        <x:v>Juan Martin</x:v>
      </x:c>
      <x:c r="B190" t="str">
        <x:v>Giordano</x:v>
      </x:c>
      <x:c r="C190" t="str">
        <x:v>jmgiordano@onepeterson.com</x:v>
      </x:c>
      <x:c r="D190" t="str">
        <x:v>9/10/26, 10:46:26 AM</x:v>
      </x:c>
      <x:c r="E190" t="str">
        <x:v>Registrado</x:v>
      </x:c>
      <x:c r="F190" t="str">
        <x:v>Peterson Solutions</x:v>
      </x:c>
      <x:c r="G190" t="str">
        <x:v>Argentina</x:v>
      </x:c>
    </x:row>
    <x:row r="191">
      <x:c r="A191" t="str">
        <x:v>Natalia</x:v>
      </x:c>
      <x:c r="B191" t="str">
        <x:v>Delgado</x:v>
      </x:c>
      <x:c r="C191" t="str">
        <x:v>natalia.delgado@aris-mining.co</x:v>
      </x:c>
      <x:c r="D191" t="str">
        <x:v>9/10/26, 11:00:49 AM</x:v>
      </x:c>
      <x:c r="E191" t="str">
        <x:v>Registrado</x:v>
      </x:c>
      <x:c r="F191" t="str">
        <x:v>Aris Mining</x:v>
      </x:c>
      <x:c r="G191" t="str">
        <x:v>Colombia</x:v>
      </x:c>
    </x:row>
    <x:row r="192">
      <x:c r="A192" t="str">
        <x:v>Evelyn</x:v>
      </x:c>
      <x:c r="B192" t="str">
        <x:v>Ortiz</x:v>
      </x:c>
      <x:c r="C192" t="str">
        <x:v>evelyn.ortiz@aris-mining.co</x:v>
      </x:c>
      <x:c r="D192" t="str">
        <x:v>9/10/26, 11:01:07 AM</x:v>
      </x:c>
      <x:c r="E192" t="str">
        <x:v>Registrado</x:v>
      </x:c>
      <x:c r="F192" t="str">
        <x:v>Aris Mining</x:v>
      </x:c>
      <x:c r="G192" t="str">
        <x:v>Colombia</x:v>
      </x:c>
    </x:row>
    <x:row r="193">
      <x:c r="A193" t="str">
        <x:v>Maria Clara</x:v>
      </x:c>
      <x:c r="B193" t="str">
        <x:v>Lissarrague (OnePeterson)</x:v>
      </x:c>
      <x:c r="C193" t="str">
        <x:v>clissarrague@onepeterson.com</x:v>
      </x:c>
      <x:c r="D193" t="str">
        <x:v>9/10/26, 11:01:25 AM</x:v>
      </x:c>
      <x:c r="E193" t="str">
        <x:v>Registrado</x:v>
      </x:c>
      <x:c r="F193" t="str">
        <x:v>Peterson Solutions</x:v>
      </x:c>
      <x:c r="G193" t="str"/>
    </x:row>
    <x:row r="194">
      <x:c r="A194" t="str">
        <x:v>Gregorio</x:v>
      </x:c>
      <x:c r="B194" t="str">
        <x:v>Trimarco Magnolle</x:v>
      </x:c>
      <x:c r="C194" t="str">
        <x:v>gtrimarco@onepeterson.com</x:v>
      </x:c>
      <x:c r="D194" t="str">
        <x:v>9/10/26, 11:01:51 AM</x:v>
      </x:c>
      <x:c r="E194" t="str">
        <x:v>Registrado</x:v>
      </x:c>
      <x:c r="F194" t="str"/>
      <x:c r="G194" t="str">
        <x:v>Argentina</x:v>
      </x:c>
    </x:row>
    <x:row r="195">
      <x:c r="A195" t="str">
        <x:v>Alejandra</x:v>
      </x:c>
      <x:c r="B195" t="str">
        <x:v>Serrano Rivas</x:v>
      </x:c>
      <x:c r="C195" t="str">
        <x:v>asrivas@dacas.com</x:v>
      </x:c>
      <x:c r="D195" t="str">
        <x:v>9/10/26, 11:01:57 AM</x:v>
      </x:c>
      <x:c r="E195" t="str">
        <x:v>Registrado</x:v>
      </x:c>
      <x:c r="F195" t="str">
        <x:v>DACAS</x:v>
      </x:c>
      <x:c r="G195" t="str">
        <x:v>ARGENTINA</x:v>
      </x:c>
    </x:row>
    <x:row r="196">
      <x:c r="A196" t="str">
        <x:v>Julieta</x:v>
      </x:c>
      <x:c r="B196" t="str">
        <x:v>CAPRETI</x:v>
      </x:c>
      <x:c r="C196" t="str">
        <x:v>jcapreti@chandon.com.ar</x:v>
      </x:c>
      <x:c r="D196" t="str">
        <x:v>9/10/26, 11:02:56 AM</x:v>
      </x:c>
      <x:c r="E196" t="str">
        <x:v>Registrado</x:v>
      </x:c>
      <x:c r="F196" t="str"/>
      <x:c r="G196" t="str"/>
    </x:row>
    <x:row r="197">
      <x:c r="A197" t="str">
        <x:v>María Cecilia</x:v>
      </x:c>
      <x:c r="B197" t="str">
        <x:v>Fernandez</x:v>
      </x:c>
      <x:c r="C197" t="str">
        <x:v>cfernandez@onepeterson.com</x:v>
      </x:c>
      <x:c r="D197" t="str">
        <x:v>9/10/26, 11:03:51 AM</x:v>
      </x:c>
      <x:c r="E197" t="str">
        <x:v>Registrado</x:v>
      </x:c>
      <x:c r="F197" t="str">
        <x:v>Peterson Solutions</x:v>
      </x:c>
      <x:c r="G197" t="str">
        <x:v>Argentina</x:v>
      </x:c>
    </x:row>
    <x:row r="198">
      <x:c r="A198" t="str">
        <x:v>Asunción</x:v>
      </x:c>
      <x:c r="B198" t="str">
        <x:v>Marquez</x:v>
      </x:c>
      <x:c r="C198" t="str">
        <x:v>asmarquez@onepeterson.com</x:v>
      </x:c>
      <x:c r="D198" t="str">
        <x:v>9/10/26, 11:04:05 AM</x:v>
      </x:c>
      <x:c r="E198" t="str">
        <x:v>Registrado</x:v>
      </x:c>
      <x:c r="F198" t="str">
        <x:v>Peterson Solutions</x:v>
      </x:c>
      <x:c r="G198" t="str">
        <x:v>Argentina</x:v>
      </x:c>
    </x:row>
    <x:row r="199">
      <x:c r="A199" t="str">
        <x:v>Sebastian</x:v>
      </x:c>
      <x:c r="B199" t="str">
        <x:v>Garzón Rodríguez</x:v>
      </x:c>
      <x:c r="C199" t="str">
        <x:v>sebastian.garzon@aris-mining.co</x:v>
      </x:c>
      <x:c r="D199" t="str">
        <x:v>9/10/26, 11:04:20 AM</x:v>
      </x:c>
      <x:c r="E199" t="str">
        <x:v>Registrado</x:v>
      </x:c>
      <x:c r="F199" t="str">
        <x:v>Aris Mining</x:v>
      </x:c>
      <x:c r="G199" t="str">
        <x:v>Colombia</x:v>
      </x:c>
    </x:row>
    <x:row r="200">
      <x:c r="A200" t="str">
        <x:v>Constanza</x:v>
      </x:c>
      <x:c r="B200" t="str">
        <x:v>Perez Carbonari</x:v>
      </x:c>
      <x:c r="C200" t="str">
        <x:v>cpcarbonari@onepeterson.com</x:v>
      </x:c>
      <x:c r="D200" t="str">
        <x:v>9/10/26, 11:04:31 AM</x:v>
      </x:c>
      <x:c r="E200" t="str">
        <x:v>Registrado</x:v>
      </x:c>
      <x:c r="F200" t="str">
        <x:v>Peterson</x:v>
      </x:c>
      <x:c r="G200" t="str">
        <x:v>Argentina</x:v>
      </x:c>
    </x:row>
    <x:row r="201">
      <x:c r="A201" t="str">
        <x:v>Maria</x:v>
      </x:c>
      <x:c r="B201" t="str">
        <x:v>Durelli</x:v>
      </x:c>
      <x:c r="C201" t="str">
        <x:v>mdurelli@controlunion.com</x:v>
      </x:c>
      <x:c r="D201" t="str">
        <x:v>9/10/26, 11:09:04 AM</x:v>
      </x:c>
      <x:c r="E201" t="str">
        <x:v>Registrado</x:v>
      </x:c>
      <x:c r="F201" t="str"/>
      <x:c r="G201" t="str"/>
    </x:row>
    <x:row r="202">
      <x:c r="A202" t="str">
        <x:v>Daniel</x:v>
      </x:c>
      <x:c r="B202" t="str">
        <x:v>Gomez</x:v>
      </x:c>
      <x:c r="C202" t="str">
        <x:v>daniel.gomez@aris-mining.co</x:v>
      </x:c>
      <x:c r="D202" t="str">
        <x:v>9/10/26, 11:12:53 AM</x:v>
      </x:c>
      <x:c r="E202" t="str">
        <x:v>Registrado</x:v>
      </x:c>
      <x:c r="F202" t="str">
        <x:v>Aris Mining </x:v>
      </x:c>
      <x:c r="G202" t="str">
        <x:v>Colombia</x:v>
      </x:c>
    </x:row>
    <x:row r="203">
      <x:c r="A203" t="str">
        <x:v>Lucila</x:v>
      </x:c>
      <x:c r="B203" t="str">
        <x:v>Rey Minervini</x:v>
      </x:c>
      <x:c r="C203" t="str">
        <x:v>lrey@controlunion.com</x:v>
      </x:c>
      <x:c r="D203" t="str">
        <x:v>9/10/26, 11:22:40 AM</x:v>
      </x:c>
      <x:c r="E203" t="str">
        <x:v>Registrado</x:v>
      </x:c>
      <x:c r="F203" t="str"/>
      <x:c r="G203" t="str"/>
    </x:row>
  </x:sheetData>
  <x:pageMargins left="0.7" right="0.7" top="0.75" bottom="0.75" header="0.3" footer="0.3"/>
  <x:tableParts count="1">
    <x:tablePart xmlns:r="http://schemas.openxmlformats.org/officeDocument/2006/relationships" r:id="Rca42cbedeb214d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62" t="str">
        <x:v>Nombre</x:v>
      </x:c>
      <x:c r="B1" s="62" t="str">
        <x:v>Primera entrada</x:v>
      </x:c>
      <x:c r="C1" s="62" t="str">
        <x:v>Última salida</x:v>
      </x:c>
      <x:c r="D1" s="62" t="str">
        <x:v>Duración de la reunión</x:v>
      </x:c>
      <x:c r="E1" s="62" t="str">
        <x:v>Correo electrónico</x:v>
      </x:c>
      <x:c r="F1" s="62" t="str">
        <x:v>Id. de participante (UPN)</x:v>
      </x:c>
      <x:c r="G1" s="62" t="str">
        <x:v>Rol</x:v>
      </x:c>
      <x:c r="H1" s="62" t="str">
        <x:v>Nombre de registro</x:v>
      </x:c>
      <x:c r="I1" s="62" t="str">
        <x:v>Apellidos de registro</x:v>
      </x:c>
      <x:c r="J1" s="62" t="str">
        <x:v>Correo electrónico de registro</x:v>
      </x:c>
      <x:c r="K1" s="62" t="str">
        <x:v>Hora de registro</x:v>
      </x:c>
      <x:c r="L1" s="62" t="str">
        <x:v>Estado del registro</x:v>
      </x:c>
      <x:c r="M1" s="62" t="str">
        <x:v>Organización</x:v>
      </x:c>
      <x:c r="N1" s="62" t="str">
        <x:v>País o región</x:v>
      </x:c>
      <x:c r="O1" s="62" t="str">
        <x:v>Interacción: preguntas de Preguntas y respuestas</x:v>
      </x:c>
      <x:c r="P1" s="62" t="str">
        <x:v>Interacción: respuestas de Preguntas y respuestas</x:v>
      </x:c>
      <x:c r="Q1" s="62" t="str">
        <x:v>Interacción: mejores respuestas de Preguntas y respuestas</x:v>
      </x:c>
      <x:c r="R1" s="62" t="str">
        <x:v>Interacción: discusiones de Preguntas y respuestas</x:v>
      </x:c>
      <x:c r="S1" s="62" t="str">
        <x:v>Interacción: Cámara encendida</x:v>
      </x:c>
      <x:c r="T1" s="62" t="str">
        <x:v>Interacción: Manos levantadas</x:v>
      </x:c>
      <x:c r="U1" s="62" t="str">
        <x:v>Interacción: Audio activado</x:v>
      </x:c>
    </x:row>
    <x:row r="2">
      <x:c r="A2" t="str">
        <x:v>Francisco Capoulat</x:v>
      </x:c>
      <x:c r="B2" t="str">
        <x:v>9/10/26, 10:47:27 AM</x:v>
      </x:c>
      <x:c r="C2" t="str">
        <x:v>9/10/26, 11:53:54 AM</x:v>
      </x:c>
      <x:c r="D2" t="str">
        <x:v>1 h 6 min 26s</x:v>
      </x:c>
      <x:c r="E2" t="str">
        <x:v>fcapoulat@onepeterson.com</x:v>
      </x:c>
      <x:c r="F2" t="str">
        <x:v>fcapoulat@pcugroup.com</x:v>
      </x:c>
      <x:c r="G2" t="str">
        <x:v>Organizador</x:v>
      </x:c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>
        <x:v>3</x:v>
      </x:c>
      <x:c r="T2" t="str"/>
      <x:c r="U2" t="str">
        <x:v>2</x:v>
      </x:c>
    </x:row>
    <x:row r="3">
      <x:c r="A3" t="str">
        <x:v>Martin Dacharry</x:v>
      </x:c>
      <x:c r="B3" t="str">
        <x:v>9/10/26, 10:47:09 AM</x:v>
      </x:c>
      <x:c r="C3" t="str">
        <x:v>9/10/26, 11:53:51 AM</x:v>
      </x:c>
      <x:c r="D3" t="str">
        <x:v>1 h 6 min 41s</x:v>
      </x:c>
      <x:c r="E3" t="str">
        <x:v>mdacharry@onepeterson.com</x:v>
      </x:c>
      <x:c r="F3" t="str">
        <x:v>mdacharry@pcugroup.com</x:v>
      </x:c>
      <x:c r="G3" t="str">
        <x:v>Organizador</x:v>
      </x:c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>
        <x:v>1</x:v>
      </x:c>
      <x:c r="T3" t="str"/>
      <x:c r="U3" t="str">
        <x:v>2</x:v>
      </x:c>
    </x:row>
    <x:row r="4">
      <x:c r="A4" t="str">
        <x:v>Martin Tezanos Pinto</x:v>
      </x:c>
      <x:c r="B4" t="str">
        <x:v>9/10/26, 10:50:27 AM</x:v>
      </x:c>
      <x:c r="C4" t="str">
        <x:v>9/10/26, 11:53:57 AM</x:v>
      </x:c>
      <x:c r="D4" t="str">
        <x:v>1 h 3 min 29s</x:v>
      </x:c>
      <x:c r="E4" t="str">
        <x:v>mtezanosp@onepeterson.com</x:v>
      </x:c>
      <x:c r="F4" t="str">
        <x:v>mtezanosp@pcugroup.com</x:v>
      </x:c>
      <x:c r="G4" t="str">
        <x:v>Organizador</x:v>
      </x:c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>
        <x:v>1</x:v>
      </x:c>
      <x:c r="T4" t="str"/>
      <x:c r="U4" t="str">
        <x:v>3</x:v>
      </x:c>
    </x:row>
    <x:row r="5">
      <x:c r="A5" t="str">
        <x:v>Gonzalo Viale</x:v>
      </x:c>
      <x:c r="B5" t="str">
        <x:v>9/10/26, 10:52:04 AM</x:v>
      </x:c>
      <x:c r="C5" t="str">
        <x:v>9/10/26, 11:53:54 AM</x:v>
      </x:c>
      <x:c r="D5" t="str">
        <x:v>1 h 1 min 49s</x:v>
      </x:c>
      <x:c r="E5" t="str">
        <x:v>gviale@controlunion.com</x:v>
      </x:c>
      <x:c r="F5" t="str">
        <x:v>gviale@pcugroup.com</x:v>
      </x:c>
      <x:c r="G5" t="str">
        <x:v>Organizador</x:v>
      </x:c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>
        <x:v>4</x:v>
      </x:c>
      <x:c r="T5" t="str"/>
      <x:c r="U5" t="str">
        <x:v>2</x:v>
      </x:c>
    </x:row>
    <x:row r="6">
      <x:c r="A6" t="str">
        <x:v>Simon Pierazzoli</x:v>
      </x:c>
      <x:c r="B6" t="str">
        <x:v>9/10/26, 11:05:34 AM</x:v>
      </x:c>
      <x:c r="C6" t="str">
        <x:v>9/10/26, 11:47:09 AM</x:v>
      </x:c>
      <x:c r="D6" t="str">
        <x:v>41 min 35s</x:v>
      </x:c>
      <x:c r="E6" t="str">
        <x:v>spierazzoli@onepeterson.com</x:v>
      </x:c>
      <x:c r="F6" t="str">
        <x:v>spierazzoli@pcugroup.com</x:v>
      </x:c>
      <x:c r="G6" t="str">
        <x:v>Organizador</x:v>
      </x:c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>
        <x:v>1</x:v>
      </x:c>
      <x:c r="T6" t="str"/>
      <x:c r="U6" t="str"/>
    </x:row>
    <x:row r="7">
      <x:c r="A7" t="str">
        <x:v>Rosario Sotelo (No comprobado)</x:v>
      </x:c>
      <x:c r="B7" t="str">
        <x:v>9/10/26, 10:53:12 AM</x:v>
      </x:c>
      <x:c r="C7" t="str">
        <x:v>9/10/26, 11:52:37 AM</x:v>
      </x:c>
      <x:c r="D7" t="str">
        <x:v>58 min 23s</x:v>
      </x:c>
      <x:c r="E7" t="str"/>
      <x:c r="F7" t="str"/>
      <x:c r="G7" t="str">
        <x:v>Asistente</x:v>
      </x:c>
      <x:c r="H7" t="str">
        <x:v>Rosario</x:v>
      </x:c>
      <x:c r="I7" t="str">
        <x:v>Sotelo</x:v>
      </x:c>
      <x:c r="J7" t="str">
        <x:v>rosario.sotelo@grupocolome.com</x:v>
      </x:c>
      <x:c r="K7" t="str">
        <x:v>9/09/26, 10:24:22 AM</x:v>
      </x:c>
      <x:c r="L7" t="str">
        <x:v>Registrado</x:v>
      </x:c>
      <x:c r="M7" t="str"/>
      <x:c r="N7" t="str"/>
      <x:c r="O7" t="str"/>
      <x:c r="P7" t="str"/>
      <x:c r="Q7" t="str"/>
      <x:c r="R7" t="str"/>
      <x:c r="S7" t="str"/>
      <x:c r="T7" t="str"/>
      <x:c r="U7" t="str"/>
    </x:row>
    <x:row r="8">
      <x:c r="A8" t="str">
        <x:v>Carolina Barbuzza</x:v>
      </x:c>
      <x:c r="B8" t="str">
        <x:v>9/10/26, 10:55:20 AM</x:v>
      </x:c>
      <x:c r="C8" t="str">
        <x:v>9/10/26, 11:52:08 AM</x:v>
      </x:c>
      <x:c r="D8" t="str">
        <x:v>56 min 48s</x:v>
      </x:c>
      <x:c r="E8" t="str"/>
      <x:c r="F8" t="str"/>
      <x:c r="G8" t="str">
        <x:v>Asistente</x:v>
      </x:c>
      <x:c r="H8" t="str">
        <x:v>Carolina</x:v>
      </x:c>
      <x:c r="I8" t="str">
        <x:v>Barbuzza</x:v>
      </x:c>
      <x:c r="J8" t="str">
        <x:v>cfbarbuzza@gmail.com</x:v>
      </x:c>
      <x:c r="K8" t="str">
        <x:v>9/07/26, 12:23:33 PM</x:v>
      </x:c>
      <x:c r="L8" t="str">
        <x:v>Registrado</x:v>
      </x:c>
      <x:c r="M8" t="str">
        <x:v>Ingeniería Ambiental Consultora</x:v>
      </x:c>
      <x:c r="N8" t="str">
        <x:v>Argentina</x:v>
      </x:c>
      <x:c r="O8" t="str"/>
      <x:c r="P8" t="str"/>
      <x:c r="Q8" t="str"/>
      <x:c r="R8" t="str"/>
      <x:c r="S8" t="str"/>
      <x:c r="T8" t="str"/>
      <x:c r="U8" t="str"/>
    </x:row>
    <x:row r="9">
      <x:c r="A9" t="str">
        <x:v>Alejandro Mónaco</x:v>
      </x:c>
      <x:c r="B9" t="str">
        <x:v>9/10/26, 10:56:01 AM</x:v>
      </x:c>
      <x:c r="C9" t="str">
        <x:v>9/10/26, 11:52:03 AM</x:v>
      </x:c>
      <x:c r="D9" t="str">
        <x:v>56 min 1s</x:v>
      </x:c>
      <x:c r="E9" t="str"/>
      <x:c r="F9" t="str"/>
      <x:c r="G9" t="str">
        <x:v>Asistente</x:v>
      </x:c>
      <x:c r="H9" t="str">
        <x:v>Alejandro</x:v>
      </x:c>
      <x:c r="I9" t="str">
        <x:v>Mónaco</x:v>
      </x:c>
      <x:c r="J9" t="str">
        <x:v>monacoale@hotmail.com</x:v>
      </x:c>
      <x:c r="K9" t="str">
        <x:v>9/09/26, 10:30:07 AM</x:v>
      </x:c>
      <x:c r="L9" t="str">
        <x:v>Registrado</x:v>
      </x:c>
      <x:c r="M9" t="str"/>
      <x:c r="N9" t="str"/>
      <x:c r="O9" t="str"/>
      <x:c r="P9" t="str"/>
      <x:c r="Q9" t="str"/>
      <x:c r="R9" t="str"/>
      <x:c r="S9" t="str"/>
      <x:c r="T9" t="str"/>
      <x:c r="U9" t="str"/>
    </x:row>
    <x:row r="10">
      <x:c r="A10" t="str">
        <x:v>Lucía del Barrio (No comprobado)</x:v>
      </x:c>
      <x:c r="B10" t="str">
        <x:v>9/10/26, 10:56:24 AM</x:v>
      </x:c>
      <x:c r="C10" t="str">
        <x:v>9/10/26, 11:49:03 AM</x:v>
      </x:c>
      <x:c r="D10" t="str">
        <x:v>52 min 38s</x:v>
      </x:c>
      <x:c r="E10" t="str"/>
      <x:c r="F10" t="str"/>
      <x:c r="G10" t="str">
        <x:v>Asistente</x:v>
      </x:c>
      <x:c r="H10" t="str">
        <x:v>Lucía</x:v>
      </x:c>
      <x:c r="I10" t="str">
        <x:v>del Barrio</x:v>
      </x:c>
      <x:c r="J10" t="str">
        <x:v>liris.ambiente@gmail.com</x:v>
      </x:c>
      <x:c r="K10" t="str">
        <x:v>9/09/26, 4:35:25 PM</x:v>
      </x:c>
      <x:c r="L10" t="str">
        <x:v>Registrado</x:v>
      </x:c>
      <x:c r="M10" t="str"/>
      <x:c r="N10" t="str"/>
      <x:c r="O10" t="str"/>
      <x:c r="P10" t="str"/>
      <x:c r="Q10" t="str"/>
      <x:c r="R10" t="str"/>
      <x:c r="S10" t="str"/>
      <x:c r="T10" t="str"/>
      <x:c r="U10" t="str"/>
    </x:row>
    <x:row r="11">
      <x:c r="A11" t="str">
        <x:v>Martin Continanza</x:v>
      </x:c>
      <x:c r="B11" t="str">
        <x:v>9/10/26, 10:56:54 AM</x:v>
      </x:c>
      <x:c r="C11" t="str">
        <x:v>9/10/26, 11:49:02 AM</x:v>
      </x:c>
      <x:c r="D11" t="str">
        <x:v>52 min 8s</x:v>
      </x:c>
      <x:c r="E11" t="str">
        <x:v>mcontinanza@controlunion.com</x:v>
      </x:c>
      <x:c r="F11" t="str">
        <x:v>mcontinanza@pcugroup.com</x:v>
      </x:c>
      <x:c r="G11" t="str">
        <x:v>Asistente</x:v>
      </x:c>
      <x:c r="H11" t="str">
        <x:v>Martin</x:v>
      </x:c>
      <x:c r="I11" t="str">
        <x:v>Continanza</x:v>
      </x:c>
      <x:c r="J11" t="str">
        <x:v>mcontinanza@controlunion.com</x:v>
      </x:c>
      <x:c r="K11" t="str">
        <x:v>8/12/26, 10:20:19 PM</x:v>
      </x:c>
      <x:c r="L11" t="str">
        <x:v>Registrado</x:v>
      </x:c>
      <x:c r="M11" t="str">
        <x:v>Control Union</x:v>
      </x:c>
      <x:c r="N11" t="str">
        <x:v>Argentina</x:v>
      </x:c>
      <x:c r="O11" t="str"/>
      <x:c r="P11" t="str"/>
      <x:c r="Q11" t="str"/>
      <x:c r="R11" t="str"/>
      <x:c r="S11" t="str"/>
      <x:c r="T11" t="str"/>
      <x:c r="U11" t="str"/>
    </x:row>
    <x:row r="12">
      <x:c r="A12" t="str">
        <x:v>Lucas Escudero</x:v>
      </x:c>
      <x:c r="B12" t="str">
        <x:v>9/10/26, 10:57:13 AM</x:v>
      </x:c>
      <x:c r="C12" t="str">
        <x:v>9/10/26, 11:49:13 AM</x:v>
      </x:c>
      <x:c r="D12" t="str">
        <x:v>48 min 3s</x:v>
      </x:c>
      <x:c r="E12" t="str">
        <x:v>LEscudero@familiazuccardi.com</x:v>
      </x:c>
      <x:c r="F12" t="str">
        <x:v>lescudero@familiazuccardi.com</x:v>
      </x:c>
      <x:c r="G12" t="str">
        <x:v>Asistente</x:v>
      </x:c>
      <x:c r="H12" t="str">
        <x:v>Lucas</x:v>
      </x:c>
      <x:c r="I12" t="str">
        <x:v>Escudero</x:v>
      </x:c>
      <x:c r="J12" t="str">
        <x:v>lucas.escudero90@gmail.com</x:v>
      </x:c>
      <x:c r="K12" t="str">
        <x:v>9/09/26, 10:38:03 AM</x:v>
      </x:c>
      <x:c r="L12" t="str">
        <x:v>Registrado</x:v>
      </x:c>
      <x:c r="M12" t="str"/>
      <x:c r="N12" t="str"/>
      <x:c r="O12" t="str"/>
      <x:c r="P12" t="str"/>
      <x:c r="Q12" t="str"/>
      <x:c r="R12" t="str"/>
      <x:c r="S12" t="str"/>
      <x:c r="T12" t="str"/>
      <x:c r="U12" t="str"/>
    </x:row>
    <x:row r="13">
      <x:c r="A13" t="str">
        <x:v>Sebastian Castro</x:v>
      </x:c>
      <x:c r="B13" t="str">
        <x:v>9/10/26, 10:57:46 AM</x:v>
      </x:c>
      <x:c r="C13" t="str">
        <x:v>9/10/26, 11:52:43 AM</x:v>
      </x:c>
      <x:c r="D13" t="str">
        <x:v>46 min 4s</x:v>
      </x:c>
      <x:c r="E13" t="str">
        <x:v>SCastro@familiazuccardi.com</x:v>
      </x:c>
      <x:c r="F13" t="str">
        <x:v>scastro@familiazuccardi.com</x:v>
      </x:c>
      <x:c r="G13" t="str">
        <x:v>Asistente</x:v>
      </x:c>
      <x:c r="H13" t="str">
        <x:v>SEBASTIAN</x:v>
      </x:c>
      <x:c r="I13" t="str">
        <x:v>CASTRO</x:v>
      </x:c>
      <x:c r="J13" t="str">
        <x:v>scastro@familiazuccardi.com</x:v>
      </x:c>
      <x:c r="K13" t="str">
        <x:v>9/09/26, 10:39:05 AM</x:v>
      </x:c>
      <x:c r="L13" t="str">
        <x:v>Registrado</x:v>
      </x:c>
      <x:c r="M13" t="str"/>
      <x:c r="N13" t="str"/>
      <x:c r="O13" t="str"/>
      <x:c r="P13" t="str"/>
      <x:c r="Q13" t="str"/>
      <x:c r="R13" t="str"/>
      <x:c r="S13" t="str"/>
      <x:c r="T13" t="str"/>
      <x:c r="U13" t="str"/>
    </x:row>
    <x:row r="14">
      <x:c r="A14" t="str">
        <x:v>Silvana Beccarini (No comprobado)</x:v>
      </x:c>
      <x:c r="B14" t="str">
        <x:v>9/10/26, 10:57:57 AM</x:v>
      </x:c>
      <x:c r="C14" t="str">
        <x:v>9/10/26, 11:49:22 AM</x:v>
      </x:c>
      <x:c r="D14" t="str">
        <x:v>51 min 24s</x:v>
      </x:c>
      <x:c r="E14" t="str"/>
      <x:c r="F14" t="str"/>
      <x:c r="G14" t="str">
        <x:v>Asistente</x:v>
      </x:c>
      <x:c r="H14" t="str">
        <x:v>Silvana</x:v>
      </x:c>
      <x:c r="I14" t="str">
        <x:v>Beccarini</x:v>
      </x:c>
      <x:c r="J14" t="str">
        <x:v>calidad@biovanda.com.ar</x:v>
      </x:c>
      <x:c r="K14" t="str">
        <x:v>9/01/26, 10:29:18 AM</x:v>
      </x:c>
      <x:c r="L14" t="str">
        <x:v>Registrado</x:v>
      </x:c>
      <x:c r="M14" t="str">
        <x:v>Bio Vanda S.A.</x:v>
      </x:c>
      <x:c r="N14" t="str">
        <x:v>Argentina</x:v>
      </x:c>
      <x:c r="O14" t="str"/>
      <x:c r="P14" t="str"/>
      <x:c r="Q14" t="str"/>
      <x:c r="R14" t="str"/>
      <x:c r="S14" t="str"/>
      <x:c r="T14" t="str"/>
      <x:c r="U14" t="str"/>
    </x:row>
    <x:row r="15">
      <x:c r="A15" t="str">
        <x:v>Emile Maerten - TERRATIO (Externo)</x:v>
      </x:c>
      <x:c r="B15" t="str">
        <x:v>9/10/26, 10:58:17 AM</x:v>
      </x:c>
      <x:c r="C15" t="str">
        <x:v>9/10/26, 11:21:05 AM</x:v>
      </x:c>
      <x:c r="D15" t="str">
        <x:v>22 min 47s</x:v>
      </x:c>
      <x:c r="E15" t="str">
        <x:v>emile.maerten@terratiogroup.com</x:v>
      </x:c>
      <x:c r="F15" t="str">
        <x:v>emile.maerten@terratiogroup.com</x:v>
      </x:c>
      <x:c r="G15" t="str">
        <x:v>Asistente</x:v>
      </x:c>
      <x:c r="H15" t="str">
        <x:v>Emile</x:v>
      </x:c>
      <x:c r="I15" t="str">
        <x:v>Maerten</x:v>
      </x:c>
      <x:c r="J15" t="str">
        <x:v>emile.maerten@terratiogroup.com</x:v>
      </x:c>
      <x:c r="K15" t="str">
        <x:v>9/02/26, 5:36:46 PM</x:v>
      </x:c>
      <x:c r="L15" t="str">
        <x:v>Registrado</x:v>
      </x:c>
      <x:c r="M15" t="str">
        <x:v>Terratio</x:v>
      </x:c>
      <x:c r="N15" t="str">
        <x:v>Argentine</x:v>
      </x:c>
      <x:c r="O15" t="str"/>
      <x:c r="P15" t="str"/>
      <x:c r="Q15" t="str"/>
      <x:c r="R15" t="str"/>
      <x:c r="S15" t="str"/>
      <x:c r="T15" t="str"/>
      <x:c r="U15" t="str"/>
    </x:row>
    <x:row r="16">
      <x:c r="A16" t="str">
        <x:v>Celina Rosas (No comprobado)</x:v>
      </x:c>
      <x:c r="B16" t="str">
        <x:v>9/10/26, 10:58:32 AM</x:v>
      </x:c>
      <x:c r="C16" t="str">
        <x:v>9/10/26, 11:49:08 AM</x:v>
      </x:c>
      <x:c r="D16" t="str">
        <x:v>50 min 36s</x:v>
      </x:c>
      <x:c r="E16" t="str"/>
      <x:c r="F16" t="str"/>
      <x:c r="G16" t="str">
        <x:v>Asistente</x:v>
      </x:c>
      <x:c r="H16" t="str">
        <x:v>CELINA ANABEL</x:v>
      </x:c>
      <x:c r="I16" t="str">
        <x:v>ROSAS</x:v>
      </x:c>
      <x:c r="J16" t="str">
        <x:v>celinarosas@mendozavineyards.com</x:v>
      </x:c>
      <x:c r="K16" t="str">
        <x:v>9/09/26, 10:23:29 AM</x:v>
      </x:c>
      <x:c r="L16" t="str">
        <x:v>Registrado</x:v>
      </x:c>
      <x:c r="M16" t="str"/>
      <x:c r="N16" t="str"/>
      <x:c r="O16" t="str"/>
      <x:c r="P16" t="str"/>
      <x:c r="Q16" t="str"/>
      <x:c r="R16" t="str"/>
      <x:c r="S16" t="str"/>
      <x:c r="T16" t="str"/>
      <x:c r="U16" t="str"/>
    </x:row>
    <x:row r="17">
      <x:c r="A17" t="str">
        <x:v>Silvana Di Marco (No comprobado)</x:v>
      </x:c>
      <x:c r="B17" t="str">
        <x:v>9/10/26, 10:58:34 AM</x:v>
      </x:c>
      <x:c r="C17" t="str">
        <x:v>9/10/26, 11:52:45 AM</x:v>
      </x:c>
      <x:c r="D17" t="str">
        <x:v>54 min 10s</x:v>
      </x:c>
      <x:c r="E17" t="str"/>
      <x:c r="F17" t="str"/>
      <x:c r="G17" t="str">
        <x:v>Asistente</x:v>
      </x:c>
      <x:c r="H17" t="str">
        <x:v>Silvana</x:v>
      </x:c>
      <x:c r="I17" t="str">
        <x:v>Di Marco</x:v>
      </x:c>
      <x:c r="J17" t="str">
        <x:v>silvanadimarco@mendozavineyards.com</x:v>
      </x:c>
      <x:c r="K17" t="str">
        <x:v>9/09/26, 10:29:14 AM</x:v>
      </x:c>
      <x:c r="L17" t="str">
        <x:v>Registrado</x:v>
      </x:c>
      <x:c r="M17" t="str"/>
      <x:c r="N17" t="str"/>
      <x:c r="O17" t="str"/>
      <x:c r="P17" t="str"/>
      <x:c r="Q17" t="str"/>
      <x:c r="R17" t="str"/>
      <x:c r="S17" t="str"/>
      <x:c r="T17" t="str"/>
      <x:c r="U17" t="str"/>
    </x:row>
    <x:row r="18">
      <x:c r="A18" t="str">
        <x:v>Natalia Tolin (Externo)</x:v>
      </x:c>
      <x:c r="B18" t="str">
        <x:v>9/10/26, 10:58:54 AM</x:v>
      </x:c>
      <x:c r="C18" t="str">
        <x:v>9/10/26, 11:50:51 AM</x:v>
      </x:c>
      <x:c r="D18" t="str">
        <x:v>51 min 57s</x:v>
      </x:c>
      <x:c r="E18" t="str">
        <x:v>natalia.tolin@ojodeagua.global</x:v>
      </x:c>
      <x:c r="F18" t="str">
        <x:v>natalia.tolin@ojodeagua.global</x:v>
      </x:c>
      <x:c r="G18" t="str">
        <x:v>Asistente</x:v>
      </x:c>
      <x:c r="H18" t="str">
        <x:v>Natalia</x:v>
      </x:c>
      <x:c r="I18" t="str">
        <x:v>Tolin</x:v>
      </x:c>
      <x:c r="J18" t="str">
        <x:v>natalia.tolin@ojodeagua.global</x:v>
      </x:c>
      <x:c r="K18" t="str">
        <x:v>9/09/26, 10:19:33 AM</x:v>
      </x:c>
      <x:c r="L18" t="str">
        <x:v>Registrado</x:v>
      </x:c>
      <x:c r="M18" t="str"/>
      <x:c r="N18" t="str"/>
      <x:c r="O18" t="str"/>
      <x:c r="P18" t="str"/>
      <x:c r="Q18" t="str"/>
      <x:c r="R18" t="str"/>
      <x:c r="S18" t="str"/>
      <x:c r="T18" t="str"/>
      <x:c r="U18" t="str"/>
    </x:row>
    <x:row r="19">
      <x:c r="A19" t="str">
        <x:v>Nicolás Heredia</x:v>
      </x:c>
      <x:c r="B19" t="str">
        <x:v>9/10/26, 10:58:57 AM</x:v>
      </x:c>
      <x:c r="C19" t="str">
        <x:v>9/10/26, 11:49:16 AM</x:v>
      </x:c>
      <x:c r="D19" t="str">
        <x:v>50 min 19s</x:v>
      </x:c>
      <x:c r="E19" t="str">
        <x:v>laureano.heredia@alumnos.frm.utn.edu.ar</x:v>
      </x:c>
      <x:c r="F19" t="str">
        <x:v>laureano.heredia@alumnos.frm.utn.edu.ar</x:v>
      </x:c>
      <x:c r="G19" t="str">
        <x:v>Asistente</x:v>
      </x:c>
      <x:c r="H19" t="str">
        <x:v>Nicolas</x:v>
      </x:c>
      <x:c r="I19" t="str">
        <x:v>Heredia</x:v>
      </x:c>
      <x:c r="J19" t="str">
        <x:v>nicoheredia31@gmail.com</x:v>
      </x:c>
      <x:c r="K19" t="str">
        <x:v>9/09/26, 10:44:05 AM</x:v>
      </x:c>
      <x:c r="L19" t="str">
        <x:v>Registrado</x:v>
      </x:c>
      <x:c r="M19" t="str"/>
      <x:c r="N19" t="str"/>
      <x:c r="O19" t="str"/>
      <x:c r="P19" t="str"/>
      <x:c r="Q19" t="str"/>
      <x:c r="R19" t="str"/>
      <x:c r="S19" t="str"/>
      <x:c r="T19" t="str"/>
      <x:c r="U19" t="str"/>
    </x:row>
    <x:row r="20">
      <x:c r="A20" t="str">
        <x:v>Maria Fernanda Gonzalez  (No comprobado)</x:v>
      </x:c>
      <x:c r="B20" t="str">
        <x:v>9/10/26, 10:59:05 AM</x:v>
      </x:c>
      <x:c r="C20" t="str">
        <x:v>9/10/26, 11:14:33 AM</x:v>
      </x:c>
      <x:c r="D20" t="str">
        <x:v>15 min 28s</x:v>
      </x:c>
      <x:c r="E20" t="str"/>
      <x:c r="F20" t="str"/>
      <x:c r="G20" t="str">
        <x:v>Asistente</x:v>
      </x:c>
      <x:c r="H20" t="str">
        <x:v>María Fernanda</x:v>
      </x:c>
      <x:c r="I20" t="str">
        <x:v>González</x:v>
      </x:c>
      <x:c r="J20" t="str">
        <x:v>marifer.fg84@gmail.com</x:v>
      </x:c>
      <x:c r="K20" t="str">
        <x:v>9/09/26, 10:15:32 AM</x:v>
      </x:c>
      <x:c r="L20" t="str">
        <x:v>Registrado</x:v>
      </x:c>
      <x:c r="M20" t="str"/>
      <x:c r="N20" t="str"/>
      <x:c r="O20" t="str"/>
      <x:c r="P20" t="str"/>
      <x:c r="Q20" t="str"/>
      <x:c r="R20" t="str"/>
      <x:c r="S20" t="str"/>
      <x:c r="T20" t="str"/>
      <x:c r="U20" t="str">
        <x:v>1</x:v>
      </x:c>
    </x:row>
    <x:row r="21">
      <x:c r="A21" t="str">
        <x:v>Silvina Martinez (No comprobado)</x:v>
      </x:c>
      <x:c r="B21" t="str">
        <x:v>9/10/26, 10:59:12 AM</x:v>
      </x:c>
      <x:c r="C21" t="str">
        <x:v>9/10/26, 11:04:23 AM</x:v>
      </x:c>
      <x:c r="D21" t="str">
        <x:v>5 min 10s</x:v>
      </x:c>
      <x:c r="E21" t="str"/>
      <x:c r="F21" t="str"/>
      <x:c r="G21" t="str">
        <x:v>Asistente</x:v>
      </x:c>
      <x:c r="H21" t="str">
        <x:v>silvina</x:v>
      </x:c>
      <x:c r="I21" t="str">
        <x:v>Martinez</x:v>
      </x:c>
      <x:c r="J21" t="str">
        <x:v>smartinez@sophenia.com.ar</x:v>
      </x:c>
      <x:c r="K21" t="str">
        <x:v>8/18/26, 10:38:15 AM</x:v>
      </x:c>
      <x:c r="L21" t="str">
        <x:v>Registrado</x:v>
      </x:c>
      <x:c r="M21" t="str">
        <x:v>Finca Sophenia</x:v>
      </x:c>
      <x:c r="N21" t="str">
        <x:v>Argentina</x:v>
      </x:c>
      <x:c r="O21" t="str"/>
      <x:c r="P21" t="str"/>
      <x:c r="Q21" t="str"/>
      <x:c r="R21" t="str"/>
      <x:c r="S21" t="str"/>
      <x:c r="T21" t="str"/>
      <x:c r="U21" t="str"/>
    </x:row>
    <x:row r="22">
      <x:c r="A22" t="str">
        <x:v>Leticia VIAZZO</x:v>
      </x:c>
      <x:c r="B22" t="str">
        <x:v>9/10/26, 10:59:38 AM</x:v>
      </x:c>
      <x:c r="C22" t="str">
        <x:v>9/10/26, 11:44:50 AM</x:v>
      </x:c>
      <x:c r="D22" t="str">
        <x:v>45 min 12s</x:v>
      </x:c>
      <x:c r="E22" t="str">
        <x:v>lviazzo@terrazasdelosandes.com.ar</x:v>
      </x:c>
      <x:c r="F22" t="str">
        <x:v>lviazzo@terrazasdelosandes.com.ar</x:v>
      </x:c>
      <x:c r="G22" t="str">
        <x:v>Asistente</x:v>
      </x:c>
      <x:c r="H22" t="str">
        <x:v>Leticia</x:v>
      </x:c>
      <x:c r="I22" t="str">
        <x:v>Viazzo</x:v>
      </x:c>
      <x:c r="J22" t="str">
        <x:v>lviazzo@terrazasdelosandes.com.ar</x:v>
      </x:c>
      <x:c r="K22" t="str">
        <x:v>9/09/26, 10:51:02 AM</x:v>
      </x:c>
      <x:c r="L22" t="str">
        <x:v>Registrado</x:v>
      </x:c>
      <x:c r="M22" t="str"/>
      <x:c r="N22" t="str"/>
      <x:c r="O22" t="str"/>
      <x:c r="P22" t="str"/>
      <x:c r="Q22" t="str"/>
      <x:c r="R22" t="str"/>
      <x:c r="S22" t="str"/>
      <x:c r="T22" t="str"/>
      <x:c r="U22" t="str"/>
    </x:row>
    <x:row r="23">
      <x:c r="A23" t="str">
        <x:v>Carina Barros (No comprobado)</x:v>
      </x:c>
      <x:c r="B23" t="str">
        <x:v>9/10/26, 10:59:41 AM</x:v>
      </x:c>
      <x:c r="C23" t="str">
        <x:v>9/10/26, 11:49:12 AM</x:v>
      </x:c>
      <x:c r="D23" t="str">
        <x:v>49 min 30s</x:v>
      </x:c>
      <x:c r="E23" t="str"/>
      <x:c r="F23" t="str"/>
      <x:c r="G23" t="str">
        <x:v>Asistente</x:v>
      </x:c>
      <x:c r="H23" t="str">
        <x:v>Carina</x:v>
      </x:c>
      <x:c r="I23" t="str">
        <x:v>Barros</x:v>
      </x:c>
      <x:c r="J23" t="str">
        <x:v>carina@bodegafosterlorca.com</x:v>
      </x:c>
      <x:c r="K23" t="str">
        <x:v>9/09/26, 10:14:07 AM</x:v>
      </x:c>
      <x:c r="L23" t="str">
        <x:v>Registrado</x:v>
      </x:c>
      <x:c r="M23" t="str">
        <x:v>Bodega y Viñedos Mauricio Lorca SA </x:v>
      </x:c>
      <x:c r="N23" t="str">
        <x:v>Argentina</x:v>
      </x:c>
      <x:c r="O23" t="str"/>
      <x:c r="P23" t="str"/>
      <x:c r="Q23" t="str"/>
      <x:c r="R23" t="str"/>
      <x:c r="S23" t="str"/>
      <x:c r="T23" t="str"/>
      <x:c r="U23" t="str"/>
    </x:row>
    <x:row r="24">
      <x:c r="A24" t="str">
        <x:v>Laura Contino (No comprobado)</x:v>
      </x:c>
      <x:c r="B24" t="str">
        <x:v>9/10/26, 10:59:48 AM</x:v>
      </x:c>
      <x:c r="C24" t="str">
        <x:v>9/10/26, 11:49:03 AM</x:v>
      </x:c>
      <x:c r="D24" t="str">
        <x:v>49 min 14s</x:v>
      </x:c>
      <x:c r="E24" t="str"/>
      <x:c r="F24" t="str"/>
      <x:c r="G24" t="str">
        <x:v>Asistente</x:v>
      </x:c>
      <x:c r="H24" t="str">
        <x:v>Laura</x:v>
      </x:c>
      <x:c r="I24" t="str">
        <x:v>Contino</x:v>
      </x:c>
      <x:c r="J24" t="str">
        <x:v>lcontino@achaval-ferrer.com</x:v>
      </x:c>
      <x:c r="K24" t="str">
        <x:v>9/09/26, 10:41:37 AM</x:v>
      </x:c>
      <x:c r="L24" t="str">
        <x:v>Registrado</x:v>
      </x:c>
      <x:c r="M24" t="str"/>
      <x:c r="N24" t="str"/>
      <x:c r="O24" t="str"/>
      <x:c r="P24" t="str"/>
      <x:c r="Q24" t="str"/>
      <x:c r="R24" t="str"/>
      <x:c r="S24" t="str"/>
      <x:c r="T24" t="str"/>
      <x:c r="U24" t="str"/>
    </x:row>
    <x:row r="25">
      <x:c r="A25" t="str">
        <x:v>Lucia Frugoni (Externo)</x:v>
      </x:c>
      <x:c r="B25" t="str">
        <x:v>9/10/26, 10:59:49 AM</x:v>
      </x:c>
      <x:c r="C25" t="str">
        <x:v>9/10/26, 11:49:03 AM</x:v>
      </x:c>
      <x:c r="D25" t="str">
        <x:v>49 min 14s</x:v>
      </x:c>
      <x:c r="E25" t="str">
        <x:v>lfrugoni@salentein.com</x:v>
      </x:c>
      <x:c r="F25" t="str">
        <x:v>lfrugoni@salentein.com</x:v>
      </x:c>
      <x:c r="G25" t="str">
        <x:v>Asistente</x:v>
      </x:c>
      <x:c r="H25" t="str">
        <x:v>Lucia</x:v>
      </x:c>
      <x:c r="I25" t="str">
        <x:v>Frugoni</x:v>
      </x:c>
      <x:c r="J25" t="str">
        <x:v>lfrugoni@salentein.com</x:v>
      </x:c>
      <x:c r="K25" t="str">
        <x:v>8/26/26, 1:21:36 PM</x:v>
      </x:c>
      <x:c r="L25" t="str">
        <x:v>Registrado</x:v>
      </x:c>
      <x:c r="M25" t="str">
        <x:v>Bodega Salentein SA</x:v>
      </x:c>
      <x:c r="N25" t="str">
        <x:v>Argentina</x:v>
      </x:c>
      <x:c r="O25" t="str"/>
      <x:c r="P25" t="str"/>
      <x:c r="Q25" t="str"/>
      <x:c r="R25" t="str"/>
      <x:c r="S25" t="str"/>
      <x:c r="T25" t="str"/>
      <x:c r="U25" t="str"/>
    </x:row>
    <x:row r="26">
      <x:c r="A26" t="str">
        <x:v>Rocio Perez Fantini (Externo)</x:v>
      </x:c>
      <x:c r="B26" t="str">
        <x:v>9/10/26, 11:00:03 AM</x:v>
      </x:c>
      <x:c r="C26" t="str">
        <x:v>9/10/26, 11:49:01 AM</x:v>
      </x:c>
      <x:c r="D26" t="str">
        <x:v>48 min 58s</x:v>
      </x:c>
      <x:c r="E26" t="str">
        <x:v>rperez@salentein.com</x:v>
      </x:c>
      <x:c r="F26" t="str">
        <x:v>rperez@salentein.com</x:v>
      </x:c>
      <x:c r="G26" t="str">
        <x:v>Asistente</x:v>
      </x:c>
      <x:c r="H26" t="str">
        <x:v>Rocio</x:v>
      </x:c>
      <x:c r="I26" t="str">
        <x:v>Perez Fantini</x:v>
      </x:c>
      <x:c r="J26" t="str">
        <x:v>rperez@salentein.com</x:v>
      </x:c>
      <x:c r="K26" t="str">
        <x:v>8/26/26, 1:20:48 PM</x:v>
      </x:c>
      <x:c r="L26" t="str">
        <x:v>Registrado</x:v>
      </x:c>
      <x:c r="M26" t="str">
        <x:v>Bodegas Salentein</x:v>
      </x:c>
      <x:c r="N26" t="str">
        <x:v>Argentina</x:v>
      </x:c>
      <x:c r="O26" t="str"/>
      <x:c r="P26" t="str"/>
      <x:c r="Q26" t="str"/>
      <x:c r="R26" t="str"/>
      <x:c r="S26" t="str"/>
      <x:c r="T26" t="str"/>
      <x:c r="U26" t="str"/>
    </x:row>
    <x:row r="27">
      <x:c r="A27" t="str">
        <x:v>Irma Remigio - Domaine Bousquet (No comprobado)</x:v>
      </x:c>
      <x:c r="B27" t="str">
        <x:v>9/10/26, 11:00:16 AM</x:v>
      </x:c>
      <x:c r="C27" t="str">
        <x:v>9/10/26, 11:51:07 AM</x:v>
      </x:c>
      <x:c r="D27" t="str">
        <x:v>50 min 51s</x:v>
      </x:c>
      <x:c r="E27" t="str"/>
      <x:c r="F27" t="str"/>
      <x:c r="G27" t="str">
        <x:v>Asistente</x:v>
      </x:c>
      <x:c r="H27" t="str">
        <x:v>Irma</x:v>
      </x:c>
      <x:c r="I27" t="str">
        <x:v>Remigio</x:v>
      </x:c>
      <x:c r="J27" t="str">
        <x:v>iremigio@domainebousquet.com</x:v>
      </x:c>
      <x:c r="K27" t="str">
        <x:v>8/18/26, 10:30:50 AM</x:v>
      </x:c>
      <x:c r="L27" t="str">
        <x:v>Registrado</x:v>
      </x:c>
      <x:c r="M27" t="str">
        <x:v>Domaine Bousquet</x:v>
      </x:c>
      <x:c r="N27" t="str">
        <x:v>Argentina</x:v>
      </x:c>
      <x:c r="O27" t="str"/>
      <x:c r="P27" t="str"/>
      <x:c r="Q27" t="str"/>
      <x:c r="R27" t="str"/>
      <x:c r="S27" t="str"/>
      <x:c r="T27" t="str"/>
      <x:c r="U27" t="str"/>
    </x:row>
    <x:row r="28">
      <x:c r="A28" t="str">
        <x:v>Fernanda Bustos</x:v>
      </x:c>
      <x:c r="B28" t="str">
        <x:v>9/10/26, 11:00:19 AM</x:v>
      </x:c>
      <x:c r="C28" t="str">
        <x:v>9/10/26, 11:01:18 AM</x:v>
      </x:c>
      <x:c r="D28" t="str">
        <x:v>59s</x:v>
      </x:c>
      <x:c r="E28" t="str">
        <x:v>fbustos@familiazuccardi.com</x:v>
      </x:c>
      <x:c r="F28" t="str">
        <x:v>fbustos@familiazuccardi.com</x:v>
      </x:c>
      <x:c r="G28" t="str">
        <x:v>Asistente</x:v>
      </x:c>
      <x:c r="H28" t="str">
        <x:v>SEBASTIAN</x:v>
      </x:c>
      <x:c r="I28" t="str">
        <x:v>CASTRO</x:v>
      </x:c>
      <x:c r="J28" t="str">
        <x:v>scastro@familiazuccardi.com</x:v>
      </x:c>
      <x:c r="K28" t="str">
        <x:v>9/09/26, 10:39:05 AM</x:v>
      </x:c>
      <x:c r="L28" t="str">
        <x:v>Registrado</x:v>
      </x:c>
      <x:c r="M28" t="str"/>
      <x:c r="N28" t="str"/>
      <x:c r="O28" t="str"/>
      <x:c r="P28" t="str"/>
      <x:c r="Q28" t="str"/>
      <x:c r="R28" t="str"/>
      <x:c r="S28" t="str"/>
      <x:c r="T28" t="str"/>
      <x:c r="U28" t="str"/>
    </x:row>
    <x:row r="29">
      <x:c r="A29" t="str">
        <x:v>Valentina (No comprobado)</x:v>
      </x:c>
      <x:c r="B29" t="str">
        <x:v>9/10/26, 11:00:20 AM</x:v>
      </x:c>
      <x:c r="C29" t="str">
        <x:v>9/10/26, 11:04:57 AM</x:v>
      </x:c>
      <x:c r="D29" t="str">
        <x:v>4 min 36s</x:v>
      </x:c>
      <x:c r="E29" t="str"/>
      <x:c r="F29" t="str"/>
      <x:c r="G29" t="str">
        <x:v>Asistente</x:v>
      </x:c>
      <x:c r="H29" t="str">
        <x:v>Valentina</x:v>
      </x:c>
      <x:c r="I29" t="str">
        <x:v>Dinamarca</x:v>
      </x:c>
      <x:c r="J29" t="str">
        <x:v>vdinamarca@domainebousquet.com</x:v>
      </x:c>
      <x:c r="K29" t="str">
        <x:v>9/07/26, 2:35:38 PM</x:v>
      </x:c>
      <x:c r="L29" t="str">
        <x:v>Registrado</x:v>
      </x:c>
      <x:c r="M29" t="str">
        <x:v>Domaine Bousquet</x:v>
      </x:c>
      <x:c r="N29" t="str">
        <x:v>Argentina</x:v>
      </x:c>
      <x:c r="O29" t="str"/>
      <x:c r="P29" t="str"/>
      <x:c r="Q29" t="str"/>
      <x:c r="R29" t="str"/>
      <x:c r="S29" t="str"/>
      <x:c r="T29" t="str"/>
      <x:c r="U29" t="str"/>
    </x:row>
    <x:row r="30">
      <x:c r="A30" t="str">
        <x:v>Andres Povedano (Externo)</x:v>
      </x:c>
      <x:c r="B30" t="str">
        <x:v>9/10/26, 11:00:24 AM</x:v>
      </x:c>
      <x:c r="C30" t="str">
        <x:v>9/10/26, 11:20:53 AM</x:v>
      </x:c>
      <x:c r="D30" t="str">
        <x:v>20 min 29s</x:v>
      </x:c>
      <x:c r="E30" t="str">
        <x:v>apovedano@bodegasfabre.com</x:v>
      </x:c>
      <x:c r="F30" t="str">
        <x:v>apovedano@bodegasfabre.com</x:v>
      </x:c>
      <x:c r="G30" t="str">
        <x:v>Asistente</x:v>
      </x:c>
      <x:c r="H30" t="str">
        <x:v>Mauro Andrés</x:v>
      </x:c>
      <x:c r="I30" t="str">
        <x:v>Povedano</x:v>
      </x:c>
      <x:c r="J30" t="str">
        <x:v>apovedano@bodegasfabre.com</x:v>
      </x:c>
      <x:c r="K30" t="str">
        <x:v>9/09/26, 10:17:52 AM</x:v>
      </x:c>
      <x:c r="L30" t="str">
        <x:v>Registrado</x:v>
      </x:c>
      <x:c r="M30" t="str"/>
      <x:c r="N30" t="str"/>
      <x:c r="O30" t="str"/>
      <x:c r="P30" t="str"/>
      <x:c r="Q30" t="str"/>
      <x:c r="R30" t="str"/>
      <x:c r="S30" t="str"/>
      <x:c r="T30" t="str"/>
      <x:c r="U30" t="str"/>
    </x:row>
    <x:row r="31">
      <x:c r="A31" t="str">
        <x:v>German Turcuman</x:v>
      </x:c>
      <x:c r="B31" t="str">
        <x:v>9/10/26, 11:00:29 AM</x:v>
      </x:c>
      <x:c r="C31" t="str">
        <x:v>9/10/26, 11:48:59 AM</x:v>
      </x:c>
      <x:c r="D31" t="str">
        <x:v>42 min 46s</x:v>
      </x:c>
      <x:c r="E31" t="str">
        <x:v>gturcuman@familiazuccardi.com</x:v>
      </x:c>
      <x:c r="F31" t="str">
        <x:v>gturcuman@familiazuccardi.com</x:v>
      </x:c>
      <x:c r="G31" t="str">
        <x:v>Asistente</x:v>
      </x:c>
      <x:c r="H31" t="str">
        <x:v>Germán</x:v>
      </x:c>
      <x:c r="I31" t="str">
        <x:v>Turcuman</x:v>
      </x:c>
      <x:c r="J31" t="str">
        <x:v>gturcuman@familiazuccardi.com</x:v>
      </x:c>
      <x:c r="K31" t="str">
        <x:v>9/09/26, 10:38:45 AM</x:v>
      </x:c>
      <x:c r="L31" t="str">
        <x:v>Registrado</x:v>
      </x:c>
      <x:c r="M31" t="str"/>
      <x:c r="N31" t="str"/>
      <x:c r="O31" t="str"/>
      <x:c r="P31" t="str"/>
      <x:c r="Q31" t="str"/>
      <x:c r="R31" t="str"/>
      <x:c r="S31" t="str"/>
      <x:c r="T31" t="str"/>
      <x:c r="U31" t="str"/>
    </x:row>
    <x:row r="32">
      <x:c r="A32" t="str">
        <x:v>Luly Casasola (No comprobado)</x:v>
      </x:c>
      <x:c r="B32" t="str">
        <x:v>9/10/26, 11:00:30 AM</x:v>
      </x:c>
      <x:c r="C32" t="str">
        <x:v>9/10/26, 11:52:22 AM</x:v>
      </x:c>
      <x:c r="D32" t="str">
        <x:v>51 min 51s</x:v>
      </x:c>
      <x:c r="E32" t="str"/>
      <x:c r="F32" t="str"/>
      <x:c r="G32" t="str">
        <x:v>Asistente</x:v>
      </x:c>
      <x:c r="H32" t="str">
        <x:v>LOURDES</x:v>
      </x:c>
      <x:c r="I32" t="str">
        <x:v>CASASOLA</x:v>
      </x:c>
      <x:c r="J32" t="str">
        <x:v>lourdes.casasola@grupocolome.com</x:v>
      </x:c>
      <x:c r="K32" t="str">
        <x:v>9/09/26, 10:15:07 AM</x:v>
      </x:c>
      <x:c r="L32" t="str">
        <x:v>Registrado</x:v>
      </x:c>
      <x:c r="M32" t="str">
        <x:v>GRUPO COLOME S A </x:v>
      </x:c>
      <x:c r="N32" t="str">
        <x:v>Argentina</x:v>
      </x:c>
      <x:c r="O32" t="str"/>
      <x:c r="P32" t="str"/>
      <x:c r="Q32" t="str"/>
      <x:c r="R32" t="str"/>
      <x:c r="S32" t="str"/>
      <x:c r="T32" t="str"/>
      <x:c r="U32" t="str"/>
    </x:row>
    <x:row r="33">
      <x:c r="A33" t="str">
        <x:v>La Riojana Coop (No comprobado)</x:v>
      </x:c>
      <x:c r="B33" t="str">
        <x:v>9/10/26, 11:00:37 AM</x:v>
      </x:c>
      <x:c r="C33" t="str">
        <x:v>9/10/26, 11:23:48 AM</x:v>
      </x:c>
      <x:c r="D33" t="str">
        <x:v>23 min 10s</x:v>
      </x:c>
      <x:c r="E33" t="str"/>
      <x:c r="F33" t="str"/>
      <x:c r="G33" t="str">
        <x:v>Asistente</x:v>
      </x:c>
      <x:c r="H33" t="str">
        <x:v>Viviana</x:v>
      </x:c>
      <x:c r="I33" t="str">
        <x:v>Michel</x:v>
      </x:c>
      <x:c r="J33" t="str">
        <x:v>alejandravivianamichel17@gmail.com</x:v>
      </x:c>
      <x:c r="K33" t="str">
        <x:v>9/09/26, 10:23:05 AM</x:v>
      </x:c>
      <x:c r="L33" t="str">
        <x:v>Registrado</x:v>
      </x:c>
      <x:c r="M33" t="str"/>
      <x:c r="N33" t="str"/>
      <x:c r="O33" t="str"/>
      <x:c r="P33" t="str"/>
      <x:c r="Q33" t="str"/>
      <x:c r="R33" t="str"/>
      <x:c r="S33" t="str"/>
      <x:c r="T33" t="str"/>
      <x:c r="U33" t="str"/>
    </x:row>
    <x:row r="34">
      <x:c r="A34" t="str">
        <x:v>Silvana Beccarini (No comprobado)</x:v>
      </x:c>
      <x:c r="B34" t="str">
        <x:v>9/10/26, 11:00:37 AM</x:v>
      </x:c>
      <x:c r="C34" t="str">
        <x:v>9/10/26, 11:49:02 AM</x:v>
      </x:c>
      <x:c r="D34" t="str">
        <x:v>48 min 24s</x:v>
      </x:c>
      <x:c r="E34" t="str"/>
      <x:c r="F34" t="str"/>
      <x:c r="G34" t="str">
        <x:v>Asistente</x:v>
      </x:c>
      <x:c r="H34" t="str">
        <x:v>Silvana</x:v>
      </x:c>
      <x:c r="I34" t="str">
        <x:v>Beccarini</x:v>
      </x:c>
      <x:c r="J34" t="str">
        <x:v>calidad@biovanda.com.ar</x:v>
      </x:c>
      <x:c r="K34" t="str">
        <x:v>9/01/26, 10:29:18 AM</x:v>
      </x:c>
      <x:c r="L34" t="str">
        <x:v>Registrado</x:v>
      </x:c>
      <x:c r="M34" t="str">
        <x:v>Bio Vanda S.A.</x:v>
      </x:c>
      <x:c r="N34" t="str">
        <x:v>Argentina</x:v>
      </x:c>
      <x:c r="O34" t="str"/>
      <x:c r="P34" t="str"/>
      <x:c r="Q34" t="str"/>
      <x:c r="R34" t="str"/>
      <x:c r="S34" t="str"/>
      <x:c r="T34" t="str"/>
      <x:c r="U34" t="str"/>
    </x:row>
    <x:row r="35">
      <x:c r="A35" t="str">
        <x:v>Zoe Olivero (Externo)</x:v>
      </x:c>
      <x:c r="B35" t="str">
        <x:v>9/10/26, 11:00:40 AM</x:v>
      </x:c>
      <x:c r="C35" t="str">
        <x:v>9/10/26, 11:37:19 AM</x:v>
      </x:c>
      <x:c r="D35" t="str">
        <x:v>36 min 38s</x:v>
      </x:c>
      <x:c r="E35" t="str">
        <x:v>zolivero@bio4.com.ar</x:v>
      </x:c>
      <x:c r="F35" t="str">
        <x:v>zolivero@bio4.com.ar</x:v>
      </x:c>
      <x:c r="G35" t="str">
        <x:v>Asistente</x:v>
      </x:c>
      <x:c r="H35" t="str">
        <x:v>Zoe</x:v>
      </x:c>
      <x:c r="I35" t="str">
        <x:v>Olivero</x:v>
      </x:c>
      <x:c r="J35" t="str">
        <x:v>zolivero@bio4.com.ar</x:v>
      </x:c>
      <x:c r="K35" t="str">
        <x:v>8/18/26, 10:40:49 AM</x:v>
      </x:c>
      <x:c r="L35" t="str">
        <x:v>Registrado</x:v>
      </x:c>
      <x:c r="M35" t="str">
        <x:v>BIOETANOL RIO CUARTO SA</x:v>
      </x:c>
      <x:c r="N35" t="str">
        <x:v>ARGENTINA</x:v>
      </x:c>
      <x:c r="O35" t="str"/>
      <x:c r="P35" t="str"/>
      <x:c r="Q35" t="str"/>
      <x:c r="R35" t="str"/>
      <x:c r="S35" t="str"/>
      <x:c r="T35" t="str"/>
      <x:c r="U35" t="str"/>
    </x:row>
    <x:row r="36">
      <x:c r="A36" t="str">
        <x:v>Lucas (No comprobado)</x:v>
      </x:c>
      <x:c r="B36" t="str">
        <x:v>9/10/26, 11:00:42 AM</x:v>
      </x:c>
      <x:c r="C36" t="str">
        <x:v>9/10/26, 11:05:18 AM</x:v>
      </x:c>
      <x:c r="D36" t="str">
        <x:v>4 min 35s</x:v>
      </x:c>
      <x:c r="E36" t="str"/>
      <x:c r="F36" t="str"/>
      <x:c r="G36" t="str">
        <x:v>Asistente</x:v>
      </x:c>
      <x:c r="H36" t="str">
        <x:v>Lucas</x:v>
      </x:c>
      <x:c r="I36" t="str">
        <x:v>Escudero</x:v>
      </x:c>
      <x:c r="J36" t="str">
        <x:v>lucas.escudero90@gmail.com</x:v>
      </x:c>
      <x:c r="K36" t="str">
        <x:v>9/09/26, 10:38:03 AM</x:v>
      </x:c>
      <x:c r="L36" t="str">
        <x:v>Registrado</x:v>
      </x:c>
      <x:c r="M36" t="str"/>
      <x:c r="N36" t="str"/>
      <x:c r="O36" t="str"/>
      <x:c r="P36" t="str"/>
      <x:c r="Q36" t="str"/>
      <x:c r="R36" t="str"/>
      <x:c r="S36" t="str"/>
      <x:c r="T36" t="str"/>
      <x:c r="U36" t="str"/>
    </x:row>
    <x:row r="37">
      <x:c r="A37" t="str">
        <x:v>Dalia Orlinski (Externo)</x:v>
      </x:c>
      <x:c r="B37" t="str">
        <x:v>9/10/26, 11:00:43 AM</x:v>
      </x:c>
      <x:c r="C37" t="str">
        <x:v>9/10/26, 11:48:59 AM</x:v>
      </x:c>
      <x:c r="D37" t="str">
        <x:v>48 min 15s</x:v>
      </x:c>
      <x:c r="E37" t="str">
        <x:v>dalia.orlinski@grupoavinea.com</x:v>
      </x:c>
      <x:c r="F37" t="str">
        <x:v>dalia.orlinski@rfsuy.com</x:v>
      </x:c>
      <x:c r="G37" t="str">
        <x:v>Asistente</x:v>
      </x:c>
      <x:c r="H37" t="str">
        <x:v>Dalia</x:v>
      </x:c>
      <x:c r="I37" t="str">
        <x:v>Orlinski</x:v>
      </x:c>
      <x:c r="J37" t="str">
        <x:v>dalia.orlinski@grupoavinea.com</x:v>
      </x:c>
      <x:c r="K37" t="str">
        <x:v>9/09/26, 10:47:48 AM</x:v>
      </x:c>
      <x:c r="L37" t="str">
        <x:v>Registrado</x:v>
      </x:c>
      <x:c r="M37" t="str"/>
      <x:c r="N37" t="str"/>
      <x:c r="O37" t="str"/>
      <x:c r="P37" t="str"/>
      <x:c r="Q37" t="str"/>
      <x:c r="R37" t="str"/>
      <x:c r="S37" t="str"/>
      <x:c r="T37" t="str"/>
      <x:c r="U37" t="str"/>
    </x:row>
    <x:row r="38">
      <x:c r="A38" t="str">
        <x:v>Jennifer Ferré</x:v>
      </x:c>
      <x:c r="B38" t="str">
        <x:v>9/10/26, 11:00:47 AM</x:v>
      </x:c>
      <x:c r="C38" t="str">
        <x:v>9/10/26, 11:49:34 AM</x:v>
      </x:c>
      <x:c r="D38" t="str">
        <x:v>48 min 47s</x:v>
      </x:c>
      <x:c r="E38" t="str"/>
      <x:c r="F38" t="str"/>
      <x:c r="G38" t="str">
        <x:v>Asistente</x:v>
      </x:c>
      <x:c r="H38" t="str">
        <x:v>Jennifer</x:v>
      </x:c>
      <x:c r="I38" t="str">
        <x:v>Ferré</x:v>
      </x:c>
      <x:c r="J38" t="str">
        <x:v>calidad.amalaya@grupocolome.com</x:v>
      </x:c>
      <x:c r="K38" t="str">
        <x:v>9/09/26, 10:31:41 AM</x:v>
      </x:c>
      <x:c r="L38" t="str">
        <x:v>Registrado</x:v>
      </x:c>
      <x:c r="M38" t="str"/>
      <x:c r="N38" t="str"/>
      <x:c r="O38" t="str"/>
      <x:c r="P38" t="str"/>
      <x:c r="Q38" t="str"/>
      <x:c r="R38" t="str"/>
      <x:c r="S38" t="str"/>
      <x:c r="T38" t="str"/>
      <x:c r="U38" t="str"/>
    </x:row>
    <x:row r="39">
      <x:c r="A39" t="str">
        <x:v>Gustavo Crespo (Externo)</x:v>
      </x:c>
      <x:c r="B39" t="str">
        <x:v>9/10/26, 11:00:51 AM</x:v>
      </x:c>
      <x:c r="C39" t="str">
        <x:v>9/10/26, 11:26:51 AM</x:v>
      </x:c>
      <x:c r="D39" t="str">
        <x:v>25 min 59s</x:v>
      </x:c>
      <x:c r="E39" t="str">
        <x:v>gustavoc@blendswineestates.com</x:v>
      </x:c>
      <x:c r="F39" t="str">
        <x:v>gcrespo@rfsuy.com</x:v>
      </x:c>
      <x:c r="G39" t="str">
        <x:v>Asistente</x:v>
      </x:c>
      <x:c r="H39" t="str">
        <x:v>Gustavo</x:v>
      </x:c>
      <x:c r="I39" t="str">
        <x:v>Crespo</x:v>
      </x:c>
      <x:c r="J39" t="str">
        <x:v>gustavoc@blendswineestates.com</x:v>
      </x:c>
      <x:c r="K39" t="str">
        <x:v>9/09/26, 10:41:52 AM</x:v>
      </x:c>
      <x:c r="L39" t="str">
        <x:v>Registrado</x:v>
      </x:c>
      <x:c r="M39" t="str"/>
      <x:c r="N39" t="str"/>
      <x:c r="O39" t="str"/>
      <x:c r="P39" t="str"/>
      <x:c r="Q39" t="str"/>
      <x:c r="R39" t="str"/>
      <x:c r="S39" t="str"/>
      <x:c r="T39" t="str"/>
      <x:c r="U39" t="str"/>
    </x:row>
    <x:row r="40">
      <x:c r="A40" t="str">
        <x:v>Pippa Townley (Externo)</x:v>
      </x:c>
      <x:c r="B40" t="str">
        <x:v>9/10/26, 11:00:56 AM</x:v>
      </x:c>
      <x:c r="C40" t="str">
        <x:v>9/10/26, 11:27:22 AM</x:v>
      </x:c>
      <x:c r="D40" t="str">
        <x:v>26 min 25s</x:v>
      </x:c>
      <x:c r="E40" t="str">
        <x:v>pippat@blendswineestates.com</x:v>
      </x:c>
      <x:c r="F40" t="str">
        <x:v>ptownley@rfsuy.com</x:v>
      </x:c>
      <x:c r="G40" t="str">
        <x:v>Asistente</x:v>
      </x:c>
      <x:c r="H40" t="str">
        <x:v>Pippa</x:v>
      </x:c>
      <x:c r="I40" t="str">
        <x:v>Townley</x:v>
      </x:c>
      <x:c r="J40" t="str">
        <x:v>pippat@blendswineestates.com</x:v>
      </x:c>
      <x:c r="K40" t="str">
        <x:v>9/09/26, 10:35:08 AM</x:v>
      </x:c>
      <x:c r="L40" t="str">
        <x:v>Registrado</x:v>
      </x:c>
      <x:c r="M40" t="str"/>
      <x:c r="N40" t="str"/>
      <x:c r="O40" t="str"/>
      <x:c r="P40" t="str"/>
      <x:c r="Q40" t="str"/>
      <x:c r="R40" t="str"/>
      <x:c r="S40" t="str"/>
      <x:c r="T40" t="str"/>
      <x:c r="U40" t="str"/>
    </x:row>
    <x:row r="41">
      <x:c r="A41" t="str">
        <x:v>DiVico, Constanza (Externo)</x:v>
      </x:c>
      <x:c r="B41" t="str">
        <x:v>9/10/26, 11:00:59 AM</x:v>
      </x:c>
      <x:c r="C41" t="str">
        <x:v>9/10/26, 11:49:02 AM</x:v>
      </x:c>
      <x:c r="D41" t="str">
        <x:v>48 min 3s</x:v>
      </x:c>
      <x:c r="E41" t="str">
        <x:v>constanza.divico@seaboard.com.ar</x:v>
      </x:c>
      <x:c r="F41" t="str">
        <x:v>constanza.divico@seaboard.com.ar</x:v>
      </x:c>
      <x:c r="G41" t="str">
        <x:v>Asistente</x:v>
      </x:c>
      <x:c r="H41" t="str">
        <x:v>Constanza</x:v>
      </x:c>
      <x:c r="I41" t="str">
        <x:v>DiVico</x:v>
      </x:c>
      <x:c r="J41" t="str">
        <x:v>constanza.divico@seaboard.com.ar</x:v>
      </x:c>
      <x:c r="K41" t="str">
        <x:v>9/10/26, 10:22:21 AM</x:v>
      </x:c>
      <x:c r="L41" t="str">
        <x:v>Registrado</x:v>
      </x:c>
      <x:c r="M41" t="str">
        <x:v>Seaboard Energías Renovables y Alimentos S.R.L.</x:v>
      </x:c>
      <x:c r="N41" t="str">
        <x:v>Argentina</x:v>
      </x:c>
      <x:c r="O41" t="str"/>
      <x:c r="P41" t="str"/>
      <x:c r="Q41" t="str"/>
      <x:c r="R41" t="str"/>
      <x:c r="S41" t="str"/>
      <x:c r="T41" t="str"/>
      <x:c r="U41" t="str"/>
    </x:row>
    <x:row r="42">
      <x:c r="A42" t="str">
        <x:v>Nadia Engler</x:v>
      </x:c>
      <x:c r="B42" t="str">
        <x:v>9/10/26, 11:00:59 AM</x:v>
      </x:c>
      <x:c r="C42" t="str">
        <x:v>9/10/26, 11:48:59 AM</x:v>
      </x:c>
      <x:c r="D42" t="str">
        <x:v>47 min 59s</x:v>
      </x:c>
      <x:c r="E42" t="str">
        <x:v>Nadia.Engler@austinpowder.com</x:v>
      </x:c>
      <x:c r="F42" t="str">
        <x:v>nadia.engler@austinpowder.com</x:v>
      </x:c>
      <x:c r="G42" t="str">
        <x:v>Asistente</x:v>
      </x:c>
      <x:c r="H42" t="str">
        <x:v>Nadia</x:v>
      </x:c>
      <x:c r="I42" t="str">
        <x:v>Engler</x:v>
      </x:c>
      <x:c r="J42" t="str">
        <x:v>nadia.engler@austinpowder.com</x:v>
      </x:c>
      <x:c r="K42" t="str">
        <x:v>8/25/26, 11:02:32 AM</x:v>
      </x:c>
      <x:c r="L42" t="str">
        <x:v>Registrado</x:v>
      </x:c>
      <x:c r="M42" t="str">
        <x:v>AUSTIN POWDER ARGNETINA</x:v>
      </x:c>
      <x:c r="N42" t="str">
        <x:v>Argentina</x:v>
      </x:c>
      <x:c r="O42" t="str"/>
      <x:c r="P42" t="str"/>
      <x:c r="Q42" t="str"/>
      <x:c r="R42" t="str"/>
      <x:c r="S42" t="str"/>
      <x:c r="T42" t="str"/>
      <x:c r="U42" t="str"/>
    </x:row>
    <x:row r="43">
      <x:c r="A43" t="str">
        <x:v>Mariana Mrozek (Externo)</x:v>
      </x:c>
      <x:c r="B43" t="str">
        <x:v>9/10/26, 11:01:01 AM</x:v>
      </x:c>
      <x:c r="C43" t="str">
        <x:v>9/10/26, 11:49:26 AM</x:v>
      </x:c>
      <x:c r="D43" t="str">
        <x:v>48 min 25s</x:v>
      </x:c>
      <x:c r="E43" t="str">
        <x:v>mariana@pai-argentina.com</x:v>
      </x:c>
      <x:c r="F43" t="str">
        <x:v>mariana@pai-argentina.com</x:v>
      </x:c>
      <x:c r="G43" t="str">
        <x:v>Asistente</x:v>
      </x:c>
      <x:c r="H43" t="str">
        <x:v>Mariana</x:v>
      </x:c>
      <x:c r="I43" t="str">
        <x:v>Mrozek</x:v>
      </x:c>
      <x:c r="J43" t="str">
        <x:v>mariana@pai-argentina.com</x:v>
      </x:c>
      <x:c r="K43" t="str">
        <x:v>8/25/26, 11:54:26 AM</x:v>
      </x:c>
      <x:c r="L43" t="str">
        <x:v>Registrado</x:v>
      </x:c>
      <x:c r="M43" t="str">
        <x:v>PAI S.A.</x:v>
      </x:c>
      <x:c r="N43" t="str">
        <x:v>Argentina</x:v>
      </x:c>
      <x:c r="O43" t="str"/>
      <x:c r="P43" t="str"/>
      <x:c r="Q43" t="str"/>
      <x:c r="R43" t="str"/>
      <x:c r="S43" t="str"/>
      <x:c r="T43" t="str"/>
      <x:c r="U43" t="str"/>
    </x:row>
    <x:row r="44">
      <x:c r="A44" t="str">
        <x:v>Marite Juri</x:v>
      </x:c>
      <x:c r="B44" t="str">
        <x:v>9/10/26, 11:01:04 AM</x:v>
      </x:c>
      <x:c r="C44" t="str">
        <x:v>9/10/26, 11:49:14 AM</x:v>
      </x:c>
      <x:c r="D44" t="str">
        <x:v>48 min 10s</x:v>
      </x:c>
      <x:c r="E44" t="str">
        <x:v>marite.juri@bodegasbianchi.com.ar</x:v>
      </x:c>
      <x:c r="F44" t="str">
        <x:v>maria.juri@bodegasbianchi.com.ar</x:v>
      </x:c>
      <x:c r="G44" t="str">
        <x:v>Asistente</x:v>
      </x:c>
      <x:c r="H44" t="str">
        <x:v>María Teresa</x:v>
      </x:c>
      <x:c r="I44" t="str">
        <x:v>Juri</x:v>
      </x:c>
      <x:c r="J44" t="str">
        <x:v>marite.juri@bodegasbianchi.com.ar</x:v>
      </x:c>
      <x:c r="K44" t="str">
        <x:v>9/09/26, 10:15:55 AM</x:v>
      </x:c>
      <x:c r="L44" t="str">
        <x:v>Registrado</x:v>
      </x:c>
      <x:c r="M44" t="str"/>
      <x:c r="N44" t="str"/>
      <x:c r="O44" t="str"/>
      <x:c r="P44" t="str"/>
      <x:c r="Q44" t="str"/>
      <x:c r="R44" t="str"/>
      <x:c r="S44" t="str"/>
      <x:c r="T44" t="str"/>
      <x:c r="U44" t="str"/>
    </x:row>
    <x:row r="45">
      <x:c r="A45" t="str">
        <x:v>Daniela Schiratti</x:v>
      </x:c>
      <x:c r="B45" t="str">
        <x:v>9/10/26, 11:01:09 AM</x:v>
      </x:c>
      <x:c r="C45" t="str">
        <x:v>9/10/26, 11:49:00 AM</x:v>
      </x:c>
      <x:c r="D45" t="str">
        <x:v>47 min 50s</x:v>
      </x:c>
      <x:c r="E45" t="str">
        <x:v>dschiratti@onepeterson.com</x:v>
      </x:c>
      <x:c r="F45" t="str">
        <x:v>dschiratti@pcugroup.com</x:v>
      </x:c>
      <x:c r="G45" t="str">
        <x:v>Asistente</x:v>
      </x:c>
      <x:c r="H45" t="str">
        <x:v>Daniela</x:v>
      </x:c>
      <x:c r="I45" t="str">
        <x:v>Schiratti</x:v>
      </x:c>
      <x:c r="J45" t="str">
        <x:v>dschiratti@onepeterson.com</x:v>
      </x:c>
      <x:c r="K45" t="str">
        <x:v>9/02/26, 11:39:52 AM</x:v>
      </x:c>
      <x:c r="L45" t="str">
        <x:v>Registrado</x:v>
      </x:c>
      <x:c r="M45" t="str">
        <x:v>Peterson </x:v>
      </x:c>
      <x:c r="N45" t="str">
        <x:v>Argentina </x:v>
      </x:c>
      <x:c r="O45" t="str"/>
      <x:c r="P45" t="str"/>
      <x:c r="Q45" t="str"/>
      <x:c r="R45" t="str"/>
      <x:c r="S45" t="str"/>
      <x:c r="T45" t="str"/>
      <x:c r="U45" t="str"/>
    </x:row>
    <x:row r="46">
      <x:c r="A46" t="str">
        <x:v>ANDRES STOCCO</x:v>
      </x:c>
      <x:c r="B46" t="str">
        <x:v>9/10/26, 11:01:17 AM</x:v>
      </x:c>
      <x:c r="C46" t="str">
        <x:v>9/10/26, 11:48:55 AM</x:v>
      </x:c>
      <x:c r="D46" t="str">
        <x:v>47 min 38s</x:v>
      </x:c>
      <x:c r="E46" t="str"/>
      <x:c r="F46" t="str"/>
      <x:c r="G46" t="str">
        <x:v>Asistente</x:v>
      </x:c>
      <x:c r="H46" t="str">
        <x:v>ANDRES</x:v>
      </x:c>
      <x:c r="I46" t="str">
        <x:v>STOCCO</x:v>
      </x:c>
      <x:c r="J46" t="str">
        <x:v>andres.stocco@chakanawines.com.ar</x:v>
      </x:c>
      <x:c r="K46" t="str">
        <x:v>9/09/26, 10:40:58 AM</x:v>
      </x:c>
      <x:c r="L46" t="str">
        <x:v>Registrado</x:v>
      </x:c>
      <x:c r="M46" t="str"/>
      <x:c r="N46" t="str"/>
      <x:c r="O46" t="str"/>
      <x:c r="P46" t="str"/>
      <x:c r="Q46" t="str"/>
      <x:c r="R46" t="str"/>
      <x:c r="S46" t="str"/>
      <x:c r="T46" t="str"/>
      <x:c r="U46" t="str"/>
    </x:row>
    <x:row r="47">
      <x:c r="A47" t="str">
        <x:v>Mercedes Alvarez (No comprobado)</x:v>
      </x:c>
      <x:c r="B47" t="str">
        <x:v>9/10/26, 11:01:19 AM</x:v>
      </x:c>
      <x:c r="C47" t="str">
        <x:v>9/10/26, 11:52:35 AM</x:v>
      </x:c>
      <x:c r="D47" t="str">
        <x:v>51 min 15s</x:v>
      </x:c>
      <x:c r="E47" t="str"/>
      <x:c r="F47" t="str"/>
      <x:c r="G47" t="str">
        <x:v>Asistente</x:v>
      </x:c>
      <x:c r="H47" t="str">
        <x:v>Mercedes</x:v>
      </x:c>
      <x:c r="I47" t="str">
        <x:v>Alvarez</x:v>
      </x:c>
      <x:c r="J47" t="str">
        <x:v>mercedes.alvarez@trivento.com</x:v>
      </x:c>
      <x:c r="K47" t="str">
        <x:v>9/09/26, 10:47:27 AM</x:v>
      </x:c>
      <x:c r="L47" t="str">
        <x:v>Registrado</x:v>
      </x:c>
      <x:c r="M47" t="str"/>
      <x:c r="N47" t="str"/>
      <x:c r="O47" t="str"/>
      <x:c r="P47" t="str"/>
      <x:c r="Q47" t="str"/>
      <x:c r="R47" t="str"/>
      <x:c r="S47" t="str"/>
      <x:c r="T47" t="str"/>
      <x:c r="U47" t="str"/>
    </x:row>
    <x:row r="48">
      <x:c r="A48" t="str">
        <x:v>Florencia Gomez (Externo)</x:v>
      </x:c>
      <x:c r="B48" t="str">
        <x:v>9/10/26, 11:01:25 AM</x:v>
      </x:c>
      <x:c r="C48" t="str">
        <x:v>9/10/26, 11:49:02 AM</x:v>
      </x:c>
      <x:c r="D48" t="str">
        <x:v>47 min 37s</x:v>
      </x:c>
      <x:c r="E48" t="str">
        <x:v>florencia.gomez@grupoavinea.com</x:v>
      </x:c>
      <x:c r="F48" t="str">
        <x:v>florencia.gomez@rfsuy.com</x:v>
      </x:c>
      <x:c r="G48" t="str">
        <x:v>Asistente</x:v>
      </x:c>
      <x:c r="H48" t="str">
        <x:v>Florencia</x:v>
      </x:c>
      <x:c r="I48" t="str">
        <x:v>Gomez</x:v>
      </x:c>
      <x:c r="J48" t="str">
        <x:v>florencia.gomez@grupoavinea.com</x:v>
      </x:c>
      <x:c r="K48" t="str">
        <x:v>9/09/26, 10:33:27 AM</x:v>
      </x:c>
      <x:c r="L48" t="str">
        <x:v>Registrado</x:v>
      </x:c>
      <x:c r="M48" t="str"/>
      <x:c r="N48" t="str"/>
      <x:c r="O48" t="str"/>
      <x:c r="P48" t="str"/>
      <x:c r="Q48" t="str"/>
      <x:c r="R48" t="str"/>
      <x:c r="S48" t="str"/>
      <x:c r="T48" t="str"/>
      <x:c r="U48" t="str"/>
    </x:row>
    <x:row r="49">
      <x:c r="A49" t="str">
        <x:v>Daniela MEZZATESTA</x:v>
      </x:c>
      <x:c r="B49" t="str">
        <x:v>9/10/26, 11:01:33 AM</x:v>
      </x:c>
      <x:c r="C49" t="str">
        <x:v>9/10/26, 11:49:02 AM</x:v>
      </x:c>
      <x:c r="D49" t="str">
        <x:v>47 min 29s</x:v>
      </x:c>
      <x:c r="E49" t="str">
        <x:v>dmezzatesta@terrazasdelosandes.com.ar</x:v>
      </x:c>
      <x:c r="F49" t="str">
        <x:v>dmezzatesta@terrazasdelosandes.com.ar</x:v>
      </x:c>
      <x:c r="G49" t="str">
        <x:v>Asistente</x:v>
      </x:c>
      <x:c r="H49" t="str">
        <x:v>Daniela</x:v>
      </x:c>
      <x:c r="I49" t="str">
        <x:v>Mezzatesta</x:v>
      </x:c>
      <x:c r="J49" t="str">
        <x:v>dmezzatesta@terrazasdelosandes.com.ar</x:v>
      </x:c>
      <x:c r="K49" t="str">
        <x:v>9/09/26, 10:36:10 AM</x:v>
      </x:c>
      <x:c r="L49" t="str">
        <x:v>Registrado</x:v>
      </x:c>
      <x:c r="M49" t="str"/>
      <x:c r="N49" t="str"/>
      <x:c r="O49" t="str"/>
      <x:c r="P49" t="str"/>
      <x:c r="Q49" t="str"/>
      <x:c r="R49" t="str"/>
      <x:c r="S49" t="str"/>
      <x:c r="T49" t="str"/>
      <x:c r="U49" t="str"/>
    </x:row>
    <x:row r="50">
      <x:c r="A50" t="str">
        <x:v>Jesica Giovanini (No comprobado)</x:v>
      </x:c>
      <x:c r="B50" t="str">
        <x:v>9/10/26, 11:01:34 AM</x:v>
      </x:c>
      <x:c r="C50" t="str">
        <x:v>9/10/26, 11:49:07 AM</x:v>
      </x:c>
      <x:c r="D50" t="str">
        <x:v>47 min 33s</x:v>
      </x:c>
      <x:c r="E50" t="str"/>
      <x:c r="F50" t="str"/>
      <x:c r="G50" t="str">
        <x:v>Asistente</x:v>
      </x:c>
      <x:c r="H50" t="str">
        <x:v>Jesica</x:v>
      </x:c>
      <x:c r="I50" t="str">
        <x:v>Giovanini</x:v>
      </x:c>
      <x:c r="J50" t="str">
        <x:v>jgiovanini@rutiniwines.com</x:v>
      </x:c>
      <x:c r="K50" t="str">
        <x:v>9/09/26, 10:40:01 AM</x:v>
      </x:c>
      <x:c r="L50" t="str">
        <x:v>Registrado</x:v>
      </x:c>
      <x:c r="M50" t="str"/>
      <x:c r="N50" t="str"/>
      <x:c r="O50" t="str"/>
      <x:c r="P50" t="str"/>
      <x:c r="Q50" t="str"/>
      <x:c r="R50" t="str"/>
      <x:c r="S50" t="str"/>
      <x:c r="T50" t="str"/>
      <x:c r="U50" t="str"/>
    </x:row>
    <x:row r="51">
      <x:c r="A51" t="str">
        <x:v>Kathya Briceño (No comprobado)</x:v>
      </x:c>
      <x:c r="B51" t="str">
        <x:v>9/10/26, 11:01:36 AM</x:v>
      </x:c>
      <x:c r="C51" t="str">
        <x:v>9/10/26, 11:48:48 AM</x:v>
      </x:c>
      <x:c r="D51" t="str">
        <x:v>47 min 11s</x:v>
      </x:c>
      <x:c r="E51" t="str"/>
      <x:c r="F51" t="str"/>
      <x:c r="G51" t="str">
        <x:v>Asistente</x:v>
      </x:c>
      <x:c r="H51" t="str">
        <x:v>Kathya</x:v>
      </x:c>
      <x:c r="I51" t="str">
        <x:v>Briceño</x:v>
      </x:c>
      <x:c r="J51" t="str">
        <x:v>kathyabriceno@gmail.com</x:v>
      </x:c>
      <x:c r="K51" t="str">
        <x:v>9/04/26, 9:58:24 AM</x:v>
      </x:c>
      <x:c r="L51" t="str">
        <x:v>Registrado</x:v>
      </x:c>
      <x:c r="M51" t="str"/>
      <x:c r="N51" t="str">
        <x:v>Spain</x:v>
      </x:c>
      <x:c r="O51" t="str"/>
      <x:c r="P51" t="str"/>
      <x:c r="Q51" t="str"/>
      <x:c r="R51" t="str"/>
      <x:c r="S51" t="str"/>
      <x:c r="T51" t="str"/>
      <x:c r="U51" t="str"/>
    </x:row>
    <x:row r="52">
      <x:c r="A52" t="str">
        <x:v>Marisa Zapata (Externo)</x:v>
      </x:c>
      <x:c r="B52" t="str">
        <x:v>9/10/26, 11:01:36 AM</x:v>
      </x:c>
      <x:c r="C52" t="str">
        <x:v>9/10/26, 11:49:02 AM</x:v>
      </x:c>
      <x:c r="D52" t="str">
        <x:v>47 min 25s</x:v>
      </x:c>
      <x:c r="E52" t="str">
        <x:v>mzapata@catenazapata.com</x:v>
      </x:c>
      <x:c r="F52" t="str">
        <x:v>mzapata@catenazapata.com</x:v>
      </x:c>
      <x:c r="G52" t="str">
        <x:v>Asistente</x:v>
      </x:c>
      <x:c r="H52" t="str">
        <x:v>Marisa</x:v>
      </x:c>
      <x:c r="I52" t="str">
        <x:v>Zapata</x:v>
      </x:c>
      <x:c r="J52" t="str">
        <x:v>mzapata@catenazapata.com</x:v>
      </x:c>
      <x:c r="K52" t="str">
        <x:v>9/09/26, 10:42:08 AM</x:v>
      </x:c>
      <x:c r="L52" t="str">
        <x:v>Registrado</x:v>
      </x:c>
      <x:c r="M52" t="str"/>
      <x:c r="N52" t="str"/>
      <x:c r="O52" t="str"/>
      <x:c r="P52" t="str"/>
      <x:c r="Q52" t="str"/>
      <x:c r="R52" t="str"/>
      <x:c r="S52" t="str"/>
      <x:c r="T52" t="str"/>
      <x:c r="U52" t="str"/>
    </x:row>
    <x:row r="53">
      <x:c r="A53" t="str">
        <x:v>Emilia Canavati Perez</x:v>
      </x:c>
      <x:c r="B53" t="str">
        <x:v>9/10/26, 11:01:37 AM</x:v>
      </x:c>
      <x:c r="C53" t="str">
        <x:v>9/10/26, 11:49:05 AM</x:v>
      </x:c>
      <x:c r="D53" t="str">
        <x:v>47 min 27s</x:v>
      </x:c>
      <x:c r="E53" t="str">
        <x:v>emilia.canavati@grupobimbo.com</x:v>
      </x:c>
      <x:c r="F53" t="str">
        <x:v>emilia.canavati@grupobimbo.com</x:v>
      </x:c>
      <x:c r="G53" t="str">
        <x:v>Asistente</x:v>
      </x:c>
      <x:c r="H53" t="str">
        <x:v>EMILIA</x:v>
      </x:c>
      <x:c r="I53" t="str">
        <x:v>CANAVATI PEREZ</x:v>
      </x:c>
      <x:c r="J53" t="str">
        <x:v>emilia.canavati@grupobimbo.com</x:v>
      </x:c>
      <x:c r="K53" t="str">
        <x:v>9/03/26, 4:18:17 PM</x:v>
      </x:c>
      <x:c r="L53" t="str">
        <x:v>Registrado</x:v>
      </x:c>
      <x:c r="M53" t="str">
        <x:v>Grupo Bimbo</x:v>
      </x:c>
      <x:c r="N53" t="str">
        <x:v>México</x:v>
      </x:c>
      <x:c r="O53" t="str"/>
      <x:c r="P53" t="str"/>
      <x:c r="Q53" t="str"/>
      <x:c r="R53" t="str"/>
      <x:c r="S53" t="str"/>
      <x:c r="T53" t="str"/>
      <x:c r="U53" t="str"/>
    </x:row>
    <x:row r="54">
      <x:c r="A54" t="str">
        <x:v>Maria Clara Lissarrague (OnePeterson)</x:v>
      </x:c>
      <x:c r="B54" t="str">
        <x:v>9/10/26, 11:01:40 AM</x:v>
      </x:c>
      <x:c r="C54" t="str">
        <x:v>9/10/26, 11:03:01 AM</x:v>
      </x:c>
      <x:c r="D54" t="str">
        <x:v>1 min 21s</x:v>
      </x:c>
      <x:c r="E54" t="str">
        <x:v>clissarrague@onepeterson.com</x:v>
      </x:c>
      <x:c r="F54" t="str">
        <x:v>clissarrague2@pcugroup.com</x:v>
      </x:c>
      <x:c r="G54" t="str">
        <x:v>Asistente</x:v>
      </x:c>
      <x:c r="H54" t="str">
        <x:v>Maria Clara</x:v>
      </x:c>
      <x:c r="I54" t="str">
        <x:v>Lissarrague (OnePeterson)</x:v>
      </x:c>
      <x:c r="J54" t="str">
        <x:v>clissarrague@onepeterson.com</x:v>
      </x:c>
      <x:c r="K54" t="str">
        <x:v>9/10/26, 11:01:25 AM</x:v>
      </x:c>
      <x:c r="L54" t="str">
        <x:v>Registrado</x:v>
      </x:c>
      <x:c r="M54" t="str">
        <x:v>Peterson Solutions</x:v>
      </x:c>
      <x:c r="N54" t="str"/>
      <x:c r="O54" t="str"/>
      <x:c r="P54" t="str"/>
      <x:c r="Q54" t="str"/>
      <x:c r="R54" t="str"/>
      <x:c r="S54" t="str"/>
      <x:c r="T54" t="str"/>
      <x:c r="U54" t="str"/>
    </x:row>
    <x:row r="55">
      <x:c r="A55" t="str">
        <x:v>Tomas Buscalia (Externo)</x:v>
      </x:c>
      <x:c r="B55" t="str">
        <x:v>9/10/26, 11:01:40 AM</x:v>
      </x:c>
      <x:c r="C55" t="str">
        <x:v>9/10/26, 11:48:49 AM</x:v>
      </x:c>
      <x:c r="D55" t="str">
        <x:v>47 min 8s</x:v>
      </x:c>
      <x:c r="E55" t="str">
        <x:v>TBuscalia@cofcointernational.com</x:v>
      </x:c>
      <x:c r="F55" t="str">
        <x:v>TBuscalia@cofcointernational.com</x:v>
      </x:c>
      <x:c r="G55" t="str">
        <x:v>Asistente</x:v>
      </x:c>
      <x:c r="H55" t="str">
        <x:v>Tomas</x:v>
      </x:c>
      <x:c r="I55" t="str">
        <x:v>Buscalia</x:v>
      </x:c>
      <x:c r="J55" t="str">
        <x:v>tbuscalia@cofcointernational.com</x:v>
      </x:c>
      <x:c r="K55" t="str">
        <x:v>9/10/26, 10:32:58 AM</x:v>
      </x:c>
      <x:c r="L55" t="str">
        <x:v>Registrado</x:v>
      </x:c>
      <x:c r="M55" t="str">
        <x:v>COFCO INTERNATIONAL ARGENTINA</x:v>
      </x:c>
      <x:c r="N55" t="str">
        <x:v>Argentina</x:v>
      </x:c>
      <x:c r="O55" t="str"/>
      <x:c r="P55" t="str"/>
      <x:c r="Q55" t="str"/>
      <x:c r="R55" t="str"/>
      <x:c r="S55" t="str"/>
      <x:c r="T55" t="str"/>
      <x:c r="U55" t="str"/>
    </x:row>
    <x:row r="56">
      <x:c r="A56" t="str">
        <x:v>Camila Oliva (Externo)</x:v>
      </x:c>
      <x:c r="B56" t="str">
        <x:v>9/10/26, 11:01:41 AM</x:v>
      </x:c>
      <x:c r="C56" t="str">
        <x:v>9/10/26, 11:49:16 AM</x:v>
      </x:c>
      <x:c r="D56" t="str">
        <x:v>47 min 35s</x:v>
      </x:c>
      <x:c r="E56" t="str">
        <x:v>CamilaOliva@cofcointernational.com</x:v>
      </x:c>
      <x:c r="F56" t="str">
        <x:v>CamilaOliva@cofcointernational.com</x:v>
      </x:c>
      <x:c r="G56" t="str">
        <x:v>Asistente</x:v>
      </x:c>
      <x:c r="H56" t="str">
        <x:v>Camila</x:v>
      </x:c>
      <x:c r="I56" t="str">
        <x:v>Oliva</x:v>
      </x:c>
      <x:c r="J56" t="str">
        <x:v>camilaoliva@cofcointernational.com</x:v>
      </x:c>
      <x:c r="K56" t="str">
        <x:v>9/10/26, 10:32:46 AM</x:v>
      </x:c>
      <x:c r="L56" t="str">
        <x:v>Registrado</x:v>
      </x:c>
      <x:c r="M56" t="str">
        <x:v>COFCO INTL</x:v>
      </x:c>
      <x:c r="N56" t="str">
        <x:v>Argentina</x:v>
      </x:c>
      <x:c r="O56" t="str"/>
      <x:c r="P56" t="str"/>
      <x:c r="Q56" t="str"/>
      <x:c r="R56" t="str"/>
      <x:c r="S56" t="str"/>
      <x:c r="T56" t="str"/>
      <x:c r="U56" t="str"/>
    </x:row>
    <x:row r="57">
      <x:c r="A57" t="str">
        <x:v>Pablo Tres vins (No comprobado)</x:v>
      </x:c>
      <x:c r="B57" t="str">
        <x:v>9/10/26, 11:01:42 AM</x:v>
      </x:c>
      <x:c r="C57" t="str">
        <x:v>9/10/26, 11:49:23 AM</x:v>
      </x:c>
      <x:c r="D57" t="str">
        <x:v>47 min 41s</x:v>
      </x:c>
      <x:c r="E57" t="str"/>
      <x:c r="F57" t="str"/>
      <x:c r="G57" t="str">
        <x:v>Asistente</x:v>
      </x:c>
      <x:c r="H57" t="str">
        <x:v>Pablo Esteban</x:v>
      </x:c>
      <x:c r="I57" t="str">
        <x:v>Rodriguez</x:v>
      </x:c>
      <x:c r="J57" t="str">
        <x:v>import@tresvins.dk</x:v>
      </x:c>
      <x:c r="K57" t="str">
        <x:v>9/09/26, 10:45:36 AM</x:v>
      </x:c>
      <x:c r="L57" t="str">
        <x:v>Registrado</x:v>
      </x:c>
      <x:c r="M57" t="str"/>
      <x:c r="N57" t="str"/>
      <x:c r="O57" t="str"/>
      <x:c r="P57" t="str"/>
      <x:c r="Q57" t="str"/>
      <x:c r="R57" t="str"/>
      <x:c r="S57" t="str"/>
      <x:c r="T57" t="str"/>
      <x:c r="U57" t="str"/>
    </x:row>
    <x:row r="58">
      <x:c r="A58" t="str">
        <x:v>Fernanda (No comprobado)</x:v>
      </x:c>
      <x:c r="B58" t="str">
        <x:v>9/10/26, 11:01:52 AM</x:v>
      </x:c>
      <x:c r="C58" t="str">
        <x:v>9/10/26, 11:49:02 AM</x:v>
      </x:c>
      <x:c r="D58" t="str">
        <x:v>47 min 10s</x:v>
      </x:c>
      <x:c r="E58" t="str"/>
      <x:c r="F58" t="str"/>
      <x:c r="G58" t="str">
        <x:v>Asistente</x:v>
      </x:c>
      <x:c r="H58" t="str">
        <x:v>SEBASTIAN</x:v>
      </x:c>
      <x:c r="I58" t="str">
        <x:v>CASTRO</x:v>
      </x:c>
      <x:c r="J58" t="str">
        <x:v>scastro@familiazuccardi.com</x:v>
      </x:c>
      <x:c r="K58" t="str">
        <x:v>9/09/26, 10:39:05 AM</x:v>
      </x:c>
      <x:c r="L58" t="str">
        <x:v>Registrado</x:v>
      </x:c>
      <x:c r="M58" t="str"/>
      <x:c r="N58" t="str"/>
      <x:c r="O58" t="str"/>
      <x:c r="P58" t="str"/>
      <x:c r="Q58" t="str"/>
      <x:c r="R58" t="str"/>
      <x:c r="S58" t="str"/>
      <x:c r="T58" t="str"/>
      <x:c r="U58" t="str"/>
    </x:row>
    <x:row r="59">
      <x:c r="A59" t="str">
        <x:v>María Gabriela Montenegro (Externo)</x:v>
      </x:c>
      <x:c r="B59" t="str">
        <x:v>9/10/26, 11:01:55 AM</x:v>
      </x:c>
      <x:c r="C59" t="str">
        <x:v>9/10/26, 11:48:56 AM</x:v>
      </x:c>
      <x:c r="D59" t="str">
        <x:v>47 min 1s</x:v>
      </x:c>
      <x:c r="E59" t="str">
        <x:v>gmontenegro@cofcointernational.com</x:v>
      </x:c>
      <x:c r="F59" t="str">
        <x:v>gmo@cofcointernational.com</x:v>
      </x:c>
      <x:c r="G59" t="str">
        <x:v>Asistente</x:v>
      </x:c>
      <x:c r="H59" t="str">
        <x:v>Maria Gabriela</x:v>
      </x:c>
      <x:c r="I59" t="str">
        <x:v>Montenegro</x:v>
      </x:c>
      <x:c r="J59" t="str">
        <x:v>gmontenegro@cofcointernational.com</x:v>
      </x:c>
      <x:c r="K59" t="str">
        <x:v>9/10/26, 10:30:18 AM</x:v>
      </x:c>
      <x:c r="L59" t="str">
        <x:v>Registrado</x:v>
      </x:c>
      <x:c r="M59" t="str">
        <x:v>COFCO INTERNATIONAL ARGENTINA S.A.</x:v>
      </x:c>
      <x:c r="N59" t="str">
        <x:v>Argentina</x:v>
      </x:c>
      <x:c r="O59" t="str"/>
      <x:c r="P59" t="str"/>
      <x:c r="Q59" t="str"/>
      <x:c r="R59" t="str"/>
      <x:c r="S59" t="str"/>
      <x:c r="T59" t="str"/>
      <x:c r="U59" t="str"/>
    </x:row>
    <x:row r="60">
      <x:c r="A60" t="str">
        <x:v>Erika Villagran (Externo)</x:v>
      </x:c>
      <x:c r="B60" t="str">
        <x:v>9/10/26, 11:02:01 AM</x:v>
      </x:c>
      <x:c r="C60" t="str">
        <x:v>9/10/26, 11:48:57 AM</x:v>
      </x:c>
      <x:c r="D60" t="str">
        <x:v>46 min 56s</x:v>
      </x:c>
      <x:c r="E60" t="str">
        <x:v>evillagran@pft.com.ar</x:v>
      </x:c>
      <x:c r="F60" t="str">
        <x:v>evillagran@pft.com.ar</x:v>
      </x:c>
      <x:c r="G60" t="str">
        <x:v>Asistente</x:v>
      </x:c>
      <x:c r="H60" t="str">
        <x:v>Erika</x:v>
      </x:c>
      <x:c r="I60" t="str">
        <x:v>Villagran</x:v>
      </x:c>
      <x:c r="J60" t="str">
        <x:v>evillagran@pft.com.ar</x:v>
      </x:c>
      <x:c r="K60" t="str">
        <x:v>9/10/26, 9:43:45 AM</x:v>
      </x:c>
      <x:c r="L60" t="str">
        <x:v>Registrado</x:v>
      </x:c>
      <x:c r="M60" t="str">
        <x:v>Patagonian Fruits S.A.</x:v>
      </x:c>
      <x:c r="N60" t="str">
        <x:v>Argentina</x:v>
      </x:c>
      <x:c r="O60" t="str"/>
      <x:c r="P60" t="str"/>
      <x:c r="Q60" t="str"/>
      <x:c r="R60" t="str"/>
      <x:c r="S60" t="str"/>
      <x:c r="T60" t="str"/>
      <x:c r="U60" t="str"/>
    </x:row>
    <x:row r="61">
      <x:c r="A61" t="str">
        <x:v>Ornella Corallo (Externo)</x:v>
      </x:c>
      <x:c r="B61" t="str">
        <x:v>9/10/26, 11:02:07 AM</x:v>
      </x:c>
      <x:c r="C61" t="str">
        <x:v>9/10/26, 11:49:02 AM</x:v>
      </x:c>
      <x:c r="D61" t="str">
        <x:v>46 min 55s</x:v>
      </x:c>
      <x:c r="E61" t="str">
        <x:v>OrnellaCorallo@cofcointernational.com</x:v>
      </x:c>
      <x:c r="F61" t="str">
        <x:v>OrnellaCorallo@cofcointernational.com</x:v>
      </x:c>
      <x:c r="G61" t="str">
        <x:v>Asistente</x:v>
      </x:c>
      <x:c r="H61" t="str">
        <x:v>Ornella</x:v>
      </x:c>
      <x:c r="I61" t="str">
        <x:v>Corallo</x:v>
      </x:c>
      <x:c r="J61" t="str">
        <x:v>ornellacorallo@cofcointernational.com</x:v>
      </x:c>
      <x:c r="K61" t="str">
        <x:v>9/10/26, 10:32:50 AM</x:v>
      </x:c>
      <x:c r="L61" t="str">
        <x:v>Registrado</x:v>
      </x:c>
      <x:c r="M61" t="str">
        <x:v>COFCO INTERNATIONAL</x:v>
      </x:c>
      <x:c r="N61" t="str">
        <x:v>Argentina</x:v>
      </x:c>
      <x:c r="O61" t="str"/>
      <x:c r="P61" t="str"/>
      <x:c r="Q61" t="str"/>
      <x:c r="R61" t="str"/>
      <x:c r="S61" t="str"/>
      <x:c r="T61" t="str"/>
      <x:c r="U61" t="str"/>
    </x:row>
    <x:row r="62">
      <x:c r="A62" t="str">
        <x:v>Romina De Los Santos (Externo)</x:v>
      </x:c>
      <x:c r="B62" t="str">
        <x:v>9/10/26, 11:02:14 AM</x:v>
      </x:c>
      <x:c r="C62" t="str">
        <x:v>9/10/26, 11:49:05 AM</x:v>
      </x:c>
      <x:c r="D62" t="str">
        <x:v>46 min 50s</x:v>
      </x:c>
      <x:c r="E62" t="str">
        <x:v>rdelossantos@sanmiguelglobal.com</x:v>
      </x:c>
      <x:c r="F62" t="str">
        <x:v>rdelossantos@sanmiguelglobal.com</x:v>
      </x:c>
      <x:c r="G62" t="str">
        <x:v>Asistente</x:v>
      </x:c>
      <x:c r="H62" t="str">
        <x:v>Romina</x:v>
      </x:c>
      <x:c r="I62" t="str">
        <x:v>De Los Santos</x:v>
      </x:c>
      <x:c r="J62" t="str">
        <x:v>rdelossantos@sanmiguelglobal.com</x:v>
      </x:c>
      <x:c r="K62" t="str">
        <x:v>9/01/26, 10:35:08 AM</x:v>
      </x:c>
      <x:c r="L62" t="str">
        <x:v>Registrado</x:v>
      </x:c>
      <x:c r="M62" t="str">
        <x:v>SAN MIGUEL</x:v>
      </x:c>
      <x:c r="N62" t="str">
        <x:v>Argentina</x:v>
      </x:c>
      <x:c r="O62" t="str"/>
      <x:c r="P62" t="str"/>
      <x:c r="Q62" t="str"/>
      <x:c r="R62" t="str"/>
      <x:c r="S62" t="str"/>
      <x:c r="T62" t="str"/>
      <x:c r="U62" t="str"/>
    </x:row>
    <x:row r="63">
      <x:c r="A63" t="str">
        <x:v>Noelia Peralta - Finca Decero (Externo)</x:v>
      </x:c>
      <x:c r="B63" t="str">
        <x:v>9/10/26, 11:02:15 AM</x:v>
      </x:c>
      <x:c r="C63" t="str">
        <x:v>9/10/26, 11:49:02 AM</x:v>
      </x:c>
      <x:c r="D63" t="str">
        <x:v>43 min 20s</x:v>
      </x:c>
      <x:c r="E63" t="str">
        <x:v>noelia.peralta@decero.com</x:v>
      </x:c>
      <x:c r="F63" t="str">
        <x:v>noelia.peralta@decero.com</x:v>
      </x:c>
      <x:c r="G63" t="str">
        <x:v>Asistente</x:v>
      </x:c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>
        <x:v>2</x:v>
      </x:c>
    </x:row>
    <x:row r="64">
      <x:c r="A64" t="str">
        <x:v>Angelina Achilli (Externo)</x:v>
      </x:c>
      <x:c r="B64" t="str">
        <x:v>9/10/26, 11:02:16 AM</x:v>
      </x:c>
      <x:c r="C64" t="str">
        <x:v>9/10/26, 11:49:01 AM</x:v>
      </x:c>
      <x:c r="D64" t="str">
        <x:v>46 min 45s</x:v>
      </x:c>
      <x:c r="E64" t="str">
        <x:v>aachilli@laanonima.com.ar</x:v>
      </x:c>
      <x:c r="F64" t="str">
        <x:v>e74160@laanonima.com.ar</x:v>
      </x:c>
      <x:c r="G64" t="str">
        <x:v>Asistente</x:v>
      </x:c>
      <x:c r="H64" t="str">
        <x:v>Angelina</x:v>
      </x:c>
      <x:c r="I64" t="str">
        <x:v>Achilli</x:v>
      </x:c>
      <x:c r="J64" t="str">
        <x:v>aachilli@laanonima.com.ar</x:v>
      </x:c>
      <x:c r="K64" t="str">
        <x:v>9/02/26, 8:09:00 AM</x:v>
      </x:c>
      <x:c r="L64" t="str">
        <x:v>Registrado</x:v>
      </x:c>
      <x:c r="M64" t="str">
        <x:v>La Anonima </x:v>
      </x:c>
      <x:c r="N64" t="str">
        <x:v>Argentina </x:v>
      </x:c>
      <x:c r="O64" t="str"/>
      <x:c r="P64" t="str"/>
      <x:c r="Q64" t="str"/>
      <x:c r="R64" t="str"/>
      <x:c r="S64" t="str"/>
      <x:c r="T64" t="str"/>
      <x:c r="U64" t="str"/>
    </x:row>
    <x:row r="65">
      <x:c r="A65" t="str">
        <x:v>Gregorio Trimarco Magnolle</x:v>
      </x:c>
      <x:c r="B65" t="str">
        <x:v>9/10/26, 11:02:18 AM</x:v>
      </x:c>
      <x:c r="C65" t="str">
        <x:v>9/10/26, 11:49:10 AM</x:v>
      </x:c>
      <x:c r="D65" t="str">
        <x:v>46 min 51s</x:v>
      </x:c>
      <x:c r="E65" t="str">
        <x:v>gtrimarco@onepeterson.com</x:v>
      </x:c>
      <x:c r="F65" t="str">
        <x:v>gtrimarco@pcugroup.com</x:v>
      </x:c>
      <x:c r="G65" t="str">
        <x:v>Asistente</x:v>
      </x:c>
      <x:c r="H65" t="str">
        <x:v>Gregorio</x:v>
      </x:c>
      <x:c r="I65" t="str">
        <x:v>Trimarco Magnolle</x:v>
      </x:c>
      <x:c r="J65" t="str">
        <x:v>gtrimarco@onepeterson.com</x:v>
      </x:c>
      <x:c r="K65" t="str">
        <x:v>9/10/26, 11:01:51 AM</x:v>
      </x:c>
      <x:c r="L65" t="str">
        <x:v>Registrado</x:v>
      </x:c>
      <x:c r="M65" t="str"/>
      <x:c r="N65" t="str">
        <x:v>Argentina</x:v>
      </x:c>
      <x:c r="O65" t="str"/>
      <x:c r="P65" t="str"/>
      <x:c r="Q65" t="str"/>
      <x:c r="R65" t="str"/>
      <x:c r="S65" t="str"/>
      <x:c r="T65" t="str"/>
      <x:c r="U65" t="str"/>
    </x:row>
    <x:row r="66">
      <x:c r="A66" t="str">
        <x:v>Alejandra Serrano Rivas (Externo)</x:v>
      </x:c>
      <x:c r="B66" t="str">
        <x:v>9/10/26, 11:02:18 AM</x:v>
      </x:c>
      <x:c r="C66" t="str">
        <x:v>9/10/26, 11:50:06 AM</x:v>
      </x:c>
      <x:c r="D66" t="str">
        <x:v>47 min 47s</x:v>
      </x:c>
      <x:c r="E66" t="str">
        <x:v>asrivas@dacas.com</x:v>
      </x:c>
      <x:c r="F66" t="str">
        <x:v>asrivas@dacas.com</x:v>
      </x:c>
      <x:c r="G66" t="str">
        <x:v>Asistente</x:v>
      </x:c>
      <x:c r="H66" t="str">
        <x:v>Alejandra</x:v>
      </x:c>
      <x:c r="I66" t="str">
        <x:v>Serrano Rivas</x:v>
      </x:c>
      <x:c r="J66" t="str">
        <x:v>asrivas@dacas.com</x:v>
      </x:c>
      <x:c r="K66" t="str">
        <x:v>9/10/26, 11:01:57 AM</x:v>
      </x:c>
      <x:c r="L66" t="str">
        <x:v>Registrado</x:v>
      </x:c>
      <x:c r="M66" t="str">
        <x:v>DACAS</x:v>
      </x:c>
      <x:c r="N66" t="str">
        <x:v>ARGENTINA</x:v>
      </x:c>
      <x:c r="O66" t="str"/>
      <x:c r="P66" t="str"/>
      <x:c r="Q66" t="str"/>
      <x:c r="R66" t="str"/>
      <x:c r="S66" t="str"/>
      <x:c r="T66" t="str"/>
      <x:c r="U66" t="str"/>
    </x:row>
    <x:row r="67">
      <x:c r="A67" t="str">
        <x:v>GUERELLO Ana</x:v>
      </x:c>
      <x:c r="B67" t="str">
        <x:v>9/10/26, 11:02:19 AM</x:v>
      </x:c>
      <x:c r="C67" t="str">
        <x:v>9/10/26, 11:49:03 AM</x:v>
      </x:c>
      <x:c r="D67" t="str">
        <x:v>46 min 43s</x:v>
      </x:c>
      <x:c r="E67" t="str">
        <x:v>Ana.GUERELLO@laserenisima.com</x:v>
      </x:c>
      <x:c r="F67" t="str">
        <x:v>Ana.GUERELLO@laserenisima.com</x:v>
      </x:c>
      <x:c r="G67" t="str">
        <x:v>Asistente</x:v>
      </x:c>
      <x:c r="H67" t="str">
        <x:v>Ana</x:v>
      </x:c>
      <x:c r="I67" t="str">
        <x:v>GUERELLO</x:v>
      </x:c>
      <x:c r="J67" t="str">
        <x:v>ana.guerello@laserenisima.com</x:v>
      </x:c>
      <x:c r="K67" t="str">
        <x:v>9/03/26, 4:06:14 PM</x:v>
      </x:c>
      <x:c r="L67" t="str">
        <x:v>Registrado</x:v>
      </x:c>
      <x:c r="M67" t="str">
        <x:v>La Serenisima</x:v>
      </x:c>
      <x:c r="N67" t="str">
        <x:v>Argentina</x:v>
      </x:c>
      <x:c r="O67" t="str"/>
      <x:c r="P67" t="str"/>
      <x:c r="Q67" t="str"/>
      <x:c r="R67" t="str"/>
      <x:c r="S67" t="str"/>
      <x:c r="T67" t="str"/>
      <x:c r="U67" t="str"/>
    </x:row>
    <x:row r="68">
      <x:c r="A68" t="str">
        <x:v>Sol Cornejo (No comprobado)</x:v>
      </x:c>
      <x:c r="B68" t="str">
        <x:v>9/10/26, 11:02:20 AM</x:v>
      </x:c>
      <x:c r="C68" t="str">
        <x:v>9/10/26, 11:49:04 AM</x:v>
      </x:c>
      <x:c r="D68" t="str">
        <x:v>46 min 43s</x:v>
      </x:c>
      <x:c r="E68" t="str"/>
      <x:c r="F68" t="str"/>
      <x:c r="G68" t="str">
        <x:v>Asistente</x:v>
      </x:c>
      <x:c r="H68" t="str">
        <x:v>Sol</x:v>
      </x:c>
      <x:c r="I68" t="str">
        <x:v>Cornejo</x:v>
      </x:c>
      <x:c r="J68" t="str">
        <x:v>scornejo@rutiniwines.com</x:v>
      </x:c>
      <x:c r="K68" t="str">
        <x:v>9/09/26, 10:50:17 AM</x:v>
      </x:c>
      <x:c r="L68" t="str">
        <x:v>Registrado</x:v>
      </x:c>
      <x:c r="M68" t="str"/>
      <x:c r="N68" t="str"/>
      <x:c r="O68" t="str"/>
      <x:c r="P68" t="str"/>
      <x:c r="Q68" t="str"/>
      <x:c r="R68" t="str"/>
      <x:c r="S68" t="str"/>
      <x:c r="T68" t="str"/>
      <x:c r="U68" t="str"/>
    </x:row>
    <x:row r="69">
      <x:c r="A69" t="str">
        <x:v>Clara Foresi (No comprobado)</x:v>
      </x:c>
      <x:c r="B69" t="str">
        <x:v>9/10/26, 11:02:26 AM</x:v>
      </x:c>
      <x:c r="C69" t="str">
        <x:v>9/10/26, 11:52:14 AM</x:v>
      </x:c>
      <x:c r="D69" t="str">
        <x:v>49 min 47s</x:v>
      </x:c>
      <x:c r="E69" t="str"/>
      <x:c r="F69" t="str"/>
      <x:c r="G69" t="str">
        <x:v>Asistente</x:v>
      </x:c>
      <x:c r="H69" t="str">
        <x:v>Clara</x:v>
      </x:c>
      <x:c r="I69" t="str">
        <x:v>Foresi</x:v>
      </x:c>
      <x:c r="J69" t="str">
        <x:v>claraforesi@gmail.com</x:v>
      </x:c>
      <x:c r="K69" t="str">
        <x:v>9/04/26, 11:27:16 AM</x:v>
      </x:c>
      <x:c r="L69" t="str">
        <x:v>Registrado</x:v>
      </x:c>
      <x:c r="M69" t="str">
        <x:v>WOFA</x:v>
      </x:c>
      <x:c r="N69" t="str">
        <x:v>Argentina</x:v>
      </x:c>
      <x:c r="O69" t="str"/>
      <x:c r="P69" t="str"/>
      <x:c r="Q69" t="str"/>
      <x:c r="R69" t="str"/>
      <x:c r="S69" t="str"/>
      <x:c r="T69" t="str"/>
      <x:c r="U69" t="str"/>
    </x:row>
    <x:row r="70">
      <x:c r="A70" t="str">
        <x:v>Virginia Cabral (Externo)</x:v>
      </x:c>
      <x:c r="B70" t="str">
        <x:v>9/10/26, 11:02:28 AM</x:v>
      </x:c>
      <x:c r="C70" t="str">
        <x:v>9/10/26, 11:49:01 AM</x:v>
      </x:c>
      <x:c r="D70" t="str">
        <x:v>46 min 33s</x:v>
      </x:c>
      <x:c r="E70" t="str">
        <x:v>VirginiaCabral@cofcointernational.com</x:v>
      </x:c>
      <x:c r="F70" t="str">
        <x:v>VirginiaCabral@cofcointernational.com</x:v>
      </x:c>
      <x:c r="G70" t="str">
        <x:v>Asistente</x:v>
      </x:c>
      <x:c r="H70" t="str">
        <x:v>Virginia</x:v>
      </x:c>
      <x:c r="I70" t="str">
        <x:v>Cabral</x:v>
      </x:c>
      <x:c r="J70" t="str">
        <x:v>virginiacabral@cofcointernational.com</x:v>
      </x:c>
      <x:c r="K70" t="str">
        <x:v>9/10/26, 10:33:29 AM</x:v>
      </x:c>
      <x:c r="L70" t="str">
        <x:v>Registrado</x:v>
      </x:c>
      <x:c r="M70" t="str">
        <x:v>COFCO International Argentina</x:v>
      </x:c>
      <x:c r="N70" t="str">
        <x:v>Argentina</x:v>
      </x:c>
      <x:c r="O70" t="str"/>
      <x:c r="P70" t="str"/>
      <x:c r="Q70" t="str"/>
      <x:c r="R70" t="str"/>
      <x:c r="S70" t="str"/>
      <x:c r="T70" t="str"/>
      <x:c r="U70" t="str">
        <x:v>1</x:v>
      </x:c>
    </x:row>
    <x:row r="71">
      <x:c r="A71" t="str">
        <x:v>Majo Peroni (No comprobado)</x:v>
      </x:c>
      <x:c r="B71" t="str">
        <x:v>9/10/26, 11:02:38 AM</x:v>
      </x:c>
      <x:c r="C71" t="str">
        <x:v>9/10/26, 11:49:03 AM</x:v>
      </x:c>
      <x:c r="D71" t="str">
        <x:v>46 min 25s</x:v>
      </x:c>
      <x:c r="E71" t="str"/>
      <x:c r="F71" t="str"/>
      <x:c r="G71" t="str">
        <x:v>Asistente</x:v>
      </x:c>
      <x:c r="H71" t="str">
        <x:v>Majo</x:v>
      </x:c>
      <x:c r="I71" t="str">
        <x:v>Peroni</x:v>
      </x:c>
      <x:c r="J71" t="str">
        <x:v>mp.branding.content@gmail.com</x:v>
      </x:c>
      <x:c r="K71" t="str">
        <x:v>9/09/26, 10:45:32 AM</x:v>
      </x:c>
      <x:c r="L71" t="str">
        <x:v>Registrado</x:v>
      </x:c>
      <x:c r="M71" t="str"/>
      <x:c r="N71" t="str"/>
      <x:c r="O71" t="str"/>
      <x:c r="P71" t="str"/>
      <x:c r="Q71" t="str"/>
      <x:c r="R71" t="str"/>
      <x:c r="S71" t="str"/>
      <x:c r="T71" t="str"/>
      <x:c r="U71" t="str"/>
    </x:row>
    <x:row r="72">
      <x:c r="A72" t="str">
        <x:v>Agustina Martin</x:v>
      </x:c>
      <x:c r="B72" t="str">
        <x:v>9/10/26, 11:02:43 AM</x:v>
      </x:c>
      <x:c r="C72" t="str">
        <x:v>9/10/26, 11:16:25 AM</x:v>
      </x:c>
      <x:c r="D72" t="str">
        <x:v>5 min 43s</x:v>
      </x:c>
      <x:c r="E72" t="str">
        <x:v>amartin@familiazuccardi.com</x:v>
      </x:c>
      <x:c r="F72" t="str">
        <x:v>amartin@familiazuccardi.com</x:v>
      </x:c>
      <x:c r="G72" t="str">
        <x:v>Asistente</x:v>
      </x:c>
      <x:c r="H72" t="str">
        <x:v>Agustina</x:v>
      </x:c>
      <x:c r="I72" t="str">
        <x:v>Martín</x:v>
      </x:c>
      <x:c r="J72" t="str">
        <x:v>amartin@familiazuccardi.com</x:v>
      </x:c>
      <x:c r="K72" t="str">
        <x:v>9/09/26, 10:42:59 AM</x:v>
      </x:c>
      <x:c r="L72" t="str">
        <x:v>Registrado</x:v>
      </x:c>
      <x:c r="M72" t="str"/>
      <x:c r="N72" t="str"/>
      <x:c r="O72" t="str"/>
      <x:c r="P72" t="str"/>
      <x:c r="Q72" t="str"/>
      <x:c r="R72" t="str"/>
      <x:c r="S72" t="str"/>
      <x:c r="T72" t="str"/>
      <x:c r="U72" t="str"/>
    </x:row>
    <x:row r="73">
      <x:c r="A73" t="str">
        <x:v>Natalia Delgado</x:v>
      </x:c>
      <x:c r="B73" t="str">
        <x:v>9/10/26, 11:02:46 AM</x:v>
      </x:c>
      <x:c r="C73" t="str">
        <x:v>9/10/26, 11:49:03 AM</x:v>
      </x:c>
      <x:c r="D73" t="str">
        <x:v>46 min 16s</x:v>
      </x:c>
      <x:c r="E73" t="str">
        <x:v>natalia.delgado@aris-mining.co</x:v>
      </x:c>
      <x:c r="F73" t="str">
        <x:v>natalia.delgado@aris-mining.co</x:v>
      </x:c>
      <x:c r="G73" t="str">
        <x:v>Asistente</x:v>
      </x:c>
      <x:c r="H73" t="str">
        <x:v>Natalia</x:v>
      </x:c>
      <x:c r="I73" t="str">
        <x:v>Delgado</x:v>
      </x:c>
      <x:c r="J73" t="str">
        <x:v>natalia.delgado@aris-mining.co</x:v>
      </x:c>
      <x:c r="K73" t="str">
        <x:v>9/10/26, 11:00:49 AM</x:v>
      </x:c>
      <x:c r="L73" t="str">
        <x:v>Registrado</x:v>
      </x:c>
      <x:c r="M73" t="str">
        <x:v>Aris Mining</x:v>
      </x:c>
      <x:c r="N73" t="str">
        <x:v>Colombia</x:v>
      </x:c>
      <x:c r="O73" t="str"/>
      <x:c r="P73" t="str"/>
      <x:c r="Q73" t="str"/>
      <x:c r="R73" t="str"/>
      <x:c r="S73" t="str"/>
      <x:c r="T73" t="str"/>
      <x:c r="U73" t="str"/>
    </x:row>
    <x:row r="74">
      <x:c r="A74" t="str">
        <x:v>Tomas Palacios</x:v>
      </x:c>
      <x:c r="B74" t="str">
        <x:v>9/10/26, 11:02:46 AM</x:v>
      </x:c>
      <x:c r="C74" t="str">
        <x:v>9/10/26, 11:48:16 AM</x:v>
      </x:c>
      <x:c r="D74" t="str">
        <x:v>45 min 30s</x:v>
      </x:c>
      <x:c r="E74" t="str">
        <x:v>tpalacios@controlunion.com</x:v>
      </x:c>
      <x:c r="F74" t="str">
        <x:v>tpalacios@pcugroup.com</x:v>
      </x:c>
      <x:c r="G74" t="str">
        <x:v>Asistente</x:v>
      </x:c>
      <x:c r="H74" t="str">
        <x:v>Tomas</x:v>
      </x:c>
      <x:c r="I74" t="str">
        <x:v>Palacios</x:v>
      </x:c>
      <x:c r="J74" t="str">
        <x:v>tpalacios@controlunion.com</x:v>
      </x:c>
      <x:c r="K74" t="str">
        <x:v>9/09/26, 10:43:46 AM</x:v>
      </x:c>
      <x:c r="L74" t="str">
        <x:v>Registrado</x:v>
      </x:c>
      <x:c r="M74" t="str">
        <x:v>CUA</x:v>
      </x:c>
      <x:c r="N74" t="str">
        <x:v>Arg</x:v>
      </x:c>
      <x:c r="O74" t="str"/>
      <x:c r="P74" t="str"/>
      <x:c r="Q74" t="str"/>
      <x:c r="R74" t="str"/>
      <x:c r="S74" t="str"/>
      <x:c r="T74" t="str"/>
      <x:c r="U74" t="str"/>
    </x:row>
    <x:row r="75">
      <x:c r="A75" t="str">
        <x:v>Ana María Cherasco (Externo)</x:v>
      </x:c>
      <x:c r="B75" t="str">
        <x:v>9/10/26, 11:02:47 AM</x:v>
      </x:c>
      <x:c r="C75" t="str">
        <x:v>9/10/26, 11:49:08 AM</x:v>
      </x:c>
      <x:c r="D75" t="str">
        <x:v>46 min 20s</x:v>
      </x:c>
      <x:c r="E75" t="str">
        <x:v>acherasco@liafcontrol.com</x:v>
      </x:c>
      <x:c r="F75" t="str">
        <x:v>acherasco@liafcontrol.com</x:v>
      </x:c>
      <x:c r="G75" t="str">
        <x:v>Asistente</x:v>
      </x:c>
      <x:c r="H75" t="str">
        <x:v>ANA MARIA</x:v>
      </x:c>
      <x:c r="I75" t="str">
        <x:v>CHERASCO</x:v>
      </x:c>
      <x:c r="J75" t="str">
        <x:v>acherasco@liafcontrol.com</x:v>
      </x:c>
      <x:c r="K75" t="str">
        <x:v>9/09/26, 10:37:41 AM</x:v>
      </x:c>
      <x:c r="L75" t="str">
        <x:v>Registrado</x:v>
      </x:c>
      <x:c r="M75" t="str"/>
      <x:c r="N75" t="str"/>
      <x:c r="O75" t="str"/>
      <x:c r="P75" t="str"/>
      <x:c r="Q75" t="str"/>
      <x:c r="R75" t="str"/>
      <x:c r="S75" t="str"/>
      <x:c r="T75" t="str"/>
      <x:c r="U75" t="str"/>
    </x:row>
    <x:row r="76">
      <x:c r="A76" t="str">
        <x:v>Ignacio Ciancio (No comprobado)</x:v>
      </x:c>
      <x:c r="B76" t="str">
        <x:v>9/10/26, 11:02:53 AM</x:v>
      </x:c>
      <x:c r="C76" t="str">
        <x:v>9/10/26, 11:48:19 AM</x:v>
      </x:c>
      <x:c r="D76" t="str">
        <x:v>45 min 26s</x:v>
      </x:c>
      <x:c r="E76" t="str"/>
      <x:c r="F76" t="str"/>
      <x:c r="G76" t="str">
        <x:v>Asistente</x:v>
      </x:c>
      <x:c r="H76" t="str">
        <x:v>Ignacio</x:v>
      </x:c>
      <x:c r="I76" t="str">
        <x:v>Ciancio</x:v>
      </x:c>
      <x:c r="J76" t="str">
        <x:v>ignaciociancio@hotmail.com</x:v>
      </x:c>
      <x:c r="K76" t="str">
        <x:v>9/09/26, 10:35:39 AM</x:v>
      </x:c>
      <x:c r="L76" t="str">
        <x:v>Registrado</x:v>
      </x:c>
      <x:c r="M76" t="str"/>
      <x:c r="N76" t="str"/>
      <x:c r="O76" t="str"/>
      <x:c r="P76" t="str"/>
      <x:c r="Q76" t="str"/>
      <x:c r="R76" t="str"/>
      <x:c r="S76" t="str"/>
      <x:c r="T76" t="str"/>
      <x:c r="U76" t="str"/>
    </x:row>
    <x:row r="77">
      <x:c r="A77" t="str">
        <x:v>Julieta CAPRETI</x:v>
      </x:c>
      <x:c r="B77" t="str">
        <x:v>9/10/26, 11:03:11 AM</x:v>
      </x:c>
      <x:c r="C77" t="str">
        <x:v>9/10/26, 11:48:59 AM</x:v>
      </x:c>
      <x:c r="D77" t="str">
        <x:v>45 min 47s</x:v>
      </x:c>
      <x:c r="E77" t="str">
        <x:v>jcapreti@chandon.com.ar</x:v>
      </x:c>
      <x:c r="F77" t="str">
        <x:v>jcapreti@chandon.com.ar</x:v>
      </x:c>
      <x:c r="G77" t="str">
        <x:v>Asistente</x:v>
      </x:c>
      <x:c r="H77" t="str">
        <x:v>Julieta</x:v>
      </x:c>
      <x:c r="I77" t="str">
        <x:v>CAPRETI</x:v>
      </x:c>
      <x:c r="J77" t="str">
        <x:v>jcapreti@chandon.com.ar</x:v>
      </x:c>
      <x:c r="K77" t="str">
        <x:v>9/10/26, 11:02:56 AM</x:v>
      </x:c>
      <x:c r="L77" t="str">
        <x:v>Registrado</x:v>
      </x:c>
      <x:c r="M77" t="str"/>
      <x:c r="N77" t="str"/>
      <x:c r="O77" t="str"/>
      <x:c r="P77" t="str"/>
      <x:c r="Q77" t="str"/>
      <x:c r="R77" t="str"/>
      <x:c r="S77" t="str"/>
      <x:c r="T77" t="str"/>
      <x:c r="U77" t="str"/>
    </x:row>
    <x:row r="78">
      <x:c r="A78" t="str">
        <x:v>Andrea Dotto</x:v>
      </x:c>
      <x:c r="B78" t="str">
        <x:v>9/10/26, 11:03:12 AM</x:v>
      </x:c>
      <x:c r="C78" t="str">
        <x:v>9/10/26, 11:32:58 AM</x:v>
      </x:c>
      <x:c r="D78" t="str">
        <x:v>29 min 46s</x:v>
      </x:c>
      <x:c r="E78" t="str">
        <x:v>ADotto@norton.com.ar</x:v>
      </x:c>
      <x:c r="F78" t="str">
        <x:v>adotto@norton.com.ar</x:v>
      </x:c>
      <x:c r="G78" t="str">
        <x:v>Asistente</x:v>
      </x:c>
      <x:c r="H78" t="str">
        <x:v>Ana Belén</x:v>
      </x:c>
      <x:c r="I78" t="str">
        <x:v>Orioli</x:v>
      </x:c>
      <x:c r="J78" t="str">
        <x:v>borioli@norton.com.ar</x:v>
      </x:c>
      <x:c r="K78" t="str">
        <x:v>9/09/26, 10:21:48 AM</x:v>
      </x:c>
      <x:c r="L78" t="str">
        <x:v>Registrado</x:v>
      </x:c>
      <x:c r="M78" t="str"/>
      <x:c r="N78" t="str"/>
      <x:c r="O78" t="str"/>
      <x:c r="P78" t="str"/>
      <x:c r="Q78" t="str"/>
      <x:c r="R78" t="str"/>
      <x:c r="S78" t="str"/>
      <x:c r="T78" t="str"/>
      <x:c r="U78" t="str"/>
    </x:row>
    <x:row r="79">
      <x:c r="A79" t="str">
        <x:v>Rocío Pareja Poquet (Externo)</x:v>
      </x:c>
      <x:c r="B79" t="str">
        <x:v>9/10/26, 11:03:22 AM</x:v>
      </x:c>
      <x:c r="C79" t="str">
        <x:v>9/10/26, 11:47:36 AM</x:v>
      </x:c>
      <x:c r="D79" t="str">
        <x:v>44 min 14s</x:v>
      </x:c>
      <x:c r="E79" t="str">
        <x:v>rpareja@luigibosca.com</x:v>
      </x:c>
      <x:c r="F79" t="str">
        <x:v>rpareja@luigibosca.com</x:v>
      </x:c>
      <x:c r="G79" t="str">
        <x:v>Asistente</x:v>
      </x:c>
      <x:c r="H79" t="str">
        <x:v>ROCÍO</x:v>
      </x:c>
      <x:c r="I79" t="str">
        <x:v>PAREJA POQUET</x:v>
      </x:c>
      <x:c r="J79" t="str">
        <x:v>rpareja@luigibosca.com</x:v>
      </x:c>
      <x:c r="K79" t="str">
        <x:v>9/09/26, 10:25:20 AM</x:v>
      </x:c>
      <x:c r="L79" t="str">
        <x:v>Registrado</x:v>
      </x:c>
      <x:c r="M79" t="str"/>
      <x:c r="N79" t="str"/>
      <x:c r="O79" t="str"/>
      <x:c r="P79" t="str"/>
      <x:c r="Q79" t="str"/>
      <x:c r="R79" t="str"/>
      <x:c r="S79" t="str"/>
      <x:c r="T79" t="str"/>
      <x:c r="U79" t="str"/>
    </x:row>
    <x:row r="80">
      <x:c r="A80" t="str">
        <x:v>Evelyn Stephanie Ortiz Orjuela</x:v>
      </x:c>
      <x:c r="B80" t="str">
        <x:v>9/10/26, 11:03:24 AM</x:v>
      </x:c>
      <x:c r="C80" t="str">
        <x:v>9/10/26, 11:49:06 AM</x:v>
      </x:c>
      <x:c r="D80" t="str">
        <x:v>45 min 41s</x:v>
      </x:c>
      <x:c r="E80" t="str">
        <x:v>evelyn.ortiz@aris-mining.co</x:v>
      </x:c>
      <x:c r="F80" t="str">
        <x:v>evelyn.ortiz@aris-mining.co</x:v>
      </x:c>
      <x:c r="G80" t="str">
        <x:v>Asistente</x:v>
      </x:c>
      <x:c r="H80" t="str">
        <x:v>Evelyn</x:v>
      </x:c>
      <x:c r="I80" t="str">
        <x:v>Ortiz</x:v>
      </x:c>
      <x:c r="J80" t="str">
        <x:v>evelyn.ortiz@aris-mining.co</x:v>
      </x:c>
      <x:c r="K80" t="str">
        <x:v>9/10/26, 11:01:07 AM</x:v>
      </x:c>
      <x:c r="L80" t="str">
        <x:v>Registrado</x:v>
      </x:c>
      <x:c r="M80" t="str">
        <x:v>Aris Mining</x:v>
      </x:c>
      <x:c r="N80" t="str">
        <x:v>Colombia</x:v>
      </x:c>
      <x:c r="O80" t="str"/>
      <x:c r="P80" t="str"/>
      <x:c r="Q80" t="str"/>
      <x:c r="R80" t="str"/>
      <x:c r="S80" t="str"/>
      <x:c r="T80" t="str"/>
      <x:c r="U80" t="str"/>
    </x:row>
    <x:row r="81">
      <x:c r="A81" t="str">
        <x:v>Sergio (No comprobado)</x:v>
      </x:c>
      <x:c r="B81" t="str">
        <x:v>9/10/26, 11:03:30 AM</x:v>
      </x:c>
      <x:c r="C81" t="str">
        <x:v>9/10/26, 11:05:18 AM</x:v>
      </x:c>
      <x:c r="D81" t="str">
        <x:v>1 min 47s</x:v>
      </x:c>
      <x:c r="E81" t="str"/>
      <x:c r="F81" t="str"/>
      <x:c r="G81" t="str">
        <x:v>Asistente</x:v>
      </x:c>
      <x:c r="H81" t="str">
        <x:v>Sergio</x:v>
      </x:c>
      <x:c r="I81" t="str">
        <x:v>Tiberi</x:v>
      </x:c>
      <x:c r="J81" t="str">
        <x:v>stiberi@familiazuccardi.com</x:v>
      </x:c>
      <x:c r="K81" t="str">
        <x:v>9/09/26, 10:45:07 AM</x:v>
      </x:c>
      <x:c r="L81" t="str">
        <x:v>Registrado</x:v>
      </x:c>
      <x:c r="M81" t="str"/>
      <x:c r="N81" t="str"/>
      <x:c r="O81" t="str"/>
      <x:c r="P81" t="str"/>
      <x:c r="Q81" t="str"/>
      <x:c r="R81" t="str"/>
      <x:c r="S81" t="str"/>
      <x:c r="T81" t="str"/>
      <x:c r="U81" t="str">
        <x:v>1</x:v>
      </x:c>
    </x:row>
    <x:row r="82">
      <x:c r="A82" t="str">
        <x:v>Agustina Merlo (Externo)</x:v>
      </x:c>
      <x:c r="B82" t="str">
        <x:v>9/10/26, 11:03:40 AM</x:v>
      </x:c>
      <x:c r="C82" t="str">
        <x:v>9/10/26, 11:49:02 AM</x:v>
      </x:c>
      <x:c r="D82" t="str">
        <x:v>45 min 22s</x:v>
      </x:c>
      <x:c r="E82" t="str">
        <x:v>agustina.merlo@lagarde.com.ar</x:v>
      </x:c>
      <x:c r="F82" t="str">
        <x:v>agustina.merlo@lagarde.com.ar</x:v>
      </x:c>
      <x:c r="G82" t="str">
        <x:v>Asistente</x:v>
      </x:c>
      <x:c r="H82" t="str">
        <x:v>Agustina</x:v>
      </x:c>
      <x:c r="I82" t="str">
        <x:v>Merlo Vallone</x:v>
      </x:c>
      <x:c r="J82" t="str">
        <x:v>agustina.merlo@lagarde.com.ar</x:v>
      </x:c>
      <x:c r="K82" t="str">
        <x:v>9/09/26, 10:42:40 AM</x:v>
      </x:c>
      <x:c r="L82" t="str">
        <x:v>Registrado</x:v>
      </x:c>
      <x:c r="M82" t="str"/>
      <x:c r="N82" t="str"/>
      <x:c r="O82" t="str"/>
      <x:c r="P82" t="str"/>
      <x:c r="Q82" t="str"/>
      <x:c r="R82" t="str"/>
      <x:c r="S82" t="str"/>
      <x:c r="T82" t="str"/>
      <x:c r="U82" t="str"/>
    </x:row>
    <x:row r="83">
      <x:c r="A83" t="str">
        <x:v>Macarena Mora (No comprobado)</x:v>
      </x:c>
      <x:c r="B83" t="str">
        <x:v>9/10/26, 11:03:42 AM</x:v>
      </x:c>
      <x:c r="C83" t="str">
        <x:v>9/10/26, 11:42:26 AM</x:v>
      </x:c>
      <x:c r="D83" t="str">
        <x:v>38 min 43s</x:v>
      </x:c>
      <x:c r="E83" t="str"/>
      <x:c r="F83" t="str"/>
      <x:c r="G83" t="str">
        <x:v>Asistente</x:v>
      </x:c>
      <x:c r="H83" t="str">
        <x:v>Macarena</x:v>
      </x:c>
      <x:c r="I83" t="str">
        <x:v>Mora</x:v>
      </x:c>
      <x:c r="J83" t="str">
        <x:v>administracion@casayague.com</x:v>
      </x:c>
      <x:c r="K83" t="str">
        <x:v>9/09/26, 10:40:21 AM</x:v>
      </x:c>
      <x:c r="L83" t="str">
        <x:v>Registrado</x:v>
      </x:c>
      <x:c r="M83" t="str"/>
      <x:c r="N83" t="str"/>
      <x:c r="O83" t="str"/>
      <x:c r="P83" t="str"/>
      <x:c r="Q83" t="str"/>
      <x:c r="R83" t="str"/>
      <x:c r="S83" t="str"/>
      <x:c r="T83" t="str"/>
      <x:c r="U83" t="str"/>
    </x:row>
    <x:row r="84">
      <x:c r="A84" t="str">
        <x:v>Matias Stortini (Externo)</x:v>
      </x:c>
      <x:c r="B84" t="str">
        <x:v>9/10/26, 11:03:43 AM</x:v>
      </x:c>
      <x:c r="C84" t="str">
        <x:v>9/10/26, 11:49:05 AM</x:v>
      </x:c>
      <x:c r="D84" t="str">
        <x:v>45 min 21s</x:v>
      </x:c>
      <x:c r="E84" t="str">
        <x:v>stortini@justla.com.ar</x:v>
      </x:c>
      <x:c r="F84" t="str">
        <x:v>stortini@justla.com.ar</x:v>
      </x:c>
      <x:c r="G84" t="str">
        <x:v>Asistente</x:v>
      </x:c>
      <x:c r="H84" t="str">
        <x:v>Matias</x:v>
      </x:c>
      <x:c r="I84" t="str">
        <x:v>Stortini</x:v>
      </x:c>
      <x:c r="J84" t="str">
        <x:v>stortini@justla.com.ar</x:v>
      </x:c>
      <x:c r="K84" t="str">
        <x:v>9/02/26, 10:50:49 AM</x:v>
      </x:c>
      <x:c r="L84" t="str">
        <x:v>Registrado</x:v>
      </x:c>
      <x:c r="M84" t="str">
        <x:v>Just</x:v>
      </x:c>
      <x:c r="N84" t="str">
        <x:v>Argentina</x:v>
      </x:c>
      <x:c r="O84" t="str"/>
      <x:c r="P84" t="str"/>
      <x:c r="Q84" t="str"/>
      <x:c r="R84" t="str"/>
      <x:c r="S84" t="str"/>
      <x:c r="T84" t="str"/>
      <x:c r="U84" t="str"/>
    </x:row>
    <x:row r="85">
      <x:c r="A85" t="str">
        <x:v>María Laura  González (Externo)</x:v>
      </x:c>
      <x:c r="B85" t="str">
        <x:v>9/10/26, 11:03:50 AM</x:v>
      </x:c>
      <x:c r="C85" t="str">
        <x:v>9/10/26, 11:52:27 AM</x:v>
      </x:c>
      <x:c r="D85" t="str">
        <x:v>48 min 37s</x:v>
      </x:c>
      <x:c r="E85" t="str">
        <x:v>mlgonzalez@catenazapata.com</x:v>
      </x:c>
      <x:c r="F85" t="str">
        <x:v>mlgonzalez@catenazapata.com</x:v>
      </x:c>
      <x:c r="G85" t="str">
        <x:v>Asistente</x:v>
      </x:c>
      <x:c r="H85" t="str">
        <x:v>María Laura</x:v>
      </x:c>
      <x:c r="I85" t="str">
        <x:v>Meschini Gonzalez</x:v>
      </x:c>
      <x:c r="J85" t="str">
        <x:v>mlgonzalez@catenazapata.com</x:v>
      </x:c>
      <x:c r="K85" t="str">
        <x:v>9/09/26, 10:40:35 AM</x:v>
      </x:c>
      <x:c r="L85" t="str">
        <x:v>Registrado</x:v>
      </x:c>
      <x:c r="M85" t="str"/>
      <x:c r="N85" t="str"/>
      <x:c r="O85" t="str"/>
      <x:c r="P85" t="str"/>
      <x:c r="Q85" t="str"/>
      <x:c r="R85" t="str"/>
      <x:c r="S85" t="str"/>
      <x:c r="T85" t="str"/>
      <x:c r="U85" t="str"/>
    </x:row>
    <x:row r="86">
      <x:c r="A86" t="str">
        <x:v>Sebastian Lopez (Externo)</x:v>
      </x:c>
      <x:c r="B86" t="str">
        <x:v>9/10/26, 11:04:00 AM</x:v>
      </x:c>
      <x:c r="C86" t="str">
        <x:v>9/10/26, 11:48:27 AM</x:v>
      </x:c>
      <x:c r="D86" t="str">
        <x:v>44 min 26s</x:v>
      </x:c>
      <x:c r="E86" t="str">
        <x:v>slopez@justla.com.ar</x:v>
      </x:c>
      <x:c r="F86" t="str">
        <x:v>slopez@justla.com.ar</x:v>
      </x:c>
      <x:c r="G86" t="str">
        <x:v>Asistente</x:v>
      </x:c>
      <x:c r="H86" t="str">
        <x:v>Sebastian</x:v>
      </x:c>
      <x:c r="I86" t="str">
        <x:v>Lopez</x:v>
      </x:c>
      <x:c r="J86" t="str">
        <x:v>slopez@justla.com.ar</x:v>
      </x:c>
      <x:c r="K86" t="str">
        <x:v>9/02/26, 11:24:48 AM</x:v>
      </x:c>
      <x:c r="L86" t="str">
        <x:v>Registrado</x:v>
      </x:c>
      <x:c r="M86" t="str">
        <x:v>Just International LATAM</x:v>
      </x:c>
      <x:c r="N86" t="str">
        <x:v>Argentina</x:v>
      </x:c>
      <x:c r="O86" t="str"/>
      <x:c r="P86" t="str"/>
      <x:c r="Q86" t="str"/>
      <x:c r="R86" t="str"/>
      <x:c r="S86" t="str"/>
      <x:c r="T86" t="str"/>
      <x:c r="U86" t="str"/>
    </x:row>
    <x:row r="87">
      <x:c r="A87" t="str">
        <x:v>Nicolás Cantoro</x:v>
      </x:c>
      <x:c r="B87" t="str">
        <x:v>9/10/26, 11:04:17 AM</x:v>
      </x:c>
      <x:c r="C87" t="str">
        <x:v>9/10/26, 11:04:26 AM</x:v>
      </x:c>
      <x:c r="D87" t="str">
        <x:v>9s</x:v>
      </x:c>
      <x:c r="E87" t="str"/>
      <x:c r="F87" t="str"/>
      <x:c r="G87" t="str">
        <x:v>Asistente</x:v>
      </x:c>
      <x:c r="H87" t="str">
        <x:v>Nicolás</x:v>
      </x:c>
      <x:c r="I87" t="str">
        <x:v>Cantoro</x:v>
      </x:c>
      <x:c r="J87" t="str">
        <x:v>cantoron@olega.com.ar</x:v>
      </x:c>
      <x:c r="K87" t="str">
        <x:v>8/18/26, 12:00:27 PM</x:v>
      </x:c>
      <x:c r="L87" t="str">
        <x:v>Registrado</x:v>
      </x:c>
      <x:c r="M87" t="str">
        <x:v>OLEGA</x:v>
      </x:c>
      <x:c r="N87" t="str">
        <x:v>Argentina</x:v>
      </x:c>
      <x:c r="O87" t="str"/>
      <x:c r="P87" t="str"/>
      <x:c r="Q87" t="str"/>
      <x:c r="R87" t="str"/>
      <x:c r="S87" t="str"/>
      <x:c r="T87" t="str"/>
      <x:c r="U87" t="str"/>
    </x:row>
    <x:row r="88">
      <x:c r="A88" t="str">
        <x:v>María Cecilia Fernandez</x:v>
      </x:c>
      <x:c r="B88" t="str">
        <x:v>9/10/26, 11:04:20 AM</x:v>
      </x:c>
      <x:c r="C88" t="str">
        <x:v>9/10/26, 11:25:25 AM</x:v>
      </x:c>
      <x:c r="D88" t="str">
        <x:v>21 min 5s</x:v>
      </x:c>
      <x:c r="E88" t="str">
        <x:v>cfernandez@onepeterson.com</x:v>
      </x:c>
      <x:c r="F88" t="str">
        <x:v>cfernandez@pcugroup.com</x:v>
      </x:c>
      <x:c r="G88" t="str">
        <x:v>Asistente</x:v>
      </x:c>
      <x:c r="H88" t="str">
        <x:v>María Cecilia</x:v>
      </x:c>
      <x:c r="I88" t="str">
        <x:v>Fernandez</x:v>
      </x:c>
      <x:c r="J88" t="str">
        <x:v>cfernandez@onepeterson.com</x:v>
      </x:c>
      <x:c r="K88" t="str">
        <x:v>9/10/26, 11:03:51 AM</x:v>
      </x:c>
      <x:c r="L88" t="str">
        <x:v>Registrado</x:v>
      </x:c>
      <x:c r="M88" t="str">
        <x:v>Peterson Solutions</x:v>
      </x:c>
      <x:c r="N88" t="str">
        <x:v>Argentina</x:v>
      </x:c>
      <x:c r="O88" t="str"/>
      <x:c r="P88" t="str"/>
      <x:c r="Q88" t="str"/>
      <x:c r="R88" t="str"/>
      <x:c r="S88" t="str"/>
      <x:c r="T88" t="str"/>
      <x:c r="U88" t="str"/>
    </x:row>
    <x:row r="89">
      <x:c r="A89" t="str">
        <x:v>Asuncion Marquez</x:v>
      </x:c>
      <x:c r="B89" t="str">
        <x:v>9/10/26, 11:04:34 AM</x:v>
      </x:c>
      <x:c r="C89" t="str">
        <x:v>9/10/26, 11:47:12 AM</x:v>
      </x:c>
      <x:c r="D89" t="str">
        <x:v>38 min</x:v>
      </x:c>
      <x:c r="E89" t="str">
        <x:v>asmarquez@onepeterson.com</x:v>
      </x:c>
      <x:c r="F89" t="str">
        <x:v>asmarquez@pcugroup.com</x:v>
      </x:c>
      <x:c r="G89" t="str">
        <x:v>Asistente</x:v>
      </x:c>
      <x:c r="H89" t="str">
        <x:v>Asunción</x:v>
      </x:c>
      <x:c r="I89" t="str">
        <x:v>Marquez</x:v>
      </x:c>
      <x:c r="J89" t="str">
        <x:v>asmarquez@onepeterson.com</x:v>
      </x:c>
      <x:c r="K89" t="str">
        <x:v>9/10/26, 11:04:05 AM</x:v>
      </x:c>
      <x:c r="L89" t="str">
        <x:v>Registrado</x:v>
      </x:c>
      <x:c r="M89" t="str">
        <x:v>Peterson Solutions</x:v>
      </x:c>
      <x:c r="N89" t="str">
        <x:v>Argentina</x:v>
      </x:c>
      <x:c r="O89" t="str"/>
      <x:c r="P89" t="str"/>
      <x:c r="Q89" t="str"/>
      <x:c r="R89" t="str"/>
      <x:c r="S89" t="str"/>
      <x:c r="T89" t="str"/>
      <x:c r="U89" t="str"/>
    </x:row>
    <x:row r="90">
      <x:c r="A90" t="str">
        <x:v>Silvina Martinez (No comprobado)</x:v>
      </x:c>
      <x:c r="B90" t="str">
        <x:v>9/10/26, 11:04:38 AM</x:v>
      </x:c>
      <x:c r="C90" t="str">
        <x:v>9/10/26, 11:49:03 AM</x:v>
      </x:c>
      <x:c r="D90" t="str">
        <x:v>44 min 25s</x:v>
      </x:c>
      <x:c r="E90" t="str"/>
      <x:c r="F90" t="str"/>
      <x:c r="G90" t="str">
        <x:v>Asistente</x:v>
      </x:c>
      <x:c r="H90" t="str">
        <x:v>silvina</x:v>
      </x:c>
      <x:c r="I90" t="str">
        <x:v>Martinez</x:v>
      </x:c>
      <x:c r="J90" t="str">
        <x:v>smartinez@sophenia.com.ar</x:v>
      </x:c>
      <x:c r="K90" t="str">
        <x:v>8/18/26, 10:38:15 AM</x:v>
      </x:c>
      <x:c r="L90" t="str">
        <x:v>Registrado</x:v>
      </x:c>
      <x:c r="M90" t="str">
        <x:v>Finca Sophenia</x:v>
      </x:c>
      <x:c r="N90" t="str">
        <x:v>Argentina</x:v>
      </x:c>
      <x:c r="O90" t="str"/>
      <x:c r="P90" t="str"/>
      <x:c r="Q90" t="str"/>
      <x:c r="R90" t="str"/>
      <x:c r="S90" t="str"/>
      <x:c r="T90" t="str"/>
      <x:c r="U90" t="str">
        <x:v>1</x:v>
      </x:c>
    </x:row>
    <x:row r="91">
      <x:c r="A91" t="str">
        <x:v>Constanza Perez Carbonari</x:v>
      </x:c>
      <x:c r="B91" t="str">
        <x:v>9/10/26, 11:04:49 AM</x:v>
      </x:c>
      <x:c r="C91" t="str">
        <x:v>9/10/26, 11:52:16 AM</x:v>
      </x:c>
      <x:c r="D91" t="str">
        <x:v>47 min 27s</x:v>
      </x:c>
      <x:c r="E91" t="str">
        <x:v>cpcarbonari@onepeterson.com</x:v>
      </x:c>
      <x:c r="F91" t="str">
        <x:v>cpcarbonari@pcugroup.com</x:v>
      </x:c>
      <x:c r="G91" t="str">
        <x:v>Asistente</x:v>
      </x:c>
      <x:c r="H91" t="str">
        <x:v>Constanza</x:v>
      </x:c>
      <x:c r="I91" t="str">
        <x:v>Perez Carbonari</x:v>
      </x:c>
      <x:c r="J91" t="str">
        <x:v>cpcarbonari@onepeterson.com</x:v>
      </x:c>
      <x:c r="K91" t="str">
        <x:v>9/10/26, 11:04:31 AM</x:v>
      </x:c>
      <x:c r="L91" t="str">
        <x:v>Registrado</x:v>
      </x:c>
      <x:c r="M91" t="str">
        <x:v>Peterson</x:v>
      </x:c>
      <x:c r="N91" t="str">
        <x:v>Argentina</x:v>
      </x:c>
      <x:c r="O91" t="str"/>
      <x:c r="P91" t="str"/>
      <x:c r="Q91" t="str"/>
      <x:c r="R91" t="str"/>
      <x:c r="S91" t="str"/>
      <x:c r="T91" t="str"/>
      <x:c r="U91" t="str"/>
    </x:row>
    <x:row r="92">
      <x:c r="A92" t="str">
        <x:v>Andrea (No comprobado)</x:v>
      </x:c>
      <x:c r="B92" t="str">
        <x:v>9/10/26, 11:04:50 AM</x:v>
      </x:c>
      <x:c r="C92" t="str">
        <x:v>9/10/26, 11:49:02 AM</x:v>
      </x:c>
      <x:c r="D92" t="str">
        <x:v>44 min 11s</x:v>
      </x:c>
      <x:c r="E92" t="str"/>
      <x:c r="F92" t="str"/>
      <x:c r="G92" t="str">
        <x:v>Asistente</x:v>
      </x:c>
      <x:c r="H92" t="str">
        <x:v>andrea</x:v>
      </x:c>
      <x:c r="I92" t="str">
        <x:v>carparelli</x:v>
      </x:c>
      <x:c r="J92" t="str">
        <x:v>acarparelli@antigal.com</x:v>
      </x:c>
      <x:c r="K92" t="str">
        <x:v>9/09/26, 10:17:08 AM</x:v>
      </x:c>
      <x:c r="L92" t="str">
        <x:v>Registrado</x:v>
      </x:c>
      <x:c r="M92" t="str"/>
      <x:c r="N92" t="str"/>
      <x:c r="O92" t="str"/>
      <x:c r="P92" t="str"/>
      <x:c r="Q92" t="str"/>
      <x:c r="R92" t="str"/>
      <x:c r="S92" t="str"/>
      <x:c r="T92" t="str"/>
      <x:c r="U92" t="str"/>
    </x:row>
    <x:row r="93">
      <x:c r="A93" t="str">
        <x:v>Fabián Garófalo (Externo)</x:v>
      </x:c>
      <x:c r="B93" t="str">
        <x:v>9/10/26, 11:04:55 AM</x:v>
      </x:c>
      <x:c r="C93" t="str">
        <x:v>9/10/26, 11:33:03 AM</x:v>
      </x:c>
      <x:c r="D93" t="str">
        <x:v>28 min 8s</x:v>
      </x:c>
      <x:c r="E93" t="str">
        <x:v>fabian.garofalo@ecoetika.com</x:v>
      </x:c>
      <x:c r="F93" t="str">
        <x:v>fabian.garofalo@ecoetika.com</x:v>
      </x:c>
      <x:c r="G93" t="str">
        <x:v>Asistente</x:v>
      </x:c>
      <x:c r="H93" t="str">
        <x:v>Fabián</x:v>
      </x:c>
      <x:c r="I93" t="str">
        <x:v>Garófalo</x:v>
      </x:c>
      <x:c r="J93" t="str">
        <x:v>fabian.garofalo@ecoetika.com</x:v>
      </x:c>
      <x:c r="K93" t="str">
        <x:v>9/10/26, 10:21:43 AM</x:v>
      </x:c>
      <x:c r="L93" t="str">
        <x:v>Registrado</x:v>
      </x:c>
      <x:c r="M93" t="str">
        <x:v>EcoEtika</x:v>
      </x:c>
      <x:c r="N93" t="str">
        <x:v>Argentina</x:v>
      </x:c>
      <x:c r="O93" t="str"/>
      <x:c r="P93" t="str"/>
      <x:c r="Q93" t="str"/>
      <x:c r="R93" t="str"/>
      <x:c r="S93" t="str"/>
      <x:c r="T93" t="str"/>
      <x:c r="U93" t="str"/>
    </x:row>
    <x:row r="94">
      <x:c r="A94" t="str">
        <x:v>Sofia Orelogio (No comprobado)</x:v>
      </x:c>
      <x:c r="B94" t="str">
        <x:v>9/10/26, 11:05:01 AM</x:v>
      </x:c>
      <x:c r="C94" t="str">
        <x:v>9/10/26, 11:52:51 AM</x:v>
      </x:c>
      <x:c r="D94" t="str">
        <x:v>47 min 50s</x:v>
      </x:c>
      <x:c r="E94" t="str"/>
      <x:c r="F94" t="str"/>
      <x:c r="G94" t="str">
        <x:v>Asistente</x:v>
      </x:c>
      <x:c r="H94" t="str">
        <x:v>Sofía Macarena</x:v>
      </x:c>
      <x:c r="I94" t="str">
        <x:v>Orelogio</x:v>
      </x:c>
      <x:c r="J94" t="str">
        <x:v>sofia.orelogio@lagarde.com.ar</x:v>
      </x:c>
      <x:c r="K94" t="str">
        <x:v>9/09/26, 10:43:23 AM</x:v>
      </x:c>
      <x:c r="L94" t="str">
        <x:v>Registrado</x:v>
      </x:c>
      <x:c r="M94" t="str"/>
      <x:c r="N94" t="str"/>
      <x:c r="O94" t="str"/>
      <x:c r="P94" t="str"/>
      <x:c r="Q94" t="str"/>
      <x:c r="R94" t="str"/>
      <x:c r="S94" t="str"/>
      <x:c r="T94" t="str"/>
      <x:c r="U94" t="str"/>
    </x:row>
    <x:row r="95">
      <x:c r="A95" t="str">
        <x:v>Sebastian Garzón Rodríguez</x:v>
      </x:c>
      <x:c r="B95" t="str">
        <x:v>9/10/26, 11:05:15 AM</x:v>
      </x:c>
      <x:c r="C95" t="str">
        <x:v>9/10/26, 11:49:00 AM</x:v>
      </x:c>
      <x:c r="D95" t="str">
        <x:v>43 min 45s</x:v>
      </x:c>
      <x:c r="E95" t="str">
        <x:v>sebastian.garzon@aris-mining.co</x:v>
      </x:c>
      <x:c r="F95" t="str">
        <x:v>sebastian.garzon@aris-mining.co</x:v>
      </x:c>
      <x:c r="G95" t="str">
        <x:v>Asistente</x:v>
      </x:c>
      <x:c r="H95" t="str">
        <x:v>Sebastian</x:v>
      </x:c>
      <x:c r="I95" t="str">
        <x:v>Garzón Rodríguez</x:v>
      </x:c>
      <x:c r="J95" t="str">
        <x:v>sebastian.garzon@aris-mining.co</x:v>
      </x:c>
      <x:c r="K95" t="str">
        <x:v>9/10/26, 11:04:20 AM</x:v>
      </x:c>
      <x:c r="L95" t="str">
        <x:v>Registrado</x:v>
      </x:c>
      <x:c r="M95" t="str">
        <x:v>Aris Mining</x:v>
      </x:c>
      <x:c r="N95" t="str">
        <x:v>Colombia</x:v>
      </x:c>
      <x:c r="O95" t="str"/>
      <x:c r="P95" t="str"/>
      <x:c r="Q95" t="str"/>
      <x:c r="R95" t="str"/>
      <x:c r="S95" t="str"/>
      <x:c r="T95" t="str"/>
      <x:c r="U95" t="str"/>
    </x:row>
    <x:row r="96">
      <x:c r="A96" t="str">
        <x:v>Lourdes Manrique</x:v>
      </x:c>
      <x:c r="B96" t="str">
        <x:v>9/10/26, 11:05:57 AM</x:v>
      </x:c>
      <x:c r="C96" t="str">
        <x:v>9/10/26, 11:46:52 AM</x:v>
      </x:c>
      <x:c r="D96" t="str">
        <x:v>40 min 54s</x:v>
      </x:c>
      <x:c r="E96" t="str"/>
      <x:c r="F96" t="str"/>
      <x:c r="G96" t="str">
        <x:v>Asistente</x:v>
      </x:c>
      <x:c r="H96" t="str">
        <x:v>Lourdes</x:v>
      </x:c>
      <x:c r="I96" t="str">
        <x:v>Manrique</x:v>
      </x:c>
      <x:c r="J96" t="str">
        <x:v>lourdes.manrique@regrow.ag</x:v>
      </x:c>
      <x:c r="K96" t="str">
        <x:v>9/02/26, 11:47:25 AM</x:v>
      </x:c>
      <x:c r="L96" t="str">
        <x:v>Registrado</x:v>
      </x:c>
      <x:c r="M96" t="str">
        <x:v>Regrow</x:v>
      </x:c>
      <x:c r="N96" t="str">
        <x:v>Argentina</x:v>
      </x:c>
      <x:c r="O96" t="str"/>
      <x:c r="P96" t="str"/>
      <x:c r="Q96" t="str"/>
      <x:c r="R96" t="str"/>
      <x:c r="S96" t="str"/>
      <x:c r="T96" t="str"/>
      <x:c r="U96" t="str"/>
    </x:row>
    <x:row r="97">
      <x:c r="A97" t="str">
        <x:v>Nicolás Cantoro OLEGA (No comprobado)</x:v>
      </x:c>
      <x:c r="B97" t="str">
        <x:v>9/10/26, 11:06:08 AM</x:v>
      </x:c>
      <x:c r="C97" t="str">
        <x:v>9/10/26, 11:45:15 AM</x:v>
      </x:c>
      <x:c r="D97" t="str">
        <x:v>39 min 7s</x:v>
      </x:c>
      <x:c r="E97" t="str"/>
      <x:c r="F97" t="str"/>
      <x:c r="G97" t="str">
        <x:v>Asistente</x:v>
      </x:c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>
        <x:v>1</x:v>
      </x:c>
    </x:row>
    <x:row r="98">
      <x:c r="A98" t="str">
        <x:v>Valentina (No comprobado)</x:v>
      </x:c>
      <x:c r="B98" t="str">
        <x:v>9/10/26, 11:06:11 AM</x:v>
      </x:c>
      <x:c r="C98" t="str">
        <x:v>9/10/26, 11:49:09 AM</x:v>
      </x:c>
      <x:c r="D98" t="str">
        <x:v>42 min 57s</x:v>
      </x:c>
      <x:c r="E98" t="str"/>
      <x:c r="F98" t="str"/>
      <x:c r="G98" t="str">
        <x:v>Asistente</x:v>
      </x:c>
      <x:c r="H98" t="str">
        <x:v>Valentina</x:v>
      </x:c>
      <x:c r="I98" t="str">
        <x:v>Dinamarca</x:v>
      </x:c>
      <x:c r="J98" t="str">
        <x:v>vdinamarca@domainebousquet.com</x:v>
      </x:c>
      <x:c r="K98" t="str">
        <x:v>9/07/26, 2:35:38 PM</x:v>
      </x:c>
      <x:c r="L98" t="str">
        <x:v>Registrado</x:v>
      </x:c>
      <x:c r="M98" t="str">
        <x:v>Domaine Bousquet</x:v>
      </x:c>
      <x:c r="N98" t="str">
        <x:v>Argentina</x:v>
      </x:c>
      <x:c r="O98" t="str"/>
      <x:c r="P98" t="str"/>
      <x:c r="Q98" t="str"/>
      <x:c r="R98" t="str"/>
      <x:c r="S98" t="str"/>
      <x:c r="T98" t="str"/>
      <x:c r="U98" t="str"/>
    </x:row>
    <x:row r="99">
      <x:c r="A99" t="str">
        <x:v>Alejandra Farías</x:v>
      </x:c>
      <x:c r="B99" t="str">
        <x:v>9/10/26, 11:06:59 AM</x:v>
      </x:c>
      <x:c r="C99" t="str">
        <x:v>9/10/26, 11:26:34 AM</x:v>
      </x:c>
      <x:c r="D99" t="str">
        <x:v>19 min 34s</x:v>
      </x:c>
      <x:c r="E99" t="str">
        <x:v>Alejandra.Farias@imcdchile.com</x:v>
      </x:c>
      <x:c r="F99" t="str">
        <x:v>Alejandra.Farias@imcdchile.com</x:v>
      </x:c>
      <x:c r="G99" t="str">
        <x:v>Asistente</x:v>
      </x:c>
      <x:c r="H99" t="str">
        <x:v>Alejandra</x:v>
      </x:c>
      <x:c r="I99" t="str">
        <x:v>Farías</x:v>
      </x:c>
      <x:c r="J99" t="str">
        <x:v>alejandra.farias@imcdchile.com</x:v>
      </x:c>
      <x:c r="K99" t="str">
        <x:v>9/01/26, 5:35:19 PM</x:v>
      </x:c>
      <x:c r="L99" t="str">
        <x:v>Registrado</x:v>
      </x:c>
      <x:c r="M99" t="str">
        <x:v>IMCD Chile</x:v>
      </x:c>
      <x:c r="N99" t="str">
        <x:v>Chile</x:v>
      </x:c>
      <x:c r="O99" t="str"/>
      <x:c r="P99" t="str"/>
      <x:c r="Q99" t="str"/>
      <x:c r="R99" t="str"/>
      <x:c r="S99" t="str"/>
      <x:c r="T99" t="str"/>
      <x:c r="U99" t="str"/>
    </x:row>
    <x:row r="100">
      <x:c r="A100" t="str">
        <x:v>Juan Martin Giordano</x:v>
      </x:c>
      <x:c r="B100" t="str">
        <x:v>9/10/26, 11:07:15 AM</x:v>
      </x:c>
      <x:c r="C100" t="str">
        <x:v>9/10/26, 11:49:05 AM</x:v>
      </x:c>
      <x:c r="D100" t="str">
        <x:v>41 min 49s</x:v>
      </x:c>
      <x:c r="E100" t="str">
        <x:v>jmgiordano@onepeterson.com</x:v>
      </x:c>
      <x:c r="F100" t="str">
        <x:v>jmgiordano@pcugroup.com</x:v>
      </x:c>
      <x:c r="G100" t="str">
        <x:v>Asistente</x:v>
      </x:c>
      <x:c r="H100" t="str">
        <x:v>Juan Martin</x:v>
      </x:c>
      <x:c r="I100" t="str">
        <x:v>Giordano</x:v>
      </x:c>
      <x:c r="J100" t="str">
        <x:v>jmgiordano@onepeterson.com</x:v>
      </x:c>
      <x:c r="K100" t="str">
        <x:v>9/10/26, 10:46:26 AM</x:v>
      </x:c>
      <x:c r="L100" t="str">
        <x:v>Registrado</x:v>
      </x:c>
      <x:c r="M100" t="str">
        <x:v>Peterson Solutions</x:v>
      </x:c>
      <x:c r="N100" t="str">
        <x:v>Argentina</x:v>
      </x:c>
      <x:c r="O100" t="str"/>
      <x:c r="P100" t="str"/>
      <x:c r="Q100" t="str"/>
      <x:c r="R100" t="str"/>
      <x:c r="S100" t="str"/>
      <x:c r="T100" t="str"/>
      <x:c r="U100" t="str"/>
    </x:row>
    <x:row r="101">
      <x:c r="A101" t="str">
        <x:v>Magdalena - Wines of Argentina (No comprobado)</x:v>
      </x:c>
      <x:c r="B101" t="str">
        <x:v>9/10/26, 11:07:18 AM</x:v>
      </x:c>
      <x:c r="C101" t="str">
        <x:v>9/10/26, 11:15:30 AM</x:v>
      </x:c>
      <x:c r="D101" t="str">
        <x:v>8 min 12s</x:v>
      </x:c>
      <x:c r="E101" t="str"/>
      <x:c r="F101" t="str"/>
      <x:c r="G101" t="str">
        <x:v>Asistente</x:v>
      </x:c>
      <x:c r="H101" t="str">
        <x:v>Clara</x:v>
      </x:c>
      <x:c r="I101" t="str">
        <x:v>Foresi</x:v>
      </x:c>
      <x:c r="J101" t="str">
        <x:v>claraforesi@gmail.com</x:v>
      </x:c>
      <x:c r="K101" t="str">
        <x:v>9/04/26, 11:27:16 AM</x:v>
      </x:c>
      <x:c r="L101" t="str">
        <x:v>Registrado</x:v>
      </x:c>
      <x:c r="M101" t="str">
        <x:v>WOFA</x:v>
      </x:c>
      <x:c r="N101" t="str">
        <x:v>Argentina</x:v>
      </x:c>
      <x:c r="O101" t="str"/>
      <x:c r="P101" t="str"/>
      <x:c r="Q101" t="str"/>
      <x:c r="R101" t="str"/>
      <x:c r="S101" t="str"/>
      <x:c r="T101" t="str"/>
      <x:c r="U101" t="str">
        <x:v>1</x:v>
      </x:c>
    </x:row>
    <x:row r="102">
      <x:c r="A102" t="str">
        <x:v>Agustina Espinola (Externo)</x:v>
      </x:c>
      <x:c r="B102" t="str">
        <x:v>9/10/26, 11:07:18 AM</x:v>
      </x:c>
      <x:c r="C102" t="str">
        <x:v>9/10/26, 11:51:59 AM</x:v>
      </x:c>
      <x:c r="D102" t="str">
        <x:v>44 min 40s</x:v>
      </x:c>
      <x:c r="E102" t="str">
        <x:v>AEspinola@westons-cider.co.uk</x:v>
      </x:c>
      <x:c r="F102" t="str">
        <x:v>AEspinola@westons-cider.co.uk</x:v>
      </x:c>
      <x:c r="G102" t="str">
        <x:v>Asistente</x:v>
      </x:c>
      <x:c r="H102" t="str">
        <x:v>Agustina</x:v>
      </x:c>
      <x:c r="I102" t="str">
        <x:v>Espinola</x:v>
      </x:c>
      <x:c r="J102" t="str">
        <x:v>aespinola@westons-cider.co.uk</x:v>
      </x:c>
      <x:c r="K102" t="str">
        <x:v>8/12/26, 4:09:06 PM</x:v>
      </x:c>
      <x:c r="L102" t="str">
        <x:v>Registrado</x:v>
      </x:c>
      <x:c r="M102" t="str">
        <x:v>Westons Cider</x:v>
      </x:c>
      <x:c r="N102" t="str">
        <x:v>United Kingdom</x:v>
      </x:c>
      <x:c r="O102" t="str"/>
      <x:c r="P102" t="str"/>
      <x:c r="Q102" t="str"/>
      <x:c r="R102" t="str"/>
      <x:c r="S102" t="str"/>
      <x:c r="T102" t="str"/>
      <x:c r="U102" t="str"/>
    </x:row>
    <x:row r="103">
      <x:c r="A103" t="str">
        <x:v>Ana Luiza Fraisse</x:v>
      </x:c>
      <x:c r="B103" t="str">
        <x:v>9/10/26, 11:07:21 AM</x:v>
      </x:c>
      <x:c r="C103" t="str">
        <x:v>9/10/26, 11:48:59 AM</x:v>
      </x:c>
      <x:c r="D103" t="str">
        <x:v>41 min 38s</x:v>
      </x:c>
      <x:c r="E103" t="str">
        <x:v>Ana.Fraisse@grupobimbo.com</x:v>
      </x:c>
      <x:c r="F103" t="str">
        <x:v>Ana.Fraisse@grupobimbo.com</x:v>
      </x:c>
      <x:c r="G103" t="str">
        <x:v>Asistente</x:v>
      </x:c>
      <x:c r="H103" t="str">
        <x:v>Ana</x:v>
      </x:c>
      <x:c r="I103" t="str">
        <x:v>Fraisse</x:v>
      </x:c>
      <x:c r="J103" t="str">
        <x:v>ana.fraisse@grupobimbo.com</x:v>
      </x:c>
      <x:c r="K103" t="str">
        <x:v>9/03/26, 10:36:49 AM</x:v>
      </x:c>
      <x:c r="L103" t="str">
        <x:v>Registrado</x:v>
      </x:c>
      <x:c r="M103" t="str">
        <x:v>Bimbo QSR</x:v>
      </x:c>
      <x:c r="N103" t="str">
        <x:v>United States</x:v>
      </x:c>
      <x:c r="O103" t="str"/>
      <x:c r="P103" t="str"/>
      <x:c r="Q103" t="str"/>
      <x:c r="R103" t="str"/>
      <x:c r="S103" t="str"/>
      <x:c r="T103" t="str"/>
      <x:c r="U103" t="str"/>
    </x:row>
    <x:row r="104">
      <x:c r="A104" t="str">
        <x:v>Laura Gonzalez (Externo)</x:v>
      </x:c>
      <x:c r="B104" t="str">
        <x:v>9/10/26, 11:07:37 AM</x:v>
      </x:c>
      <x:c r="C104" t="str">
        <x:v>9/10/26, 11:49:01 AM</x:v>
      </x:c>
      <x:c r="D104" t="str">
        <x:v>41 min 23s</x:v>
      </x:c>
      <x:c r="E104" t="str">
        <x:v>lgonzalez@catenazapata.com</x:v>
      </x:c>
      <x:c r="F104" t="str">
        <x:v>lgonzalez@catenazapata.com</x:v>
      </x:c>
      <x:c r="G104" t="str">
        <x:v>Asistente</x:v>
      </x:c>
      <x:c r="H104" t="str">
        <x:v>Laura</x:v>
      </x:c>
      <x:c r="I104" t="str">
        <x:v>González</x:v>
      </x:c>
      <x:c r="J104" t="str">
        <x:v>lgonzalez@catenazapata.com</x:v>
      </x:c>
      <x:c r="K104" t="str">
        <x:v>9/09/26, 10:41:07 AM</x:v>
      </x:c>
      <x:c r="L104" t="str">
        <x:v>Registrado</x:v>
      </x:c>
      <x:c r="M104" t="str"/>
      <x:c r="N104" t="str"/>
      <x:c r="O104" t="str"/>
      <x:c r="P104" t="str"/>
      <x:c r="Q104" t="str"/>
      <x:c r="R104" t="str"/>
      <x:c r="S104" t="str"/>
      <x:c r="T104" t="str"/>
      <x:c r="U104" t="str"/>
    </x:row>
    <x:row r="105">
      <x:c r="A105" t="str">
        <x:v>maria vanesa ardito</x:v>
      </x:c>
      <x:c r="B105" t="str">
        <x:v>9/10/26, 11:08:02 AM</x:v>
      </x:c>
      <x:c r="C105" t="str">
        <x:v>9/10/26, 11:33:59 AM</x:v>
      </x:c>
      <x:c r="D105" t="str">
        <x:v>25 min 57s</x:v>
      </x:c>
      <x:c r="E105" t="str"/>
      <x:c r="F105" t="str"/>
      <x:c r="G105" t="str">
        <x:v>Asistente</x:v>
      </x:c>
      <x:c r="H105" t="str">
        <x:v>Berenice</x:v>
      </x:c>
      <x:c r="I105" t="str">
        <x:v>Burdet</x:v>
      </x:c>
      <x:c r="J105" t="str">
        <x:v>bereniceburdet@masitupungato.com</x:v>
      </x:c>
      <x:c r="K105" t="str">
        <x:v>9/09/26, 10:37:11 AM</x:v>
      </x:c>
      <x:c r="L105" t="str">
        <x:v>Registrado</x:v>
      </x:c>
      <x:c r="M105" t="str"/>
      <x:c r="N105" t="str"/>
      <x:c r="O105" t="str"/>
      <x:c r="P105" t="str"/>
      <x:c r="Q105" t="str"/>
      <x:c r="R105" t="str"/>
      <x:c r="S105" t="str"/>
      <x:c r="T105" t="str"/>
      <x:c r="U105" t="str"/>
    </x:row>
    <x:row r="106">
      <x:c r="A106" t="str">
        <x:v>Lucila Carbini (OnePeterson)</x:v>
      </x:c>
      <x:c r="B106" t="str">
        <x:v>9/10/26, 11:08:31 AM</x:v>
      </x:c>
      <x:c r="C106" t="str">
        <x:v>9/10/26, 11:45:10 AM</x:v>
      </x:c>
      <x:c r="D106" t="str">
        <x:v>36 min 38s</x:v>
      </x:c>
      <x:c r="E106" t="str">
        <x:v>lcarbini2@onepeterson.com</x:v>
      </x:c>
      <x:c r="F106" t="str">
        <x:v>lcarbini2@pcugroup.com</x:v>
      </x:c>
      <x:c r="G106" t="str">
        <x:v>Asistente</x:v>
      </x:c>
      <x:c r="H106" t="str">
        <x:v>Lucila</x:v>
      </x:c>
      <x:c r="I106" t="str">
        <x:v>Carbini (OnePeterson)</x:v>
      </x:c>
      <x:c r="J106" t="str">
        <x:v>lcarbini2@onepeterson.com</x:v>
      </x:c>
      <x:c r="K106" t="str">
        <x:v>9/09/26, 10:12:00 AM</x:v>
      </x:c>
      <x:c r="L106" t="str">
        <x:v>Registrado</x:v>
      </x:c>
      <x:c r="M106" t="str">
        <x:v>Peterson</x:v>
      </x:c>
      <x:c r="N106" t="str">
        <x:v>Argentina</x:v>
      </x:c>
      <x:c r="O106" t="str"/>
      <x:c r="P106" t="str"/>
      <x:c r="Q106" t="str"/>
      <x:c r="R106" t="str"/>
      <x:c r="S106" t="str"/>
      <x:c r="T106" t="str"/>
      <x:c r="U106" t="str"/>
    </x:row>
    <x:row r="107">
      <x:c r="A107" t="str">
        <x:v>Maria Angeles Durelli</x:v>
      </x:c>
      <x:c r="B107" t="str">
        <x:v>9/10/26, 11:09:23 AM</x:v>
      </x:c>
      <x:c r="C107" t="str">
        <x:v>9/10/26, 11:49:03 AM</x:v>
      </x:c>
      <x:c r="D107" t="str">
        <x:v>39 min 40s</x:v>
      </x:c>
      <x:c r="E107" t="str">
        <x:v>mdurelli@controlunion.com</x:v>
      </x:c>
      <x:c r="F107" t="str">
        <x:v>mdurelli@pcugroup.com</x:v>
      </x:c>
      <x:c r="G107" t="str">
        <x:v>Asistente</x:v>
      </x:c>
      <x:c r="H107" t="str">
        <x:v>Maria</x:v>
      </x:c>
      <x:c r="I107" t="str">
        <x:v>Durelli</x:v>
      </x:c>
      <x:c r="J107" t="str">
        <x:v>mdurelli@controlunion.com</x:v>
      </x:c>
      <x:c r="K107" t="str">
        <x:v>9/10/26, 11:09:04 AM</x:v>
      </x:c>
      <x:c r="L107" t="str">
        <x:v>Registrado</x:v>
      </x:c>
      <x:c r="M107" t="str"/>
      <x:c r="N107" t="str"/>
      <x:c r="O107" t="str"/>
      <x:c r="P107" t="str"/>
      <x:c r="Q107" t="str"/>
      <x:c r="R107" t="str"/>
      <x:c r="S107" t="str"/>
      <x:c r="T107" t="str"/>
      <x:c r="U107" t="str"/>
    </x:row>
    <x:row r="108">
      <x:c r="A108" t="str">
        <x:v>Ezequiel Kiener</x:v>
      </x:c>
      <x:c r="B108" t="str">
        <x:v>9/10/26, 11:09:35 AM</x:v>
      </x:c>
      <x:c r="C108" t="str">
        <x:v>9/10/26, 11:21:42 AM</x:v>
      </x:c>
      <x:c r="D108" t="str">
        <x:v>12 min 7s</x:v>
      </x:c>
      <x:c r="E108" t="str">
        <x:v>ezequiel.kiener@amaggi.com.ar</x:v>
      </x:c>
      <x:c r="F108" t="str">
        <x:v>ezequiel.kiener@amaggi.com.ar</x:v>
      </x:c>
      <x:c r="G108" t="str">
        <x:v>Asistente</x:v>
      </x:c>
      <x:c r="H108" t="str">
        <x:v>Ezequiel Marcos</x:v>
      </x:c>
      <x:c r="I108" t="str">
        <x:v>Kiener</x:v>
      </x:c>
      <x:c r="J108" t="str">
        <x:v>ezequiel.kiener@amaggi.com.ar</x:v>
      </x:c>
      <x:c r="K108" t="str">
        <x:v>8/26/26, 5:34:07 PM</x:v>
      </x:c>
      <x:c r="L108" t="str">
        <x:v>Registrado</x:v>
      </x:c>
      <x:c r="M108" t="str">
        <x:v>AMAGGI</x:v>
      </x:c>
      <x:c r="N108" t="str">
        <x:v>Argentina</x:v>
      </x:c>
      <x:c r="O108" t="str"/>
      <x:c r="P108" t="str"/>
      <x:c r="Q108" t="str"/>
      <x:c r="R108" t="str"/>
      <x:c r="S108" t="str"/>
      <x:c r="T108" t="str"/>
      <x:c r="U108" t="str"/>
    </x:row>
    <x:row r="109">
      <x:c r="A109" t="str">
        <x:v>Mariana Coop Prod Junin. Mza (No comprobado)</x:v>
      </x:c>
      <x:c r="B109" t="str">
        <x:v>9/10/26, 11:09:50 AM</x:v>
      </x:c>
      <x:c r="C109" t="str">
        <x:v>9/10/26, 11:51:41 AM</x:v>
      </x:c>
      <x:c r="D109" t="str">
        <x:v>41 min 50s</x:v>
      </x:c>
      <x:c r="E109" t="str"/>
      <x:c r="F109" t="str"/>
      <x:c r="G109" t="str">
        <x:v>Asistente</x:v>
      </x:c>
      <x:c r="H109" t="str"/>
      <x:c r="I109" t="str"/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</x:row>
    <x:row r="110">
      <x:c r="A110" t="str">
        <x:v>ROCIO (No comprobado)</x:v>
      </x:c>
      <x:c r="B110" t="str">
        <x:v>9/10/26, 11:09:51 AM</x:v>
      </x:c>
      <x:c r="C110" t="str">
        <x:v>9/10/26, 11:49:02 AM</x:v>
      </x:c>
      <x:c r="D110" t="str">
        <x:v>39 min 10s</x:v>
      </x:c>
      <x:c r="E110" t="str"/>
      <x:c r="F110" t="str"/>
      <x:c r="G110" t="str">
        <x:v>Asistente</x:v>
      </x:c>
      <x:c r="H110" t="str">
        <x:v>ROCIO</x:v>
      </x:c>
      <x:c r="I110" t="str">
        <x:v>FRETTES</x:v>
      </x:c>
      <x:c r="J110" t="str">
        <x:v>rocio@pulentaestate.com</x:v>
      </x:c>
      <x:c r="K110" t="str">
        <x:v>9/09/26, 10:43:11 AM</x:v>
      </x:c>
      <x:c r="L110" t="str">
        <x:v>Registrado</x:v>
      </x:c>
      <x:c r="M110" t="str"/>
      <x:c r="N110" t="str"/>
      <x:c r="O110" t="str"/>
      <x:c r="P110" t="str"/>
      <x:c r="Q110" t="str"/>
      <x:c r="R110" t="str"/>
      <x:c r="S110" t="str"/>
      <x:c r="T110" t="str"/>
      <x:c r="U110" t="str"/>
    </x:row>
    <x:row r="111">
      <x:c r="A111" t="str">
        <x:v>Dora Fanny Andrea Rivarola (Externo)</x:v>
      </x:c>
      <x:c r="B111" t="str">
        <x:v>9/10/26, 11:10:06 AM</x:v>
      </x:c>
      <x:c r="C111" t="str">
        <x:v>9/10/26, 11:52:29 AM</x:v>
      </x:c>
      <x:c r="D111" t="str">
        <x:v>42 min 23s</x:v>
      </x:c>
      <x:c r="E111" t="str">
        <x:v>drivarola@inti.gob.ar</x:v>
      </x:c>
      <x:c r="F111" t="str">
        <x:v>drivarola@inti.gob.ar</x:v>
      </x:c>
      <x:c r="G111" t="str">
        <x:v>Asistente</x:v>
      </x:c>
      <x:c r="H111" t="str">
        <x:v>Andrea</x:v>
      </x:c>
      <x:c r="I111" t="str">
        <x:v>Rivarola</x:v>
      </x:c>
      <x:c r="J111" t="str">
        <x:v>drivarola@inti.gob.ar</x:v>
      </x:c>
      <x:c r="K111" t="str">
        <x:v>9/09/26, 10:44:00 AM</x:v>
      </x:c>
      <x:c r="L111" t="str">
        <x:v>Registrado</x:v>
      </x:c>
      <x:c r="M111" t="str"/>
      <x:c r="N111" t="str"/>
      <x:c r="O111" t="str"/>
      <x:c r="P111" t="str"/>
      <x:c r="Q111" t="str"/>
      <x:c r="R111" t="str"/>
      <x:c r="S111" t="str"/>
      <x:c r="T111" t="str"/>
      <x:c r="U111" t="str"/>
    </x:row>
    <x:row r="112">
      <x:c r="A112" t="str">
        <x:v>Soledad Juncosa</x:v>
      </x:c>
      <x:c r="B112" t="str">
        <x:v>9/10/26, 11:10:33 AM</x:v>
      </x:c>
      <x:c r="C112" t="str">
        <x:v>9/10/26, 11:52:53 AM</x:v>
      </x:c>
      <x:c r="D112" t="str">
        <x:v>42 min 19s</x:v>
      </x:c>
      <x:c r="E112" t="str"/>
      <x:c r="F112" t="str"/>
      <x:c r="G112" t="str">
        <x:v>Asistente</x:v>
      </x:c>
      <x:c r="H112" t="str">
        <x:v>Soledad</x:v>
      </x:c>
      <x:c r="I112" t="str">
        <x:v>Juncosa</x:v>
      </x:c>
      <x:c r="J112" t="str">
        <x:v>sjuncosa@winesofargentina.com</x:v>
      </x:c>
      <x:c r="K112" t="str">
        <x:v>9/09/26, 10:24:50 AM</x:v>
      </x:c>
      <x:c r="L112" t="str">
        <x:v>Registrado</x:v>
      </x:c>
      <x:c r="M112" t="str"/>
      <x:c r="N112" t="str"/>
      <x:c r="O112" t="str"/>
      <x:c r="P112" t="str"/>
      <x:c r="Q112" t="str"/>
      <x:c r="R112" t="str"/>
      <x:c r="S112" t="str"/>
      <x:c r="T112" t="str"/>
      <x:c r="U112" t="str"/>
    </x:row>
    <x:row r="113">
      <x:c r="A113" t="str">
        <x:v>Patricio Jaular (No comprobado)</x:v>
      </x:c>
      <x:c r="B113" t="str">
        <x:v>9/10/26, 11:10:47 AM</x:v>
      </x:c>
      <x:c r="C113" t="str">
        <x:v>9/10/26, 11:49:07 AM</x:v>
      </x:c>
      <x:c r="D113" t="str">
        <x:v>38 min 20s</x:v>
      </x:c>
      <x:c r="E113" t="str"/>
      <x:c r="F113" t="str"/>
      <x:c r="G113" t="str">
        <x:v>Asistente</x:v>
      </x:c>
      <x:c r="H113" t="str">
        <x:v>Viviana</x:v>
      </x:c>
      <x:c r="I113" t="str">
        <x:v>Michel</x:v>
      </x:c>
      <x:c r="J113" t="str">
        <x:v>alejandravivianamichel17@gmail.com</x:v>
      </x:c>
      <x:c r="K113" t="str">
        <x:v>9/09/26, 10:23:05 AM</x:v>
      </x:c>
      <x:c r="L113" t="str">
        <x:v>Registrado</x:v>
      </x:c>
      <x:c r="M113" t="str"/>
      <x:c r="N113" t="str"/>
      <x:c r="O113" t="str"/>
      <x:c r="P113" t="str"/>
      <x:c r="Q113" t="str"/>
      <x:c r="R113" t="str"/>
      <x:c r="S113" t="str"/>
      <x:c r="T113" t="str"/>
      <x:c r="U113" t="str">
        <x:v>1</x:v>
      </x:c>
    </x:row>
    <x:row r="114">
      <x:c r="A114" t="str">
        <x:v>Pamela Posse (No comprobado)</x:v>
      </x:c>
      <x:c r="B114" t="str">
        <x:v>9/10/26, 11:10:48 AM</x:v>
      </x:c>
      <x:c r="C114" t="str">
        <x:v>9/10/26, 11:49:05 AM</x:v>
      </x:c>
      <x:c r="D114" t="str">
        <x:v>38 min 17s</x:v>
      </x:c>
      <x:c r="E114" t="str"/>
      <x:c r="F114" t="str"/>
      <x:c r="G114" t="str">
        <x:v>Asistente</x:v>
      </x:c>
      <x:c r="H114" t="str">
        <x:v>Pamela</x:v>
      </x:c>
      <x:c r="I114" t="str">
        <x:v>Posse</x:v>
      </x:c>
      <x:c r="J114" t="str">
        <x:v>pame_posse@yahoo.com.ar</x:v>
      </x:c>
      <x:c r="K114" t="str">
        <x:v>9/09/26, 10:22:41 AM</x:v>
      </x:c>
      <x:c r="L114" t="str">
        <x:v>Registrado</x:v>
      </x:c>
      <x:c r="M114" t="str"/>
      <x:c r="N114" t="str"/>
      <x:c r="O114" t="str"/>
      <x:c r="P114" t="str"/>
      <x:c r="Q114" t="str"/>
      <x:c r="R114" t="str"/>
      <x:c r="S114" t="str"/>
      <x:c r="T114" t="str"/>
      <x:c r="U114" t="str"/>
    </x:row>
    <x:row r="115">
      <x:c r="A115" t="str">
        <x:v>Sergio (No comprobado)</x:v>
      </x:c>
      <x:c r="B115" t="str">
        <x:v>9/10/26, 11:10:49 AM</x:v>
      </x:c>
      <x:c r="C115" t="str">
        <x:v>9/10/26, 11:49:33 AM</x:v>
      </x:c>
      <x:c r="D115" t="str">
        <x:v>38 min 43s</x:v>
      </x:c>
      <x:c r="E115" t="str"/>
      <x:c r="F115" t="str"/>
      <x:c r="G115" t="str">
        <x:v>Asistente</x:v>
      </x:c>
      <x:c r="H115" t="str">
        <x:v>Sergio</x:v>
      </x:c>
      <x:c r="I115" t="str">
        <x:v>Tiberi</x:v>
      </x:c>
      <x:c r="J115" t="str">
        <x:v>stiberi@familiazuccardi.com</x:v>
      </x:c>
      <x:c r="K115" t="str">
        <x:v>9/09/26, 10:45:07 AM</x:v>
      </x:c>
      <x:c r="L115" t="str">
        <x:v>Registrado</x:v>
      </x:c>
      <x:c r="M115" t="str"/>
      <x:c r="N115" t="str"/>
      <x:c r="O115" t="str"/>
      <x:c r="P115" t="str"/>
      <x:c r="Q115" t="str"/>
      <x:c r="R115" t="str"/>
      <x:c r="S115" t="str"/>
      <x:c r="T115" t="str"/>
      <x:c r="U115" t="str"/>
    </x:row>
    <x:row r="116">
      <x:c r="A116" t="str">
        <x:v>Ana Valentina Porta</x:v>
      </x:c>
      <x:c r="B116" t="str">
        <x:v>9/10/26, 11:11:13 AM</x:v>
      </x:c>
      <x:c r="C116" t="str">
        <x:v>9/10/26, 11:49:39 AM</x:v>
      </x:c>
      <x:c r="D116" t="str">
        <x:v>38 min 25s</x:v>
      </x:c>
      <x:c r="E116" t="str">
        <x:v>aporta@familiazuccardi.com</x:v>
      </x:c>
      <x:c r="F116" t="str">
        <x:v>aporta@familiazuccardi.com</x:v>
      </x:c>
      <x:c r="G116" t="str">
        <x:v>Asistente</x:v>
      </x:c>
      <x:c r="H116" t="str">
        <x:v>SEBASTIAN</x:v>
      </x:c>
      <x:c r="I116" t="str">
        <x:v>CASTRO</x:v>
      </x:c>
      <x:c r="J116" t="str">
        <x:v>scastro@familiazuccardi.com</x:v>
      </x:c>
      <x:c r="K116" t="str">
        <x:v>9/09/26, 10:39:05 AM</x:v>
      </x:c>
      <x:c r="L116" t="str">
        <x:v>Registrado</x:v>
      </x:c>
      <x:c r="M116" t="str"/>
      <x:c r="N116" t="str"/>
      <x:c r="O116" t="str"/>
      <x:c r="P116" t="str"/>
      <x:c r="Q116" t="str"/>
      <x:c r="R116" t="str"/>
      <x:c r="S116" t="str"/>
      <x:c r="T116" t="str"/>
      <x:c r="U116" t="str"/>
    </x:row>
    <x:row r="117">
      <x:c r="A117" t="str">
        <x:v>Natalia Bonassies</x:v>
      </x:c>
      <x:c r="B117" t="str">
        <x:v>9/10/26, 11:12:51 AM</x:v>
      </x:c>
      <x:c r="C117" t="str">
        <x:v>9/10/26, 11:47:11 AM</x:v>
      </x:c>
      <x:c r="D117" t="str">
        <x:v>34 min 20s</x:v>
      </x:c>
      <x:c r="E117" t="str"/>
      <x:c r="F117" t="str"/>
      <x:c r="G117" t="str">
        <x:v>Asistente</x:v>
      </x:c>
      <x:c r="H117" t="str">
        <x:v>Natalia</x:v>
      </x:c>
      <x:c r="I117" t="str">
        <x:v>Bonassies</x:v>
      </x:c>
      <x:c r="J117" t="str">
        <x:v>nbonassies@cera.org.ar</x:v>
      </x:c>
      <x:c r="K117" t="str">
        <x:v>8/28/26, 6:00:45 PM</x:v>
      </x:c>
      <x:c r="L117" t="str">
        <x:v>Registrado</x:v>
      </x:c>
      <x:c r="M117" t="str">
        <x:v>Cera</x:v>
      </x:c>
      <x:c r="N117" t="str">
        <x:v>Argentina </x:v>
      </x:c>
      <x:c r="O117" t="str"/>
      <x:c r="P117" t="str"/>
      <x:c r="Q117" t="str"/>
      <x:c r="R117" t="str"/>
      <x:c r="S117" t="str"/>
      <x:c r="T117" t="str"/>
      <x:c r="U117" t="str"/>
    </x:row>
    <x:row r="118">
      <x:c r="A118" t="str">
        <x:v>Sebastián Carrasco Mendoza (No comprobado)</x:v>
      </x:c>
      <x:c r="B118" t="str">
        <x:v>9/10/26, 11:12:54 AM</x:v>
      </x:c>
      <x:c r="C118" t="str">
        <x:v>9/10/26, 11:17:36 AM</x:v>
      </x:c>
      <x:c r="D118" t="str">
        <x:v>4 min 42s</x:v>
      </x:c>
      <x:c r="E118" t="str"/>
      <x:c r="F118" t="str"/>
      <x:c r="G118" t="str">
        <x:v>Asistente</x:v>
      </x:c>
      <x:c r="H118" t="str">
        <x:v>Sebastián</x:v>
      </x:c>
      <x:c r="I118" t="str">
        <x:v>Carrasco</x:v>
      </x:c>
      <x:c r="J118" t="str">
        <x:v>sebastian.carrasco@nutrisco.com</x:v>
      </x:c>
      <x:c r="K118" t="str">
        <x:v>9/02/26, 10:35:50 AM</x:v>
      </x:c>
      <x:c r="L118" t="str">
        <x:v>Registrado</x:v>
      </x:c>
      <x:c r="M118" t="str">
        <x:v>Nutrisco Chile</x:v>
      </x:c>
      <x:c r="N118" t="str">
        <x:v>Chile</x:v>
      </x:c>
      <x:c r="O118" t="str"/>
      <x:c r="P118" t="str"/>
      <x:c r="Q118" t="str"/>
      <x:c r="R118" t="str"/>
      <x:c r="S118" t="str"/>
      <x:c r="T118" t="str"/>
      <x:c r="U118" t="str"/>
    </x:row>
    <x:row r="119">
      <x:c r="A119" t="str">
        <x:v>Majo Peleitay</x:v>
      </x:c>
      <x:c r="B119" t="str">
        <x:v>9/10/26, 11:13:01 AM</x:v>
      </x:c>
      <x:c r="C119" t="str">
        <x:v>9/10/26, 11:33:24 AM</x:v>
      </x:c>
      <x:c r="D119" t="str">
        <x:v>20 min 22s</x:v>
      </x:c>
      <x:c r="E119" t="str"/>
      <x:c r="F119" t="str"/>
      <x:c r="G119" t="str">
        <x:v>Asistente</x:v>
      </x:c>
      <x:c r="H119" t="str">
        <x:v>MARIA JOSE</x:v>
      </x:c>
      <x:c r="I119" t="str">
        <x:v>PELEITAY PINTO</x:v>
      </x:c>
      <x:c r="J119" t="str">
        <x:v>mariajose@bodegafosterlorca.com</x:v>
      </x:c>
      <x:c r="K119" t="str">
        <x:v>9/09/26, 11:04:20 AM</x:v>
      </x:c>
      <x:c r="L119" t="str">
        <x:v>Registrado</x:v>
      </x:c>
      <x:c r="M119" t="str"/>
      <x:c r="N119" t="str"/>
      <x:c r="O119" t="str"/>
      <x:c r="P119" t="str"/>
      <x:c r="Q119" t="str"/>
      <x:c r="R119" t="str"/>
      <x:c r="S119" t="str"/>
      <x:c r="T119" t="str"/>
      <x:c r="U119" t="str"/>
    </x:row>
    <x:row r="120">
      <x:c r="A120" t="str">
        <x:v>Pablo Palumbo</x:v>
      </x:c>
      <x:c r="B120" t="str">
        <x:v>9/10/26, 11:14:20 AM</x:v>
      </x:c>
      <x:c r="C120" t="str">
        <x:v>9/10/26, 11:52:33 AM</x:v>
      </x:c>
      <x:c r="D120" t="str">
        <x:v>38 min 12s</x:v>
      </x:c>
      <x:c r="E120" t="str">
        <x:v>ppalumbo@salentein.com</x:v>
      </x:c>
      <x:c r="F120" t="str">
        <x:v>ppalumbo@salentein.com</x:v>
      </x:c>
      <x:c r="G120" t="str">
        <x:v>Asistente</x:v>
      </x:c>
      <x:c r="H120" t="str">
        <x:v>Pablo</x:v>
      </x:c>
      <x:c r="I120" t="str">
        <x:v>Palumbo</x:v>
      </x:c>
      <x:c r="J120" t="str">
        <x:v>ppalumbo@salentein.com</x:v>
      </x:c>
      <x:c r="K120" t="str">
        <x:v>8/26/26, 1:21:21 PM</x:v>
      </x:c>
      <x:c r="L120" t="str">
        <x:v>Registrado</x:v>
      </x:c>
      <x:c r="M120" t="str">
        <x:v>Bodegas Salentein SA</x:v>
      </x:c>
      <x:c r="N120" t="str">
        <x:v>Argentina</x:v>
      </x:c>
      <x:c r="O120" t="str"/>
      <x:c r="P120" t="str"/>
      <x:c r="Q120" t="str"/>
      <x:c r="R120" t="str"/>
      <x:c r="S120" t="str"/>
      <x:c r="T120" t="str"/>
      <x:c r="U120" t="str"/>
    </x:row>
    <x:row r="121">
      <x:c r="A121" t="str">
        <x:v>Pablo Cerutti  Antonietti (Externo)</x:v>
      </x:c>
      <x:c r="B121" t="str">
        <x:v>9/10/26, 11:14:24 AM</x:v>
      </x:c>
      <x:c r="C121" t="str">
        <x:v>9/10/26, 11:49:07 AM</x:v>
      </x:c>
      <x:c r="D121" t="str">
        <x:v>34 min 42s</x:v>
      </x:c>
      <x:c r="E121" t="str">
        <x:v>pcerutti@inti.gob.ar</x:v>
      </x:c>
      <x:c r="F121" t="str">
        <x:v>pcerutti@inti.gob.ar</x:v>
      </x:c>
      <x:c r="G121" t="str">
        <x:v>Asistente</x:v>
      </x:c>
      <x:c r="H121" t="str">
        <x:v>Pablo</x:v>
      </x:c>
      <x:c r="I121" t="str">
        <x:v>cerutti</x:v>
      </x:c>
      <x:c r="J121" t="str">
        <x:v>pcerutti@inti.gob.ar</x:v>
      </x:c>
      <x:c r="K121" t="str">
        <x:v>9/09/26, 10:44:26 AM</x:v>
      </x:c>
      <x:c r="L121" t="str">
        <x:v>Registrado</x:v>
      </x:c>
      <x:c r="M121" t="str"/>
      <x:c r="N121" t="str"/>
      <x:c r="O121" t="str"/>
      <x:c r="P121" t="str"/>
      <x:c r="Q121" t="str"/>
      <x:c r="R121" t="str"/>
      <x:c r="S121" t="str"/>
      <x:c r="T121" t="str"/>
      <x:c r="U121" t="str"/>
    </x:row>
    <x:row r="122">
      <x:c r="A122" t="str">
        <x:v>Alexandra Blandon (No comprobado)</x:v>
      </x:c>
      <x:c r="B122" t="str">
        <x:v>9/10/26, 11:14:25 AM</x:v>
      </x:c>
      <x:c r="C122" t="str">
        <x:v>9/10/26, 11:16:48 AM</x:v>
      </x:c>
      <x:c r="D122" t="str">
        <x:v>2 min 23s</x:v>
      </x:c>
      <x:c r="E122" t="str"/>
      <x:c r="F122" t="str"/>
      <x:c r="G122" t="str">
        <x:v>Asistente</x:v>
      </x:c>
      <x:c r="H122" t="str">
        <x:v>Alexandra</x:v>
      </x:c>
      <x:c r="I122" t="str">
        <x:v>Blandon</x:v>
      </x:c>
      <x:c r="J122" t="str">
        <x:v>alexandra.blandon@asociacionazucarera.net</x:v>
      </x:c>
      <x:c r="K122" t="str">
        <x:v>8/12/26, 1:59:36 PM</x:v>
      </x:c>
      <x:c r="L122" t="str">
        <x:v>Registrado</x:v>
      </x:c>
      <x:c r="M122" t="str">
        <x:v>Fundazucar</x:v>
      </x:c>
      <x:c r="N122" t="str">
        <x:v>El Salvador</x:v>
      </x:c>
      <x:c r="O122" t="str"/>
      <x:c r="P122" t="str"/>
      <x:c r="Q122" t="str"/>
      <x:c r="R122" t="str"/>
      <x:c r="S122" t="str"/>
      <x:c r="T122" t="str"/>
      <x:c r="U122" t="str">
        <x:v>1</x:v>
      </x:c>
    </x:row>
    <x:row r="123">
      <x:c r="A123" t="str">
        <x:v>Carlos Picco</x:v>
      </x:c>
      <x:c r="B123" t="str">
        <x:v>9/10/26, 11:15:03 AM</x:v>
      </x:c>
      <x:c r="C123" t="str">
        <x:v>9/10/26, 11:38:09 AM</x:v>
      </x:c>
      <x:c r="D123" t="str">
        <x:v>23 min 6s</x:v>
      </x:c>
      <x:c r="E123" t="str">
        <x:v>cpicco@controlunion.com</x:v>
      </x:c>
      <x:c r="F123" t="str">
        <x:v>cpicco@pcugroup.com</x:v>
      </x:c>
      <x:c r="G123" t="str">
        <x:v>Asistente</x:v>
      </x:c>
      <x:c r="H123" t="str">
        <x:v>Carlos</x:v>
      </x:c>
      <x:c r="I123" t="str">
        <x:v>Picco</x:v>
      </x:c>
      <x:c r="J123" t="str">
        <x:v>cpicco@controlunion.com</x:v>
      </x:c>
      <x:c r="K123" t="str">
        <x:v>8/24/26, 1:49:08 PM</x:v>
      </x:c>
      <x:c r="L123" t="str">
        <x:v>Registrado</x:v>
      </x:c>
      <x:c r="M123" t="str">
        <x:v>Control Union Paraguay</x:v>
      </x:c>
      <x:c r="N123" t="str">
        <x:v>Paraguay</x:v>
      </x:c>
      <x:c r="O123" t="str"/>
      <x:c r="P123" t="str"/>
      <x:c r="Q123" t="str"/>
      <x:c r="R123" t="str"/>
      <x:c r="S123" t="str"/>
      <x:c r="T123" t="str"/>
      <x:c r="U123" t="str"/>
    </x:row>
    <x:row r="124">
      <x:c r="A124" t="str">
        <x:v>BUYATTI - Reconquista (No comprobado)</x:v>
      </x:c>
      <x:c r="B124" t="str">
        <x:v>9/10/26, 11:15:34 AM</x:v>
      </x:c>
      <x:c r="C124" t="str">
        <x:v>9/10/26, 11:49:02 AM</x:v>
      </x:c>
      <x:c r="D124" t="str">
        <x:v>33 min 28s</x:v>
      </x:c>
      <x:c r="E124" t="str"/>
      <x:c r="F124" t="str"/>
      <x:c r="G124" t="str">
        <x:v>Asistente</x:v>
      </x:c>
      <x:c r="H124" t="str">
        <x:v>Vanesa</x:v>
      </x:c>
      <x:c r="I124" t="str">
        <x:v>Zupel</x:v>
      </x:c>
      <x:c r="J124" t="str">
        <x:v>vanesa.zupel@buyatti.com.ar</x:v>
      </x:c>
      <x:c r="K124" t="str">
        <x:v>8/20/26, 2:23:39 PM</x:v>
      </x:c>
      <x:c r="L124" t="str">
        <x:v>Registrado</x:v>
      </x:c>
      <x:c r="M124" t="str">
        <x:v>Buyatti SAICA</x:v>
      </x:c>
      <x:c r="N124" t="str">
        <x:v>Argentina</x:v>
      </x:c>
      <x:c r="O124" t="str"/>
      <x:c r="P124" t="str"/>
      <x:c r="Q124" t="str"/>
      <x:c r="R124" t="str"/>
      <x:c r="S124" t="str"/>
      <x:c r="T124" t="str"/>
      <x:c r="U124" t="str"/>
    </x:row>
    <x:row r="125">
      <x:c r="A125" t="str">
        <x:v>Ángela Martín Pobo AIMPLAS (Externo)</x:v>
      </x:c>
      <x:c r="B125" t="str">
        <x:v>9/10/26, 11:15:44 AM</x:v>
      </x:c>
      <x:c r="C125" t="str">
        <x:v>9/10/26, 11:52:05 AM</x:v>
      </x:c>
      <x:c r="D125" t="str">
        <x:v>36 min 21s</x:v>
      </x:c>
      <x:c r="E125" t="str">
        <x:v>amartin@aimplas.es</x:v>
      </x:c>
      <x:c r="F125" t="str">
        <x:v>amartin@aimplas.es</x:v>
      </x:c>
      <x:c r="G125" t="str">
        <x:v>Asistente</x:v>
      </x:c>
      <x:c r="H125" t="str">
        <x:v>Ángela</x:v>
      </x:c>
      <x:c r="I125" t="str">
        <x:v>Martín Pobo</x:v>
      </x:c>
      <x:c r="J125" t="str">
        <x:v>amartin@aimplas.es</x:v>
      </x:c>
      <x:c r="K125" t="str">
        <x:v>9/09/26, 11:13:30 AM</x:v>
      </x:c>
      <x:c r="L125" t="str">
        <x:v>Registrado</x:v>
      </x:c>
      <x:c r="M125" t="str">
        <x:v>AIMPLAS</x:v>
      </x:c>
      <x:c r="N125" t="str">
        <x:v>España</x:v>
      </x:c>
      <x:c r="O125" t="str"/>
      <x:c r="P125" t="str"/>
      <x:c r="Q125" t="str"/>
      <x:c r="R125" t="str"/>
      <x:c r="S125" t="str"/>
      <x:c r="T125" t="str"/>
      <x:c r="U125" t="str"/>
    </x:row>
    <x:row r="126">
      <x:c r="A126" t="str">
        <x:v>Ana Clara Longo</x:v>
      </x:c>
      <x:c r="B126" t="str">
        <x:v>9/10/26, 11:19:00 AM</x:v>
      </x:c>
      <x:c r="C126" t="str">
        <x:v>9/10/26, 11:21:46 AM</x:v>
      </x:c>
      <x:c r="D126" t="str">
        <x:v>2 min 46s</x:v>
      </x:c>
      <x:c r="E126" t="str">
        <x:v>anaclara.longo@grupopenaflor.com.ar</x:v>
      </x:c>
      <x:c r="F126" t="str">
        <x:v>anaclara.longo@grupopenaflor.com.ar</x:v>
      </x:c>
      <x:c r="G126" t="str">
        <x:v>Asistente</x:v>
      </x:c>
      <x:c r="H126" t="str">
        <x:v>Ana Clara</x:v>
      </x:c>
      <x:c r="I126" t="str">
        <x:v>Longo</x:v>
      </x:c>
      <x:c r="J126" t="str">
        <x:v>anaclara.longo@grupopenaflor.com.ar</x:v>
      </x:c>
      <x:c r="K126" t="str">
        <x:v>9/09/26, 10:40:26 AM</x:v>
      </x:c>
      <x:c r="L126" t="str">
        <x:v>Registrado</x:v>
      </x:c>
      <x:c r="M126" t="str"/>
      <x:c r="N126" t="str"/>
      <x:c r="O126" t="str"/>
      <x:c r="P126" t="str"/>
      <x:c r="Q126" t="str"/>
      <x:c r="R126" t="str"/>
      <x:c r="S126" t="str"/>
      <x:c r="T126" t="str"/>
      <x:c r="U126" t="str"/>
    </x:row>
    <x:row r="127">
      <x:c r="A127" t="str">
        <x:v>Gonzalo Sabadin (No comprobado)</x:v>
      </x:c>
      <x:c r="B127" t="str">
        <x:v>9/10/26, 11:20:16 AM</x:v>
      </x:c>
      <x:c r="C127" t="str">
        <x:v>9/10/26, 11:32:29 AM</x:v>
      </x:c>
      <x:c r="D127" t="str">
        <x:v>12 min 12s</x:v>
      </x:c>
      <x:c r="E127" t="str"/>
      <x:c r="F127" t="str"/>
      <x:c r="G127" t="str">
        <x:v>Asistente</x:v>
      </x:c>
      <x:c r="H127" t="str">
        <x:v>MARIA JOSE</x:v>
      </x:c>
      <x:c r="I127" t="str">
        <x:v>PELEITAY PINTO</x:v>
      </x:c>
      <x:c r="J127" t="str">
        <x:v>mariajose@bodegafosterlorca.com</x:v>
      </x:c>
      <x:c r="K127" t="str">
        <x:v>9/09/26, 11:04:20 AM</x:v>
      </x:c>
      <x:c r="L127" t="str">
        <x:v>Registrado</x:v>
      </x:c>
      <x:c r="M127" t="str"/>
      <x:c r="N127" t="str"/>
      <x:c r="O127" t="str"/>
      <x:c r="P127" t="str"/>
      <x:c r="Q127" t="str"/>
      <x:c r="R127" t="str"/>
      <x:c r="S127" t="str"/>
      <x:c r="T127" t="str"/>
      <x:c r="U127" t="str"/>
    </x:row>
    <x:row r="128">
      <x:c r="A128" t="str">
        <x:v>Cassata Belen (Externo)</x:v>
      </x:c>
      <x:c r="B128" t="str">
        <x:v>9/10/26, 11:20:30 AM</x:v>
      </x:c>
      <x:c r="C128" t="str">
        <x:v>9/10/26, 11:52:11 AM</x:v>
      </x:c>
      <x:c r="D128" t="str">
        <x:v>31 min 40s</x:v>
      </x:c>
      <x:c r="E128" t="str">
        <x:v>cassatab@coopsve.com</x:v>
      </x:c>
      <x:c r="F128" t="str">
        <x:v>cassatab@fecovita.com</x:v>
      </x:c>
      <x:c r="G128" t="str">
        <x:v>Asistente</x:v>
      </x:c>
      <x:c r="H128" t="str">
        <x:v>MARÍA BELÉN</x:v>
      </x:c>
      <x:c r="I128" t="str">
        <x:v>CASSATA</x:v>
      </x:c>
      <x:c r="J128" t="str">
        <x:v>cassatab@coopsve.com</x:v>
      </x:c>
      <x:c r="K128" t="str">
        <x:v>9/09/26, 10:20:57 AM</x:v>
      </x:c>
      <x:c r="L128" t="str">
        <x:v>Registrado</x:v>
      </x:c>
      <x:c r="M128" t="str"/>
      <x:c r="N128" t="str"/>
      <x:c r="O128" t="str"/>
      <x:c r="P128" t="str"/>
      <x:c r="Q128" t="str"/>
      <x:c r="R128" t="str"/>
      <x:c r="S128" t="str"/>
      <x:c r="T128" t="str"/>
      <x:c r="U128" t="str"/>
    </x:row>
    <x:row r="129">
      <x:c r="A129" t="str">
        <x:v>PatriCia m</x:v>
      </x:c>
      <x:c r="B129" t="str">
        <x:v>9/10/26, 11:21:09 AM</x:v>
      </x:c>
      <x:c r="C129" t="str">
        <x:v>9/10/26, 11:52:39 AM</x:v>
      </x:c>
      <x:c r="D129" t="str">
        <x:v>31 min 30s</x:v>
      </x:c>
      <x:c r="E129" t="str"/>
      <x:c r="F129" t="str"/>
      <x:c r="G129" t="str">
        <x:v>Asistente</x:v>
      </x:c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</x:row>
    <x:row r="130">
      <x:c r="A130" t="str">
        <x:v>Josefina Ripani (Externo)</x:v>
      </x:c>
      <x:c r="B130" t="str">
        <x:v>9/10/26, 11:21:32 AM</x:v>
      </x:c>
      <x:c r="C130" t="str">
        <x:v>9/10/26, 11:36:44 AM</x:v>
      </x:c>
      <x:c r="D130" t="str">
        <x:v>15 min 11s</x:v>
      </x:c>
      <x:c r="E130" t="str">
        <x:v>josefina.ripani@bunge.com</x:v>
      </x:c>
      <x:c r="F130" t="str">
        <x:v>josefina.ripani@bunge.com</x:v>
      </x:c>
      <x:c r="G130" t="str">
        <x:v>Asistente</x:v>
      </x:c>
      <x:c r="H130" t="str">
        <x:v>Josefina</x:v>
      </x:c>
      <x:c r="I130" t="str">
        <x:v>Ripani</x:v>
      </x:c>
      <x:c r="J130" t="str">
        <x:v>josefina.ripani@bunge.com</x:v>
      </x:c>
      <x:c r="K130" t="str">
        <x:v>9/09/26, 3:55:15 PM</x:v>
      </x:c>
      <x:c r="L130" t="str">
        <x:v>Registrado</x:v>
      </x:c>
      <x:c r="M130" t="str">
        <x:v>Bunge</x:v>
      </x:c>
      <x:c r="N130" t="str">
        <x:v>Argentina</x:v>
      </x:c>
      <x:c r="O130" t="str"/>
      <x:c r="P130" t="str"/>
      <x:c r="Q130" t="str"/>
      <x:c r="R130" t="str"/>
      <x:c r="S130" t="str"/>
      <x:c r="T130" t="str"/>
      <x:c r="U130" t="str"/>
    </x:row>
    <x:row r="131">
      <x:c r="A131" t="str">
        <x:v>Nora Rubio</x:v>
      </x:c>
      <x:c r="B131" t="str">
        <x:v>9/10/26, 11:21:44 AM</x:v>
      </x:c>
      <x:c r="C131" t="str">
        <x:v>9/10/26, 11:51:25 AM</x:v>
      </x:c>
      <x:c r="D131" t="str">
        <x:v>28 min 31s</x:v>
      </x:c>
      <x:c r="E131" t="str">
        <x:v>nrubio@salentein.com</x:v>
      </x:c>
      <x:c r="F131" t="str">
        <x:v>nrubio@salentein.com</x:v>
      </x:c>
      <x:c r="G131" t="str">
        <x:v>Asistente</x:v>
      </x:c>
      <x:c r="H131" t="str">
        <x:v>Nora Beatriz</x:v>
      </x:c>
      <x:c r="I131" t="str">
        <x:v>Rubio</x:v>
      </x:c>
      <x:c r="J131" t="str">
        <x:v>nrubio@salentein.com</x:v>
      </x:c>
      <x:c r="K131" t="str">
        <x:v>9/09/26, 10:22:14 AM</x:v>
      </x:c>
      <x:c r="L131" t="str">
        <x:v>Registrado</x:v>
      </x:c>
      <x:c r="M131" t="str"/>
      <x:c r="N131" t="str"/>
      <x:c r="O131" t="str"/>
      <x:c r="P131" t="str"/>
      <x:c r="Q131" t="str"/>
      <x:c r="R131" t="str"/>
      <x:c r="S131" t="str"/>
      <x:c r="T131" t="str"/>
      <x:c r="U131" t="str"/>
    </x:row>
    <x:row r="132">
      <x:c r="A132" t="str">
        <x:v>Santiago Zuluaga</x:v>
      </x:c>
      <x:c r="B132" t="str">
        <x:v>9/10/26, 11:23:19 AM</x:v>
      </x:c>
      <x:c r="C132" t="str">
        <x:v>9/10/26, 11:33:30 AM</x:v>
      </x:c>
      <x:c r="D132" t="str">
        <x:v>10 min 11s</x:v>
      </x:c>
      <x:c r="E132" t="str">
        <x:v>santiago.zuluaga@grupobimbo.com</x:v>
      </x:c>
      <x:c r="F132" t="str">
        <x:v>santiago.zuluaga@grupobimbo.com</x:v>
      </x:c>
      <x:c r="G132" t="str">
        <x:v>Asistente</x:v>
      </x:c>
      <x:c r="H132" t="str"/>
      <x:c r="I132" t="str"/>
      <x:c r="J132" t="str"/>
      <x:c r="K132" t="str"/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</x:row>
    <x:row r="133">
      <x:c r="A133" t="str">
        <x:v>Adolfo Boll Morelli (OnePeterson)</x:v>
      </x:c>
      <x:c r="B133" t="str">
        <x:v>9/10/26, 11:24:11 AM</x:v>
      </x:c>
      <x:c r="C133" t="str">
        <x:v>9/10/26, 11:49:00 AM</x:v>
      </x:c>
      <x:c r="D133" t="str">
        <x:v>24 min 48s</x:v>
      </x:c>
      <x:c r="E133" t="str">
        <x:v>aboll@onepeterson.com</x:v>
      </x:c>
      <x:c r="F133" t="str">
        <x:v>aboll2@pcugroup.com</x:v>
      </x:c>
      <x:c r="G133" t="str">
        <x:v>Asistente</x:v>
      </x:c>
      <x:c r="H133" t="str">
        <x:v>Adolfo</x:v>
      </x:c>
      <x:c r="I133" t="str">
        <x:v>BOLL MORELLI</x:v>
      </x:c>
      <x:c r="J133" t="str">
        <x:v>aboll@onepeterson.com</x:v>
      </x:c>
      <x:c r="K133" t="str">
        <x:v>9/01/26, 9:13:41 AM</x:v>
      </x:c>
      <x:c r="L133" t="str">
        <x:v>Registrado</x:v>
      </x:c>
      <x:c r="M133" t="str">
        <x:v>Peterson Solutions </x:v>
      </x:c>
      <x:c r="N133" t="str">
        <x:v>Argentina</x:v>
      </x:c>
      <x:c r="O133" t="str"/>
      <x:c r="P133" t="str"/>
      <x:c r="Q133" t="str"/>
      <x:c r="R133" t="str"/>
      <x:c r="S133" t="str"/>
      <x:c r="T133" t="str"/>
      <x:c r="U133" t="str"/>
    </x:row>
    <x:row r="134">
      <x:c r="A134" t="str">
        <x:v>La Riojana Coop (No comprobado)</x:v>
      </x:c>
      <x:c r="B134" t="str">
        <x:v>9/10/26, 11:24:25 AM</x:v>
      </x:c>
      <x:c r="C134" t="str">
        <x:v>9/10/26, 11:49:24 AM</x:v>
      </x:c>
      <x:c r="D134" t="str">
        <x:v>24 min 59s</x:v>
      </x:c>
      <x:c r="E134" t="str"/>
      <x:c r="F134" t="str"/>
      <x:c r="G134" t="str">
        <x:v>Asistente</x:v>
      </x:c>
      <x:c r="H134" t="str">
        <x:v>Viviana</x:v>
      </x:c>
      <x:c r="I134" t="str">
        <x:v>Michel</x:v>
      </x:c>
      <x:c r="J134" t="str">
        <x:v>alejandravivianamichel17@gmail.com</x:v>
      </x:c>
      <x:c r="K134" t="str">
        <x:v>9/09/26, 10:23:05 AM</x:v>
      </x:c>
      <x:c r="L134" t="str">
        <x:v>Registrado</x:v>
      </x:c>
      <x:c r="M134" t="str"/>
      <x:c r="N134" t="str"/>
      <x:c r="O134" t="str"/>
      <x:c r="P134" t="str"/>
      <x:c r="Q134" t="str"/>
      <x:c r="R134" t="str"/>
      <x:c r="S134" t="str"/>
      <x:c r="T134" t="str"/>
      <x:c r="U134" t="str"/>
    </x:row>
    <x:row r="135">
      <x:c r="A135" t="str">
        <x:v>Lucila Rey Minervini</x:v>
      </x:c>
      <x:c r="B135" t="str">
        <x:v>9/10/26, 11:25:12 AM</x:v>
      </x:c>
      <x:c r="C135" t="str">
        <x:v>9/10/26, 11:43:36 AM</x:v>
      </x:c>
      <x:c r="D135" t="str">
        <x:v>18 min 23s</x:v>
      </x:c>
      <x:c r="E135" t="str">
        <x:v>lrey@controlunion.com</x:v>
      </x:c>
      <x:c r="F135" t="str">
        <x:v>lrey@pcugroup.com</x:v>
      </x:c>
      <x:c r="G135" t="str">
        <x:v>Asistente</x:v>
      </x:c>
      <x:c r="H135" t="str">
        <x:v>Lucila</x:v>
      </x:c>
      <x:c r="I135" t="str">
        <x:v>Rey Minervini</x:v>
      </x:c>
      <x:c r="J135" t="str">
        <x:v>lrey@controlunion.com</x:v>
      </x:c>
      <x:c r="K135" t="str">
        <x:v>9/10/26, 11:22:40 AM</x:v>
      </x:c>
      <x:c r="L135" t="str">
        <x:v>Registrado</x:v>
      </x:c>
      <x:c r="M135" t="str"/>
      <x:c r="N135" t="str"/>
      <x:c r="O135" t="str"/>
      <x:c r="P135" t="str"/>
      <x:c r="Q135" t="str"/>
      <x:c r="R135" t="str"/>
      <x:c r="S135" t="str"/>
      <x:c r="T135" t="str"/>
      <x:c r="U135" t="str"/>
    </x:row>
    <x:row r="136">
      <x:c r="A136" t="str">
        <x:v>CARLOS (No comprobado)</x:v>
      </x:c>
      <x:c r="B136" t="str">
        <x:v>9/10/26, 11:26:31 AM</x:v>
      </x:c>
      <x:c r="C136" t="str">
        <x:v>9/10/26, 11:48:57 AM</x:v>
      </x:c>
      <x:c r="D136" t="str">
        <x:v>22 min 26s</x:v>
      </x:c>
      <x:c r="E136" t="str"/>
      <x:c r="F136" t="str"/>
      <x:c r="G136" t="str">
        <x:v>Asistente</x:v>
      </x:c>
      <x:c r="H136" t="str">
        <x:v>Carlos</x:v>
      </x:c>
      <x:c r="I136" t="str">
        <x:v>Cabrera</x:v>
      </x:c>
      <x:c r="J136" t="str">
        <x:v>ccabrera@acpagro.com</x:v>
      </x:c>
      <x:c r="K136" t="str">
        <x:v>9/06/26, 9:23:02 PM</x:v>
      </x:c>
      <x:c r="L136" t="str">
        <x:v>Registrado</x:v>
      </x:c>
      <x:c r="M136" t="str">
        <x:v>Agricola Cerro Prieto SA</x:v>
      </x:c>
      <x:c r="N136" t="str">
        <x:v>Perú </x:v>
      </x:c>
      <x:c r="O136" t="str"/>
      <x:c r="P136" t="str"/>
      <x:c r="Q136" t="str"/>
      <x:c r="R136" t="str"/>
      <x:c r="S136" t="str"/>
      <x:c r="T136" t="str"/>
      <x:c r="U136" t="str"/>
    </x:row>
    <x:row r="137">
      <x:c r="A137" t="str">
        <x:v>Agostina (No comprobado)</x:v>
      </x:c>
      <x:c r="B137" t="str">
        <x:v>9/10/26, 11:27:55 AM</x:v>
      </x:c>
      <x:c r="C137" t="str">
        <x:v>9/10/26, 11:51:56 AM</x:v>
      </x:c>
      <x:c r="D137" t="str">
        <x:v>24 min 1s</x:v>
      </x:c>
      <x:c r="E137" t="str"/>
      <x:c r="F137" t="str"/>
      <x:c r="G137" t="str">
        <x:v>Asistente</x:v>
      </x:c>
      <x:c r="H137" t="str">
        <x:v>Agostina Daniela</x:v>
      </x:c>
      <x:c r="I137" t="str">
        <x:v>Guerrero</x:v>
      </x:c>
      <x:c r="J137" t="str">
        <x:v>agosdaguer.info@gmail.com</x:v>
      </x:c>
      <x:c r="K137" t="str">
        <x:v>9/09/26, 10:18:18 AM</x:v>
      </x:c>
      <x:c r="L137" t="str">
        <x:v>Registrado</x:v>
      </x:c>
      <x:c r="M137" t="str"/>
      <x:c r="N137" t="str"/>
      <x:c r="O137" t="str"/>
      <x:c r="P137" t="str"/>
      <x:c r="Q137" t="str"/>
      <x:c r="R137" t="str"/>
      <x:c r="S137" t="str"/>
      <x:c r="T137" t="str"/>
      <x:c r="U137" t="str"/>
    </x:row>
    <x:row r="138">
      <x:c r="A138" t="str">
        <x:v>Jaime Delor</x:v>
      </x:c>
      <x:c r="B138" t="str">
        <x:v>9/10/26, 11:31:13 AM</x:v>
      </x:c>
      <x:c r="C138" t="str">
        <x:v>9/10/26, 11:48:57 AM</x:v>
      </x:c>
      <x:c r="D138" t="str">
        <x:v>17 min 44s</x:v>
      </x:c>
      <x:c r="E138" t="str">
        <x:v>jdelor@onepeterson.com</x:v>
      </x:c>
      <x:c r="F138" t="str">
        <x:v>jdelor@pcugroup.com</x:v>
      </x:c>
      <x:c r="G138" t="str">
        <x:v>Asistente</x:v>
      </x:c>
      <x:c r="H138" t="str"/>
      <x:c r="I138" t="str"/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</x:row>
    <x:row r="139">
      <x:c r="A139" t="str">
        <x:v>María Paula Trejo Simonassi</x:v>
      </x:c>
      <x:c r="B139" t="str">
        <x:v>9/10/26, 11:33:55 AM</x:v>
      </x:c>
      <x:c r="C139" t="str">
        <x:v>9/10/26, 11:49:06 AM</x:v>
      </x:c>
      <x:c r="D139" t="str">
        <x:v>15 min 11s</x:v>
      </x:c>
      <x:c r="E139" t="str"/>
      <x:c r="F139" t="str"/>
      <x:c r="G139" t="str">
        <x:v>Asistente</x:v>
      </x:c>
      <x:c r="H139" t="str">
        <x:v>María Paula</x:v>
      </x:c>
      <x:c r="I139" t="str">
        <x:v>Trejo Simonassi</x:v>
      </x:c>
      <x:c r="J139" t="str">
        <x:v>mtrejosimonassi@gmail.com</x:v>
      </x:c>
      <x:c r="K139" t="str">
        <x:v>9/09/26, 10:46:12 AM</x:v>
      </x:c>
      <x:c r="L139" t="str">
        <x:v>Registrado</x:v>
      </x:c>
      <x:c r="M139" t="str"/>
      <x:c r="N139" t="str"/>
      <x:c r="O139" t="str"/>
      <x:c r="P139" t="str"/>
      <x:c r="Q139" t="str"/>
      <x:c r="R139" t="str"/>
      <x:c r="S139" t="str"/>
      <x:c r="T139" t="str"/>
      <x:c r="U139" t="str"/>
    </x:row>
    <x:row r="140">
      <x:c r="A140" t="str">
        <x:v>Daniel velasquez</x:v>
      </x:c>
      <x:c r="B140" t="str">
        <x:v>9/10/26, 11:34:04 AM</x:v>
      </x:c>
      <x:c r="C140" t="str">
        <x:v>9/10/26, 11:52:20 AM</x:v>
      </x:c>
      <x:c r="D140" t="str">
        <x:v>18 min 15s</x:v>
      </x:c>
      <x:c r="E140" t="str"/>
      <x:c r="F140" t="str"/>
      <x:c r="G140" t="str">
        <x:v>Asistente</x:v>
      </x:c>
      <x:c r="H140" t="str">
        <x:v>Daniel</x:v>
      </x:c>
      <x:c r="I140" t="str">
        <x:v>Velásquez</x:v>
      </x:c>
      <x:c r="J140" t="str">
        <x:v>contacto@bywine.com.ar</x:v>
      </x:c>
      <x:c r="K140" t="str">
        <x:v>9/09/26, 10:33:07 AM</x:v>
      </x:c>
      <x:c r="L140" t="str">
        <x:v>Registrado</x:v>
      </x:c>
      <x:c r="M140" t="str"/>
      <x:c r="N140" t="str"/>
      <x:c r="O140" t="str"/>
      <x:c r="P140" t="str"/>
      <x:c r="Q140" t="str"/>
      <x:c r="R140" t="str"/>
      <x:c r="S140" t="str"/>
      <x:c r="T140" t="str"/>
      <x:c r="U140" t="str"/>
    </x:row>
    <x:row r="141">
      <x:c r="A141" t="str">
        <x:v>viviana michel (No comprobado)</x:v>
      </x:c>
      <x:c r="B141" t="str">
        <x:v>9/10/26, 11:35:06 AM</x:v>
      </x:c>
      <x:c r="C141" t="str">
        <x:v>9/10/26, 11:52:46 AM</x:v>
      </x:c>
      <x:c r="D141" t="str">
        <x:v>17 min 39s</x:v>
      </x:c>
      <x:c r="E141" t="str"/>
      <x:c r="F141" t="str"/>
      <x:c r="G141" t="str">
        <x:v>Asistente</x:v>
      </x:c>
      <x:c r="H141" t="str"/>
      <x:c r="I141" t="str"/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</x:row>
    <x:row r="142">
      <x:c r="A142" t="str">
        <x:v>Daniel Gomez Jaramillo</x:v>
      </x:c>
      <x:c r="B142" t="str">
        <x:v>9/10/26, 11:35:59 AM</x:v>
      </x:c>
      <x:c r="C142" t="str">
        <x:v>9/10/26, 11:48:43 AM</x:v>
      </x:c>
      <x:c r="D142" t="str">
        <x:v>12 min 43s</x:v>
      </x:c>
      <x:c r="E142" t="str">
        <x:v>daniel.gomez@aris-mining.co</x:v>
      </x:c>
      <x:c r="F142" t="str">
        <x:v>daniel.gomez@aris-mining.co</x:v>
      </x:c>
      <x:c r="G142" t="str">
        <x:v>Asistente</x:v>
      </x:c>
      <x:c r="H142" t="str">
        <x:v>Daniel</x:v>
      </x:c>
      <x:c r="I142" t="str">
        <x:v>Gomez</x:v>
      </x:c>
      <x:c r="J142" t="str">
        <x:v>daniel.gomez@aris-mining.co</x:v>
      </x:c>
      <x:c r="K142" t="str">
        <x:v>9/10/26, 11:12:53 AM</x:v>
      </x:c>
      <x:c r="L142" t="str">
        <x:v>Registrado</x:v>
      </x:c>
      <x:c r="M142" t="str">
        <x:v>Aris Mining </x:v>
      </x:c>
      <x:c r="N142" t="str">
        <x:v>Colombia</x:v>
      </x:c>
      <x:c r="O142" t="str"/>
      <x:c r="P142" t="str"/>
      <x:c r="Q142" t="str"/>
      <x:c r="R142" t="str"/>
      <x:c r="S142" t="str"/>
      <x:c r="T142" t="str"/>
      <x:c r="U142" t="str"/>
    </x:row>
    <x:row r="143">
      <x:c r="A143" t="str">
        <x:v>Patricia Baldaccini (No comprobado)</x:v>
      </x:c>
      <x:c r="B143" t="str">
        <x:v>9/10/26, 11:46:08 AM</x:v>
      </x:c>
      <x:c r="C143" t="str">
        <x:v>9/10/26, 11:49:04 AM</x:v>
      </x:c>
      <x:c r="D143" t="str">
        <x:v>2 min 55s</x:v>
      </x:c>
      <x:c r="E143" t="str"/>
      <x:c r="F143" t="str"/>
      <x:c r="G143" t="str">
        <x:v>Asistente</x:v>
      </x:c>
      <x:c r="H143" t="str">
        <x:v>Patricia</x:v>
      </x:c>
      <x:c r="I143" t="str">
        <x:v>Baldaccini</x:v>
      </x:c>
      <x:c r="J143" t="str">
        <x:v>patricia.baldaccini@gmail.com</x:v>
      </x:c>
      <x:c r="K143" t="str">
        <x:v>9/09/26, 10:25:46 AM</x:v>
      </x:c>
      <x:c r="L143" t="str">
        <x:v>Registrado</x:v>
      </x:c>
      <x:c r="M143" t="str"/>
      <x:c r="N143" t="str"/>
      <x:c r="O143" t="str"/>
      <x:c r="P143" t="str"/>
      <x:c r="Q143" t="str"/>
      <x:c r="R143" t="str"/>
      <x:c r="S143" t="str"/>
      <x:c r="T143" t="str"/>
      <x:c r="U143" t="str"/>
    </x:row>
    <x:row r="144">
      <x:c r="A144" t="str"/>
      <x:c r="B144" t="str"/>
      <x:c r="C144" t="str"/>
      <x:c r="D144" t="str"/>
      <x:c r="E144" t="str"/>
      <x:c r="F144" t="str"/>
      <x:c r="G144" t="str"/>
      <x:c r="H144" t="str">
        <x:v>Melissa</x:v>
      </x:c>
      <x:c r="I144" t="str">
        <x:v>Mendez</x:v>
      </x:c>
      <x:c r="J144" t="str">
        <x:v>melissabeatrizm@gmail.com</x:v>
      </x:c>
      <x:c r="K144" t="str">
        <x:v>8/12/26, 2:03:43 PM</x:v>
      </x:c>
      <x:c r="L144" t="str">
        <x:v>Registrado</x:v>
      </x:c>
      <x:c r="M144" t="str">
        <x:v>Fundazúcar</x:v>
      </x:c>
      <x:c r="N144" t="str">
        <x:v>El Salvador</x:v>
      </x:c>
      <x:c r="O144" t="str"/>
      <x:c r="P144" t="str"/>
      <x:c r="Q144" t="str"/>
      <x:c r="R144" t="str"/>
      <x:c r="S144" t="str"/>
      <x:c r="T144" t="str"/>
      <x:c r="U144" t="str"/>
    </x:row>
    <x:row r="145">
      <x:c r="A145" t="str"/>
      <x:c r="B145" t="str"/>
      <x:c r="C145" t="str"/>
      <x:c r="D145" t="str"/>
      <x:c r="E145" t="str"/>
      <x:c r="F145" t="str"/>
      <x:c r="G145" t="str"/>
      <x:c r="H145" t="str">
        <x:v>Nadia</x:v>
      </x:c>
      <x:c r="I145" t="str">
        <x:v>Mazzeo</x:v>
      </x:c>
      <x:c r="J145" t="str">
        <x:v>nmazzeo@prosustentia.com</x:v>
      </x:c>
      <x:c r="K145" t="str">
        <x:v>8/12/26, 7:54:11 PM</x:v>
      </x:c>
      <x:c r="L145" t="str">
        <x:v>Registrado</x:v>
      </x:c>
      <x:c r="M145" t="str">
        <x:v>Prosustentia </x:v>
      </x:c>
      <x:c r="N145" t="str">
        <x:v>Argentina </x:v>
      </x:c>
      <x:c r="O145" t="str"/>
      <x:c r="P145" t="str"/>
      <x:c r="Q145" t="str"/>
      <x:c r="R145" t="str"/>
      <x:c r="S145" t="str"/>
      <x:c r="T145" t="str"/>
      <x:c r="U145" t="str"/>
    </x:row>
    <x:row r="146">
      <x:c r="A146" t="str"/>
      <x:c r="B146" t="str"/>
      <x:c r="C146" t="str"/>
      <x:c r="D146" t="str"/>
      <x:c r="E146" t="str"/>
      <x:c r="F146" t="str"/>
      <x:c r="G146" t="str"/>
      <x:c r="H146" t="str">
        <x:v>Josefina</x:v>
      </x:c>
      <x:c r="I146" t="str">
        <x:v>Bogaard</x:v>
      </x:c>
      <x:c r="J146" t="str">
        <x:v>jbogaard@prosustentia.com</x:v>
      </x:c>
      <x:c r="K146" t="str">
        <x:v>8/13/26, 9:00:34 AM</x:v>
      </x:c>
      <x:c r="L146" t="str">
        <x:v>Registrado</x:v>
      </x:c>
      <x:c r="M146" t="str">
        <x:v>ProSustentia</x:v>
      </x:c>
      <x:c r="N146" t="str">
        <x:v>Argentina</x:v>
      </x:c>
      <x:c r="O146" t="str"/>
      <x:c r="P146" t="str"/>
      <x:c r="Q146" t="str"/>
      <x:c r="R146" t="str"/>
      <x:c r="S146" t="str"/>
      <x:c r="T146" t="str"/>
      <x:c r="U146" t="str"/>
    </x:row>
    <x:row r="147">
      <x:c r="A147" t="str"/>
      <x:c r="B147" t="str"/>
      <x:c r="C147" t="str"/>
      <x:c r="D147" t="str"/>
      <x:c r="E147" t="str"/>
      <x:c r="F147" t="str"/>
      <x:c r="G147" t="str"/>
      <x:c r="H147" t="str">
        <x:v>Santiago</x:v>
      </x:c>
      <x:c r="I147" t="str">
        <x:v>Capote Saa</x:v>
      </x:c>
      <x:c r="J147" t="str">
        <x:v>juanpablo@qualabs.com</x:v>
      </x:c>
      <x:c r="K147" t="str">
        <x:v>8/13/26, 2:37:30 PM</x:v>
      </x:c>
      <x:c r="L147" t="str">
        <x:v>Registrado</x:v>
      </x:c>
      <x:c r="M147" t="str">
        <x:v>Qualabs </x:v>
      </x:c>
      <x:c r="N147" t="str">
        <x:v>Uruguay</x:v>
      </x:c>
      <x:c r="O147" t="str"/>
      <x:c r="P147" t="str"/>
      <x:c r="Q147" t="str"/>
      <x:c r="R147" t="str"/>
      <x:c r="S147" t="str"/>
      <x:c r="T147" t="str"/>
      <x:c r="U147" t="str"/>
    </x:row>
    <x:row r="148">
      <x:c r="A148" t="str"/>
      <x:c r="B148" t="str"/>
      <x:c r="C148" t="str"/>
      <x:c r="D148" t="str"/>
      <x:c r="E148" t="str"/>
      <x:c r="F148" t="str"/>
      <x:c r="G148" t="str"/>
      <x:c r="H148" t="str">
        <x:v>Cecilia</x:v>
      </x:c>
      <x:c r="I148" t="str">
        <x:v>Albanesi</x:v>
      </x:c>
      <x:c r="J148" t="str">
        <x:v>ceci.albanesi@gmail.com</x:v>
      </x:c>
      <x:c r="K148" t="str">
        <x:v>8/13/26, 8:30:03 PM</x:v>
      </x:c>
      <x:c r="L148" t="str">
        <x:v>Registrado</x:v>
      </x:c>
      <x:c r="M148" t="str">
        <x:v>freelance</x:v>
      </x:c>
      <x:c r="N148" t="str">
        <x:v>Argentina</x:v>
      </x:c>
      <x:c r="O148" t="str"/>
      <x:c r="P148" t="str"/>
      <x:c r="Q148" t="str"/>
      <x:c r="R148" t="str"/>
      <x:c r="S148" t="str"/>
      <x:c r="T148" t="str"/>
      <x:c r="U148" t="str"/>
    </x:row>
    <x:row r="149">
      <x:c r="A149" t="str"/>
      <x:c r="B149" t="str"/>
      <x:c r="C149" t="str"/>
      <x:c r="D149" t="str"/>
      <x:c r="E149" t="str"/>
      <x:c r="F149" t="str"/>
      <x:c r="G149" t="str"/>
      <x:c r="H149" t="str">
        <x:v>Camila</x:v>
      </x:c>
      <x:c r="I149" t="str">
        <x:v>Amigo</x:v>
      </x:c>
      <x:c r="J149" t="str">
        <x:v>camigo@agro.uba.ar</x:v>
      </x:c>
      <x:c r="K149" t="str">
        <x:v>8/14/26, 2:50:30 PM</x:v>
      </x:c>
      <x:c r="L149" t="str">
        <x:v>Registrado</x:v>
      </x:c>
      <x:c r="M149" t="str">
        <x:v>Peterson solutions</x:v>
      </x:c>
      <x:c r="N149" t="str">
        <x:v>Argentina</x:v>
      </x:c>
      <x:c r="O149" t="str"/>
      <x:c r="P149" t="str"/>
      <x:c r="Q149" t="str"/>
      <x:c r="R149" t="str"/>
      <x:c r="S149" t="str"/>
      <x:c r="T149" t="str"/>
      <x:c r="U149" t="str"/>
    </x:row>
    <x:row r="150">
      <x:c r="A150" t="str"/>
      <x:c r="B150" t="str"/>
      <x:c r="C150" t="str"/>
      <x:c r="D150" t="str"/>
      <x:c r="E150" t="str"/>
      <x:c r="F150" t="str"/>
      <x:c r="G150" t="str"/>
      <x:c r="H150" t="str">
        <x:v>David</x:v>
      </x:c>
      <x:c r="I150" t="str">
        <x:v>Erbojo</x:v>
      </x:c>
      <x:c r="J150" t="str">
        <x:v>david.erbojo@molinosagro.com.ar</x:v>
      </x:c>
      <x:c r="K150" t="str">
        <x:v>8/18/26, 10:05:58 AM</x:v>
      </x:c>
      <x:c r="L150" t="str">
        <x:v>Registrado</x:v>
      </x:c>
      <x:c r="M150" t="str">
        <x:v>Molinos Agro</x:v>
      </x:c>
      <x:c r="N150" t="str">
        <x:v>Argentina</x:v>
      </x:c>
      <x:c r="O150" t="str"/>
      <x:c r="P150" t="str"/>
      <x:c r="Q150" t="str"/>
      <x:c r="R150" t="str"/>
      <x:c r="S150" t="str"/>
      <x:c r="T150" t="str"/>
      <x:c r="U150" t="str"/>
    </x:row>
    <x:row r="151">
      <x:c r="A151" t="str"/>
      <x:c r="B151" t="str"/>
      <x:c r="C151" t="str"/>
      <x:c r="D151" t="str"/>
      <x:c r="E151" t="str"/>
      <x:c r="F151" t="str"/>
      <x:c r="G151" t="str"/>
      <x:c r="H151" t="str">
        <x:v>Julio</x:v>
      </x:c>
      <x:c r="I151" t="str">
        <x:v>Julio Peña</x:v>
      </x:c>
      <x:c r="J151" t="str">
        <x:v>jpena@domainebousquet.com</x:v>
      </x:c>
      <x:c r="K151" t="str">
        <x:v>8/18/26, 10:07:10 AM</x:v>
      </x:c>
      <x:c r="L151" t="str">
        <x:v>Registrado</x:v>
      </x:c>
      <x:c r="M151" t="str">
        <x:v>Domaine Bousquet S.A</x:v>
      </x:c>
      <x:c r="N151" t="str">
        <x:v>Argentina</x:v>
      </x:c>
      <x:c r="O151" t="str"/>
      <x:c r="P151" t="str"/>
      <x:c r="Q151" t="str"/>
      <x:c r="R151" t="str"/>
      <x:c r="S151" t="str"/>
      <x:c r="T151" t="str"/>
      <x:c r="U151" t="str"/>
    </x:row>
    <x:row r="152">
      <x:c r="A152" t="str"/>
      <x:c r="B152" t="str"/>
      <x:c r="C152" t="str"/>
      <x:c r="D152" t="str"/>
      <x:c r="E152" t="str"/>
      <x:c r="F152" t="str"/>
      <x:c r="G152" t="str"/>
      <x:c r="H152" t="str">
        <x:v>Marina</x:v>
      </x:c>
      <x:c r="I152" t="str">
        <x:v>Bidegain</x:v>
      </x:c>
      <x:c r="J152" t="str">
        <x:v>mbidegain@naturaljuice.com.ar</x:v>
      </x:c>
      <x:c r="K152" t="str">
        <x:v>8/18/26, 10:14:26 AM</x:v>
      </x:c>
      <x:c r="L152" t="str">
        <x:v>Registrado</x:v>
      </x:c>
      <x:c r="M152" t="str">
        <x:v>Natural Juice SA</x:v>
      </x:c>
      <x:c r="N152" t="str">
        <x:v>Argentina</x:v>
      </x:c>
      <x:c r="O152" t="str"/>
      <x:c r="P152" t="str"/>
      <x:c r="Q152" t="str"/>
      <x:c r="R152" t="str"/>
      <x:c r="S152" t="str"/>
      <x:c r="T152" t="str"/>
      <x:c r="U152" t="str"/>
    </x:row>
    <x:row r="153">
      <x:c r="A153" t="str"/>
      <x:c r="B153" t="str"/>
      <x:c r="C153" t="str"/>
      <x:c r="D153" t="str"/>
      <x:c r="E153" t="str"/>
      <x:c r="F153" t="str"/>
      <x:c r="G153" t="str"/>
      <x:c r="H153" t="str">
        <x:v>Adalberto</x:v>
      </x:c>
      <x:c r="I153" t="str">
        <x:v>Fratini</x:v>
      </x:c>
      <x:c r="J153" t="str">
        <x:v>afratini12@gmail.com</x:v>
      </x:c>
      <x:c r="K153" t="str">
        <x:v>8/18/26, 10:29:04 AM</x:v>
      </x:c>
      <x:c r="L153" t="str">
        <x:v>Registrado</x:v>
      </x:c>
      <x:c r="M153" t="str">
        <x:v>Ing. Agr.</x:v>
      </x:c>
      <x:c r="N153" t="str">
        <x:v>Argentina</x:v>
      </x:c>
      <x:c r="O153" t="str"/>
      <x:c r="P153" t="str"/>
      <x:c r="Q153" t="str"/>
      <x:c r="R153" t="str"/>
      <x:c r="S153" t="str"/>
      <x:c r="T153" t="str"/>
      <x:c r="U153" t="str"/>
    </x:row>
    <x:row r="154">
      <x:c r="A154" t="str"/>
      <x:c r="B154" t="str"/>
      <x:c r="C154" t="str"/>
      <x:c r="D154" t="str"/>
      <x:c r="E154" t="str"/>
      <x:c r="F154" t="str"/>
      <x:c r="G154" t="str"/>
      <x:c r="H154" t="str">
        <x:v>Cristian</x:v>
      </x:c>
      <x:c r="I154" t="str">
        <x:v>Nuñez</x:v>
      </x:c>
      <x:c r="J154" t="str">
        <x:v>cnunez@jugos-sa.com.ar</x:v>
      </x:c>
      <x:c r="K154" t="str">
        <x:v>8/18/26, 10:39:38 AM</x:v>
      </x:c>
      <x:c r="L154" t="str">
        <x:v>Registrado</x:v>
      </x:c>
      <x:c r="M154" t="str">
        <x:v>JUGOS SA</x:v>
      </x:c>
      <x:c r="N154" t="str">
        <x:v>Argentina</x:v>
      </x:c>
      <x:c r="O154" t="str"/>
      <x:c r="P154" t="str"/>
      <x:c r="Q154" t="str"/>
      <x:c r="R154" t="str"/>
      <x:c r="S154" t="str"/>
      <x:c r="T154" t="str"/>
      <x:c r="U154" t="str"/>
    </x:row>
    <x:row r="155">
      <x:c r="A155" t="str"/>
      <x:c r="B155" t="str"/>
      <x:c r="C155" t="str"/>
      <x:c r="D155" t="str"/>
      <x:c r="E155" t="str"/>
      <x:c r="F155" t="str"/>
      <x:c r="G155" t="str"/>
      <x:c r="H155" t="str">
        <x:v>Sandra</x:v>
      </x:c>
      <x:c r="I155" t="str">
        <x:v>Gorischnik</x:v>
      </x:c>
      <x:c r="J155" t="str">
        <x:v>sandra.gorischnik@gmail.com</x:v>
      </x:c>
      <x:c r="K155" t="str">
        <x:v>8/18/26, 11:21:25 AM</x:v>
      </x:c>
      <x:c r="L155" t="str">
        <x:v>Registrado</x:v>
      </x:c>
      <x:c r="M155" t="str">
        <x:v>Banco Bice</x:v>
      </x:c>
      <x:c r="N155" t="str">
        <x:v>Argentina</x:v>
      </x:c>
      <x:c r="O155" t="str"/>
      <x:c r="P155" t="str"/>
      <x:c r="Q155" t="str"/>
      <x:c r="R155" t="str"/>
      <x:c r="S155" t="str"/>
      <x:c r="T155" t="str"/>
      <x:c r="U155" t="str"/>
    </x:row>
    <x:row r="156">
      <x:c r="A156" t="str"/>
      <x:c r="B156" t="str"/>
      <x:c r="C156" t="str"/>
      <x:c r="D156" t="str"/>
      <x:c r="E156" t="str"/>
      <x:c r="F156" t="str"/>
      <x:c r="G156" t="str"/>
      <x:c r="H156" t="str">
        <x:v>Agostina</x:v>
      </x:c>
      <x:c r="I156" t="str">
        <x:v>Di Blassi</x:v>
      </x:c>
      <x:c r="J156" t="str">
        <x:v>abonino@domainebousquet.com</x:v>
      </x:c>
      <x:c r="K156" t="str">
        <x:v>8/18/26, 11:32:33 AM</x:v>
      </x:c>
      <x:c r="L156" t="str">
        <x:v>Registrado</x:v>
      </x:c>
      <x:c r="M156" t="str">
        <x:v>Domaine Bousquet</x:v>
      </x:c>
      <x:c r="N156" t="str">
        <x:v>Argentina</x:v>
      </x:c>
      <x:c r="O156" t="str"/>
      <x:c r="P156" t="str"/>
      <x:c r="Q156" t="str"/>
      <x:c r="R156" t="str"/>
      <x:c r="S156" t="str"/>
      <x:c r="T156" t="str"/>
      <x:c r="U156" t="str"/>
    </x:row>
    <x:row r="157">
      <x:c r="A157" t="str"/>
      <x:c r="B157" t="str"/>
      <x:c r="C157" t="str"/>
      <x:c r="D157" t="str"/>
      <x:c r="E157" t="str"/>
      <x:c r="F157" t="str"/>
      <x:c r="G157" t="str"/>
      <x:c r="H157" t="str">
        <x:v>Carolina</x:v>
      </x:c>
      <x:c r="I157" t="str">
        <x:v>Pasluosta</x:v>
      </x:c>
      <x:c r="J157" t="str">
        <x:v>pasluostac@olega.com.ar</x:v>
      </x:c>
      <x:c r="K157" t="str">
        <x:v>8/18/26, 12:15:50 PM</x:v>
      </x:c>
      <x:c r="L157" t="str">
        <x:v>Registrado</x:v>
      </x:c>
      <x:c r="M157" t="str">
        <x:v>Olega</x:v>
      </x:c>
      <x:c r="N157" t="str">
        <x:v>Argentina</x:v>
      </x:c>
      <x:c r="O157" t="str"/>
      <x:c r="P157" t="str"/>
      <x:c r="Q157" t="str"/>
      <x:c r="R157" t="str"/>
      <x:c r="S157" t="str"/>
      <x:c r="T157" t="str"/>
      <x:c r="U157" t="str"/>
    </x:row>
    <x:row r="158">
      <x:c r="A158" t="str"/>
      <x:c r="B158" t="str"/>
      <x:c r="C158" t="str"/>
      <x:c r="D158" t="str"/>
      <x:c r="E158" t="str"/>
      <x:c r="F158" t="str"/>
      <x:c r="G158" t="str"/>
      <x:c r="H158" t="str">
        <x:v>Soledad</x:v>
      </x:c>
      <x:c r="I158" t="str">
        <x:v>Ottonello</x:v>
      </x:c>
      <x:c r="J158" t="str">
        <x:v>rrhhcba@olega.com.ar</x:v>
      </x:c>
      <x:c r="K158" t="str">
        <x:v>8/18/26, 12:18:44 PM</x:v>
      </x:c>
      <x:c r="L158" t="str">
        <x:v>Registrado</x:v>
      </x:c>
      <x:c r="M158" t="str">
        <x:v>Olega SA</x:v>
      </x:c>
      <x:c r="N158" t="str">
        <x:v>Argentina</x:v>
      </x:c>
      <x:c r="O158" t="str"/>
      <x:c r="P158" t="str"/>
      <x:c r="Q158" t="str"/>
      <x:c r="R158" t="str"/>
      <x:c r="S158" t="str"/>
      <x:c r="T158" t="str"/>
      <x:c r="U158" t="str"/>
    </x:row>
    <x:row r="159">
      <x:c r="A159" t="str"/>
      <x:c r="B159" t="str"/>
      <x:c r="C159" t="str"/>
      <x:c r="D159" t="str"/>
      <x:c r="E159" t="str"/>
      <x:c r="F159" t="str"/>
      <x:c r="G159" t="str"/>
      <x:c r="H159" t="str">
        <x:v>DANIELA</x:v>
      </x:c>
      <x:c r="I159" t="str">
        <x:v>RAMSFELDER</x:v>
      </x:c>
      <x:c r="J159" t="str">
        <x:v>dramsfelder@gmail.com</x:v>
      </x:c>
      <x:c r="K159" t="str">
        <x:v>8/18/26, 12:34:33 PM</x:v>
      </x:c>
      <x:c r="L159" t="str">
        <x:v>Registrado</x:v>
      </x:c>
      <x:c r="M159" t="str">
        <x:v>OLEGA </x:v>
      </x:c>
      <x:c r="N159" t="str">
        <x:v>ARGENTINA</x:v>
      </x:c>
      <x:c r="O159" t="str"/>
      <x:c r="P159" t="str"/>
      <x:c r="Q159" t="str"/>
      <x:c r="R159" t="str"/>
      <x:c r="S159" t="str"/>
      <x:c r="T159" t="str"/>
      <x:c r="U159" t="str"/>
    </x:row>
    <x:row r="160">
      <x:c r="A160" t="str"/>
      <x:c r="B160" t="str"/>
      <x:c r="C160" t="str"/>
      <x:c r="D160" t="str"/>
      <x:c r="E160" t="str"/>
      <x:c r="F160" t="str"/>
      <x:c r="G160" t="str"/>
      <x:c r="H160" t="str">
        <x:v>Emilio</x:v>
      </x:c>
      <x:c r="I160" t="str">
        <x:v>Giugge</x:v>
      </x:c>
      <x:c r="J160" t="str">
        <x:v>oficinatecnica@olega.com.ar</x:v>
      </x:c>
      <x:c r="K160" t="str">
        <x:v>8/18/26, 12:48:02 PM</x:v>
      </x:c>
      <x:c r="L160" t="str">
        <x:v>Registrado</x:v>
      </x:c>
      <x:c r="M160" t="str">
        <x:v>Olega SA</x:v>
      </x:c>
      <x:c r="N160" t="str">
        <x:v>Argentina</x:v>
      </x:c>
      <x:c r="O160" t="str"/>
      <x:c r="P160" t="str"/>
      <x:c r="Q160" t="str"/>
      <x:c r="R160" t="str"/>
      <x:c r="S160" t="str"/>
      <x:c r="T160" t="str"/>
      <x:c r="U160" t="str"/>
    </x:row>
    <x:row r="161">
      <x:c r="A161" t="str"/>
      <x:c r="B161" t="str"/>
      <x:c r="C161" t="str"/>
      <x:c r="D161" t="str"/>
      <x:c r="E161" t="str"/>
      <x:c r="F161" t="str"/>
      <x:c r="G161" t="str"/>
      <x:c r="H161" t="str">
        <x:v>Maick Jose</x:v>
      </x:c>
      <x:c r="I161" t="str">
        <x:v>Gomez Camarena</x:v>
      </x:c>
      <x:c r="J161" t="str">
        <x:v>mgomez@cementosinka.com.pe</x:v>
      </x:c>
      <x:c r="K161" t="str">
        <x:v>8/18/26, 1:05:43 PM</x:v>
      </x:c>
      <x:c r="L161" t="str">
        <x:v>Registrado</x:v>
      </x:c>
      <x:c r="M161" t="str">
        <x:v>CCISA</x:v>
      </x:c>
      <x:c r="N161" t="str">
        <x:v>Perú</x:v>
      </x:c>
      <x:c r="O161" t="str"/>
      <x:c r="P161" t="str"/>
      <x:c r="Q161" t="str"/>
      <x:c r="R161" t="str"/>
      <x:c r="S161" t="str"/>
      <x:c r="T161" t="str"/>
      <x:c r="U161" t="str"/>
    </x:row>
    <x:row r="162">
      <x:c r="A162" t="str"/>
      <x:c r="B162" t="str"/>
      <x:c r="C162" t="str"/>
      <x:c r="D162" t="str"/>
      <x:c r="E162" t="str"/>
      <x:c r="F162" t="str"/>
      <x:c r="G162" t="str"/>
      <x:c r="H162" t="str">
        <x:v>Francisco</x:v>
      </x:c>
      <x:c r="I162" t="str">
        <x:v>Lomazzi</x:v>
      </x:c>
      <x:c r="J162" t="str">
        <x:v>franciscolomazzi@espartina.com.ar</x:v>
      </x:c>
      <x:c r="K162" t="str">
        <x:v>8/18/26, 2:46:56 PM</x:v>
      </x:c>
      <x:c r="L162" t="str">
        <x:v>Registrado</x:v>
      </x:c>
      <x:c r="M162" t="str">
        <x:v>Espartina S.A.</x:v>
      </x:c>
      <x:c r="N162" t="str">
        <x:v>Argentina</x:v>
      </x:c>
      <x:c r="O162" t="str"/>
      <x:c r="P162" t="str"/>
      <x:c r="Q162" t="str"/>
      <x:c r="R162" t="str"/>
      <x:c r="S162" t="str"/>
      <x:c r="T162" t="str"/>
      <x:c r="U162" t="str"/>
    </x:row>
    <x:row r="163">
      <x:c r="A163" t="str"/>
      <x:c r="B163" t="str"/>
      <x:c r="C163" t="str"/>
      <x:c r="D163" t="str"/>
      <x:c r="E163" t="str"/>
      <x:c r="F163" t="str"/>
      <x:c r="G163" t="str"/>
      <x:c r="H163" t="str">
        <x:v>Estefania</x:v>
      </x:c>
      <x:c r="I163" t="str">
        <x:v>Mahler</x:v>
      </x:c>
      <x:c r="J163" t="str">
        <x:v>estefaniam@novarchem.com.ar</x:v>
      </x:c>
      <x:c r="K163" t="str">
        <x:v>8/19/26, 12:46:42 PM</x:v>
      </x:c>
      <x:c r="L163" t="str">
        <x:v>Registrado</x:v>
      </x:c>
      <x:c r="M163" t="str">
        <x:v>NOVARCHEM SA</x:v>
      </x:c>
      <x:c r="N163" t="str">
        <x:v>Argentina</x:v>
      </x:c>
      <x:c r="O163" t="str"/>
      <x:c r="P163" t="str"/>
      <x:c r="Q163" t="str"/>
      <x:c r="R163" t="str"/>
      <x:c r="S163" t="str"/>
      <x:c r="T163" t="str"/>
      <x:c r="U163" t="str"/>
    </x:row>
    <x:row r="164">
      <x:c r="A164" t="str"/>
      <x:c r="B164" t="str"/>
      <x:c r="C164" t="str"/>
      <x:c r="D164" t="str"/>
      <x:c r="E164" t="str"/>
      <x:c r="F164" t="str"/>
      <x:c r="G164" t="str"/>
      <x:c r="H164" t="str">
        <x:v>SOFIA MARIA</x:v>
      </x:c>
      <x:c r="I164" t="str">
        <x:v>TINARI COTTER</x:v>
      </x:c>
      <x:c r="J164" t="str">
        <x:v>sofitinari@hotmail.com</x:v>
      </x:c>
      <x:c r="K164" t="str">
        <x:v>8/21/26, 10:46:19 AM</x:v>
      </x:c>
      <x:c r="L164" t="str">
        <x:v>Registrado</x:v>
      </x:c>
      <x:c r="M164" t="str">
        <x:v>31438717</x:v>
      </x:c>
      <x:c r="N164" t="str">
        <x:v>Argentina</x:v>
      </x:c>
      <x:c r="O164" t="str"/>
      <x:c r="P164" t="str"/>
      <x:c r="Q164" t="str"/>
      <x:c r="R164" t="str"/>
      <x:c r="S164" t="str"/>
      <x:c r="T164" t="str"/>
      <x:c r="U164" t="str"/>
    </x:row>
    <x:row r="165">
      <x:c r="A165" t="str"/>
      <x:c r="B165" t="str"/>
      <x:c r="C165" t="str"/>
      <x:c r="D165" t="str"/>
      <x:c r="E165" t="str"/>
      <x:c r="F165" t="str"/>
      <x:c r="G165" t="str"/>
      <x:c r="H165" t="str">
        <x:v>Victoria</x:v>
      </x:c>
      <x:c r="I165" t="str">
        <x:v>Guevara</x:v>
      </x:c>
      <x:c r="J165" t="str">
        <x:v>victoria.jgr@gmail.com</x:v>
      </x:c>
      <x:c r="K165" t="str">
        <x:v>8/21/26, 5:52:31 PM</x:v>
      </x:c>
      <x:c r="L165" t="str">
        <x:v>Registrado</x:v>
      </x:c>
      <x:c r="M165" t="str"/>
      <x:c r="N165" t="str">
        <x:v>Uruguay</x:v>
      </x:c>
      <x:c r="O165" t="str"/>
      <x:c r="P165" t="str"/>
      <x:c r="Q165" t="str"/>
      <x:c r="R165" t="str"/>
      <x:c r="S165" t="str"/>
      <x:c r="T165" t="str"/>
      <x:c r="U165" t="str"/>
    </x:row>
    <x:row r="166">
      <x:c r="A166" t="str"/>
      <x:c r="B166" t="str"/>
      <x:c r="C166" t="str"/>
      <x:c r="D166" t="str"/>
      <x:c r="E166" t="str"/>
      <x:c r="F166" t="str"/>
      <x:c r="G166" t="str"/>
      <x:c r="H166" t="str">
        <x:v>Maria José Martins</x:v>
      </x:c>
      <x:c r="I166" t="str">
        <x:v>Siva</x:v>
      </x:c>
      <x:c r="J166" t="str">
        <x:v>mariajose.silva@cotoncouleur.com</x:v>
      </x:c>
      <x:c r="K166" t="str">
        <x:v>8/21/26, 8:06:07 PM</x:v>
      </x:c>
      <x:c r="L166" t="str">
        <x:v>Registrado</x:v>
      </x:c>
      <x:c r="M166" t="str">
        <x:v>Coton Couleur - Empresa Têxtil, S.A.</x:v>
      </x:c>
      <x:c r="N166" t="str">
        <x:v>Portugal</x:v>
      </x:c>
      <x:c r="O166" t="str"/>
      <x:c r="P166" t="str"/>
      <x:c r="Q166" t="str"/>
      <x:c r="R166" t="str"/>
      <x:c r="S166" t="str"/>
      <x:c r="T166" t="str"/>
      <x:c r="U166" t="str"/>
    </x:row>
    <x:row r="167">
      <x:c r="A167" t="str"/>
      <x:c r="B167" t="str"/>
      <x:c r="C167" t="str"/>
      <x:c r="D167" t="str"/>
      <x:c r="E167" t="str"/>
      <x:c r="F167" t="str"/>
      <x:c r="G167" t="str"/>
      <x:c r="H167" t="str">
        <x:v>Justo</x:v>
      </x:c>
      <x:c r="I167" t="str">
        <x:v>Fernández Vidal</x:v>
      </x:c>
      <x:c r="J167" t="str">
        <x:v>justo.vidal@controlunion.com</x:v>
      </x:c>
      <x:c r="K167" t="str">
        <x:v>8/24/26, 9:34:00 AM</x:v>
      </x:c>
      <x:c r="L167" t="str">
        <x:v>Registrado</x:v>
      </x:c>
      <x:c r="M167" t="str">
        <x:v>Control Union </x:v>
      </x:c>
      <x:c r="N167" t="str">
        <x:v>Argentina</x:v>
      </x:c>
      <x:c r="O167" t="str"/>
      <x:c r="P167" t="str"/>
      <x:c r="Q167" t="str"/>
      <x:c r="R167" t="str"/>
      <x:c r="S167" t="str"/>
      <x:c r="T167" t="str"/>
      <x:c r="U167" t="str"/>
    </x:row>
    <x:row r="168">
      <x:c r="A168" t="str"/>
      <x:c r="B168" t="str"/>
      <x:c r="C168" t="str"/>
      <x:c r="D168" t="str"/>
      <x:c r="E168" t="str"/>
      <x:c r="F168" t="str"/>
      <x:c r="G168" t="str"/>
      <x:c r="H168" t="str">
        <x:v>Micaela</x:v>
      </x:c>
      <x:c r="I168" t="str">
        <x:v>Corrarello</x:v>
      </x:c>
      <x:c r="J168" t="str">
        <x:v>micaela.c@desitec.com.ar</x:v>
      </x:c>
      <x:c r="K168" t="str">
        <x:v>8/25/26, 10:22:45 AM</x:v>
      </x:c>
      <x:c r="L168" t="str">
        <x:v>Registrado</x:v>
      </x:c>
      <x:c r="M168" t="str">
        <x:v>Desitec S.A.</x:v>
      </x:c>
      <x:c r="N168" t="str">
        <x:v>Argentina</x:v>
      </x:c>
      <x:c r="O168" t="str"/>
      <x:c r="P168" t="str"/>
      <x:c r="Q168" t="str"/>
      <x:c r="R168" t="str"/>
      <x:c r="S168" t="str"/>
      <x:c r="T168" t="str"/>
      <x:c r="U168" t="str"/>
    </x:row>
    <x:row r="169">
      <x:c r="A169" t="str"/>
      <x:c r="B169" t="str"/>
      <x:c r="C169" t="str"/>
      <x:c r="D169" t="str"/>
      <x:c r="E169" t="str"/>
      <x:c r="F169" t="str"/>
      <x:c r="G169" t="str"/>
      <x:c r="H169" t="str">
        <x:v>fernando</x:v>
      </x:c>
      <x:c r="I169" t="str">
        <x:v>ALOMAR</x:v>
      </x:c>
      <x:c r="J169" t="str">
        <x:v>fernando_alomar@lapampeana.com.ar</x:v>
      </x:c>
      <x:c r="K169" t="str">
        <x:v>8/25/26, 11:06:45 AM</x:v>
      </x:c>
      <x:c r="L169" t="str">
        <x:v>Registrado</x:v>
      </x:c>
      <x:c r="M169" t="str">
        <x:v>TRANSPORTADORA LA PAMPEANA SA</x:v>
      </x:c>
      <x:c r="N169" t="str">
        <x:v>Argentina</x:v>
      </x:c>
      <x:c r="O169" t="str"/>
      <x:c r="P169" t="str"/>
      <x:c r="Q169" t="str"/>
      <x:c r="R169" t="str"/>
      <x:c r="S169" t="str"/>
      <x:c r="T169" t="str"/>
      <x:c r="U169" t="str"/>
    </x:row>
    <x:row r="170">
      <x:c r="A170" t="str"/>
      <x:c r="B170" t="str"/>
      <x:c r="C170" t="str"/>
      <x:c r="D170" t="str"/>
      <x:c r="E170" t="str"/>
      <x:c r="F170" t="str"/>
      <x:c r="G170" t="str"/>
      <x:c r="H170" t="str">
        <x:v>Carolina</x:v>
      </x:c>
      <x:c r="I170" t="str">
        <x:v>Oriolo</x:v>
      </x:c>
      <x:c r="J170" t="str">
        <x:v>carolinaoriolo@inagro.com.ar</x:v>
      </x:c>
      <x:c r="K170" t="str">
        <x:v>8/25/26, 12:11:03 PM</x:v>
      </x:c>
      <x:c r="L170" t="str">
        <x:v>Registrado</x:v>
      </x:c>
      <x:c r="M170" t="str">
        <x:v>Inagro Trading SA</x:v>
      </x:c>
      <x:c r="N170" t="str">
        <x:v>Argentina</x:v>
      </x:c>
      <x:c r="O170" t="str"/>
      <x:c r="P170" t="str"/>
      <x:c r="Q170" t="str"/>
      <x:c r="R170" t="str"/>
      <x:c r="S170" t="str"/>
      <x:c r="T170" t="str"/>
      <x:c r="U170" t="str"/>
    </x:row>
    <x:row r="171">
      <x:c r="A171" t="str"/>
      <x:c r="B171" t="str"/>
      <x:c r="C171" t="str"/>
      <x:c r="D171" t="str"/>
      <x:c r="E171" t="str"/>
      <x:c r="F171" t="str"/>
      <x:c r="G171" t="str"/>
      <x:c r="H171" t="str">
        <x:v>Martin Carlos</x:v>
      </x:c>
      <x:c r="I171" t="str">
        <x:v>Cambiano</x:v>
      </x:c>
      <x:c r="J171" t="str">
        <x:v>martincambiano@uca.edu.ar</x:v>
      </x:c>
      <x:c r="K171" t="str">
        <x:v>8/25/26, 1:41:25 PM</x:v>
      </x:c>
      <x:c r="L171" t="str">
        <x:v>Registrado</x:v>
      </x:c>
      <x:c r="M171" t="str">
        <x:v>ECO Logos</x:v>
      </x:c>
      <x:c r="N171" t="str">
        <x:v>Argentina</x:v>
      </x:c>
      <x:c r="O171" t="str"/>
      <x:c r="P171" t="str"/>
      <x:c r="Q171" t="str"/>
      <x:c r="R171" t="str"/>
      <x:c r="S171" t="str"/>
      <x:c r="T171" t="str"/>
      <x:c r="U171" t="str"/>
    </x:row>
    <x:row r="172">
      <x:c r="A172" t="str"/>
      <x:c r="B172" t="str"/>
      <x:c r="C172" t="str"/>
      <x:c r="D172" t="str"/>
      <x:c r="E172" t="str"/>
      <x:c r="F172" t="str"/>
      <x:c r="G172" t="str"/>
      <x:c r="H172" t="str">
        <x:v>Maria</x:v>
      </x:c>
      <x:c r="I172" t="str">
        <x:v>Gaitan</x:v>
      </x:c>
      <x:c r="J172" t="str">
        <x:v>mgaitan@onepeterson.com</x:v>
      </x:c>
      <x:c r="K172" t="str">
        <x:v>8/25/26, 2:30:56 PM</x:v>
      </x:c>
      <x:c r="L172" t="str">
        <x:v>Registrado</x:v>
      </x:c>
      <x:c r="M172" t="str">
        <x:v>Peterson Solutions</x:v>
      </x:c>
      <x:c r="N172" t="str">
        <x:v>Colombia</x:v>
      </x:c>
      <x:c r="O172" t="str"/>
      <x:c r="P172" t="str"/>
      <x:c r="Q172" t="str"/>
      <x:c r="R172" t="str"/>
      <x:c r="S172" t="str"/>
      <x:c r="T172" t="str"/>
      <x:c r="U172" t="str"/>
    </x:row>
    <x:row r="173">
      <x:c r="A173" t="str"/>
      <x:c r="B173" t="str"/>
      <x:c r="C173" t="str"/>
      <x:c r="D173" t="str"/>
      <x:c r="E173" t="str"/>
      <x:c r="F173" t="str"/>
      <x:c r="G173" t="str"/>
      <x:c r="H173" t="str">
        <x:v>Gimena Paola</x:v>
      </x:c>
      <x:c r="I173" t="str">
        <x:v>MEDINA</x:v>
      </x:c>
      <x:c r="J173" t="str">
        <x:v>gpmedina@tenaris.com</x:v>
      </x:c>
      <x:c r="K173" t="str">
        <x:v>8/25/26, 3:52:16 PM</x:v>
      </x:c>
      <x:c r="L173" t="str">
        <x:v>Registrado</x:v>
      </x:c>
      <x:c r="M173" t="str">
        <x:v>Tenaris</x:v>
      </x:c>
      <x:c r="N173" t="str">
        <x:v>Argentina</x:v>
      </x:c>
      <x:c r="O173" t="str"/>
      <x:c r="P173" t="str"/>
      <x:c r="Q173" t="str"/>
      <x:c r="R173" t="str"/>
      <x:c r="S173" t="str"/>
      <x:c r="T173" t="str"/>
      <x:c r="U173" t="str"/>
    </x:row>
    <x:row r="174">
      <x:c r="A174" t="str"/>
      <x:c r="B174" t="str"/>
      <x:c r="C174" t="str"/>
      <x:c r="D174" t="str"/>
      <x:c r="E174" t="str"/>
      <x:c r="F174" t="str"/>
      <x:c r="G174" t="str"/>
      <x:c r="H174" t="str">
        <x:v>Yony Alexander</x:v>
      </x:c>
      <x:c r="I174" t="str">
        <x:v>Zuluaga Betancur</x:v>
      </x:c>
      <x:c r="J174" t="str">
        <x:v>yony.zuluaga@aris-mining.co</x:v>
      </x:c>
      <x:c r="K174" t="str">
        <x:v>8/25/26, 4:17:14 PM</x:v>
      </x:c>
      <x:c r="L174" t="str">
        <x:v>Registrado</x:v>
      </x:c>
      <x:c r="M174" t="str">
        <x:v>Aris Mining</x:v>
      </x:c>
      <x:c r="N174" t="str">
        <x:v>Colombia</x:v>
      </x:c>
      <x:c r="O174" t="str"/>
      <x:c r="P174" t="str"/>
      <x:c r="Q174" t="str"/>
      <x:c r="R174" t="str"/>
      <x:c r="S174" t="str"/>
      <x:c r="T174" t="str"/>
      <x:c r="U174" t="str"/>
    </x:row>
    <x:row r="175">
      <x:c r="A175" t="str"/>
      <x:c r="B175" t="str"/>
      <x:c r="C175" t="str"/>
      <x:c r="D175" t="str"/>
      <x:c r="E175" t="str"/>
      <x:c r="F175" t="str"/>
      <x:c r="G175" t="str"/>
      <x:c r="H175" t="str">
        <x:v>Romina</x:v>
      </x:c>
      <x:c r="I175" t="str">
        <x:v>Seselovsky</x:v>
      </x:c>
      <x:c r="J175" t="str">
        <x:v>rominaseselovsky@hotmail.com</x:v>
      </x:c>
      <x:c r="K175" t="str">
        <x:v>8/26/26, 11:28:00 AM</x:v>
      </x:c>
      <x:c r="L175" t="str">
        <x:v>Registrado</x:v>
      </x:c>
      <x:c r="M175" t="str"/>
      <x:c r="N175" t="str"/>
      <x:c r="O175" t="str"/>
      <x:c r="P175" t="str"/>
      <x:c r="Q175" t="str"/>
      <x:c r="R175" t="str"/>
      <x:c r="S175" t="str"/>
      <x:c r="T175" t="str"/>
      <x:c r="U175" t="str"/>
    </x:row>
    <x:row r="176">
      <x:c r="A176" t="str"/>
      <x:c r="B176" t="str"/>
      <x:c r="C176" t="str"/>
      <x:c r="D176" t="str"/>
      <x:c r="E176" t="str"/>
      <x:c r="F176" t="str"/>
      <x:c r="G176" t="str"/>
      <x:c r="H176" t="str">
        <x:v>Gustavo</x:v>
      </x:c>
      <x:c r="I176" t="str">
        <x:v>Cardemil</x:v>
      </x:c>
      <x:c r="J176" t="str">
        <x:v>gcardemil@adelagro.cl</x:v>
      </x:c>
      <x:c r="K176" t="str">
        <x:v>8/29/26, 4:28:22 PM</x:v>
      </x:c>
      <x:c r="L176" t="str">
        <x:v>Registrado</x:v>
      </x:c>
      <x:c r="M176" t="str">
        <x:v>Asesorías del Agro GCA</x:v>
      </x:c>
      <x:c r="N176" t="str">
        <x:v>Chile</x:v>
      </x:c>
      <x:c r="O176" t="str"/>
      <x:c r="P176" t="str"/>
      <x:c r="Q176" t="str"/>
      <x:c r="R176" t="str"/>
      <x:c r="S176" t="str"/>
      <x:c r="T176" t="str"/>
      <x:c r="U176" t="str"/>
    </x:row>
    <x:row r="177">
      <x:c r="A177" t="str"/>
      <x:c r="B177" t="str"/>
      <x:c r="C177" t="str"/>
      <x:c r="D177" t="str"/>
      <x:c r="E177" t="str"/>
      <x:c r="F177" t="str"/>
      <x:c r="G177" t="str"/>
      <x:c r="H177" t="str">
        <x:v>Micaela</x:v>
      </x:c>
      <x:c r="I177" t="str">
        <x:v>Albornoz</x:v>
      </x:c>
      <x:c r="J177" t="str">
        <x:v>malbornoz@controlunion.com</x:v>
      </x:c>
      <x:c r="K177" t="str">
        <x:v>8/31/26, 10:42:25 AM</x:v>
      </x:c>
      <x:c r="L177" t="str">
        <x:v>Registrado</x:v>
      </x:c>
      <x:c r="M177" t="str">
        <x:v>Control Union</x:v>
      </x:c>
      <x:c r="N177" t="str">
        <x:v>Argentina</x:v>
      </x:c>
      <x:c r="O177" t="str"/>
      <x:c r="P177" t="str"/>
      <x:c r="Q177" t="str"/>
      <x:c r="R177" t="str"/>
      <x:c r="S177" t="str"/>
      <x:c r="T177" t="str"/>
      <x:c r="U177" t="str"/>
    </x:row>
    <x:row r="178">
      <x:c r="A178" t="str"/>
      <x:c r="B178" t="str"/>
      <x:c r="C178" t="str"/>
      <x:c r="D178" t="str"/>
      <x:c r="E178" t="str"/>
      <x:c r="F178" t="str"/>
      <x:c r="G178" t="str"/>
      <x:c r="H178" t="str">
        <x:v>Luis Fernando</x:v>
      </x:c>
      <x:c r="I178" t="str">
        <x:v>Pino</x:v>
      </x:c>
      <x:c r="J178" t="str">
        <x:v>lpino@ceyesa.com.pe</x:v>
      </x:c>
      <x:c r="K178" t="str">
        <x:v>9/01/26, 11:31:15 AM</x:v>
      </x:c>
      <x:c r="L178" t="str">
        <x:v>Registrado</x:v>
      </x:c>
      <x:c r="M178" t="str">
        <x:v>CEYESA</x:v>
      </x:c>
      <x:c r="N178" t="str">
        <x:v>Peru</x:v>
      </x:c>
      <x:c r="O178" t="str"/>
      <x:c r="P178" t="str"/>
      <x:c r="Q178" t="str"/>
      <x:c r="R178" t="str"/>
      <x:c r="S178" t="str"/>
      <x:c r="T178" t="str"/>
      <x:c r="U178" t="str"/>
    </x:row>
    <x:row r="179">
      <x:c r="A179" t="str"/>
      <x:c r="B179" t="str"/>
      <x:c r="C179" t="str"/>
      <x:c r="D179" t="str"/>
      <x:c r="E179" t="str"/>
      <x:c r="F179" t="str"/>
      <x:c r="G179" t="str"/>
      <x:c r="H179" t="str">
        <x:v>Carolina</x:v>
      </x:c>
      <x:c r="I179" t="str">
        <x:v>Henriquez</x:v>
      </x:c>
      <x:c r="J179" t="str">
        <x:v>chenriquez@spl.cl</x:v>
      </x:c>
      <x:c r="K179" t="str">
        <x:v>9/01/26, 5:25:52 PM</x:v>
      </x:c>
      <x:c r="L179" t="str">
        <x:v>Registrado</x:v>
      </x:c>
      <x:c r="M179" t="str">
        <x:v>Sociedad Punta de Lobos</x:v>
      </x:c>
      <x:c r="N179" t="str">
        <x:v>Chile</x:v>
      </x:c>
      <x:c r="O179" t="str"/>
      <x:c r="P179" t="str"/>
      <x:c r="Q179" t="str"/>
      <x:c r="R179" t="str"/>
      <x:c r="S179" t="str"/>
      <x:c r="T179" t="str"/>
      <x:c r="U179" t="str"/>
    </x:row>
    <x:row r="180">
      <x:c r="A180" t="str"/>
      <x:c r="B180" t="str"/>
      <x:c r="C180" t="str"/>
      <x:c r="D180" t="str"/>
      <x:c r="E180" t="str"/>
      <x:c r="F180" t="str"/>
      <x:c r="G180" t="str"/>
      <x:c r="H180" t="str">
        <x:v>Barbara</x:v>
      </x:c>
      <x:c r="I180" t="str">
        <x:v>Stern</x:v>
      </x:c>
      <x:c r="J180" t="str">
        <x:v>bcs2168@columbia.edu</x:v>
      </x:c>
      <x:c r="K180" t="str">
        <x:v>9/02/26, 9:10:22 AM</x:v>
      </x:c>
      <x:c r="L180" t="str">
        <x:v>Registrado</x:v>
      </x:c>
      <x:c r="M180" t="str"/>
      <x:c r="N180" t="str">
        <x:v>Argentina</x:v>
      </x:c>
      <x:c r="O180" t="str"/>
      <x:c r="P180" t="str"/>
      <x:c r="Q180" t="str"/>
      <x:c r="R180" t="str"/>
      <x:c r="S180" t="str"/>
      <x:c r="T180" t="str"/>
      <x:c r="U180" t="str"/>
    </x:row>
    <x:row r="181">
      <x:c r="A181" t="str"/>
      <x:c r="B181" t="str"/>
      <x:c r="C181" t="str"/>
      <x:c r="D181" t="str"/>
      <x:c r="E181" t="str"/>
      <x:c r="F181" t="str"/>
      <x:c r="G181" t="str"/>
      <x:c r="H181" t="str">
        <x:v>Larisa</x:v>
      </x:c>
      <x:c r="I181" t="str">
        <x:v>Burgos</x:v>
      </x:c>
      <x:c r="J181" t="str">
        <x:v>larisa.burgos@nutrisco.com</x:v>
      </x:c>
      <x:c r="K181" t="str">
        <x:v>9/02/26, 9:36:51 AM</x:v>
      </x:c>
      <x:c r="L181" t="str">
        <x:v>Registrado</x:v>
      </x:c>
      <x:c r="M181" t="str">
        <x:v>Orizon S.A.</x:v>
      </x:c>
      <x:c r="N181" t="str">
        <x:v>Chile</x:v>
      </x:c>
      <x:c r="O181" t="str"/>
      <x:c r="P181" t="str"/>
      <x:c r="Q181" t="str"/>
      <x:c r="R181" t="str"/>
      <x:c r="S181" t="str"/>
      <x:c r="T181" t="str"/>
      <x:c r="U181" t="str"/>
    </x:row>
    <x:row r="182">
      <x:c r="A182" t="str"/>
      <x:c r="B182" t="str"/>
      <x:c r="C182" t="str"/>
      <x:c r="D182" t="str"/>
      <x:c r="E182" t="str"/>
      <x:c r="F182" t="str"/>
      <x:c r="G182" t="str"/>
      <x:c r="H182" t="str">
        <x:v>Francisco</x:v>
      </x:c>
      <x:c r="I182" t="str">
        <x:v>Roger</x:v>
      </x:c>
      <x:c r="J182" t="str">
        <x:v>francisco.roger@nutrisco.com</x:v>
      </x:c>
      <x:c r="K182" t="str">
        <x:v>9/02/26, 9:40:47 AM</x:v>
      </x:c>
      <x:c r="L182" t="str">
        <x:v>Registrado</x:v>
      </x:c>
      <x:c r="M182" t="str">
        <x:v>Nutrisco</x:v>
      </x:c>
      <x:c r="N182" t="str">
        <x:v>Chile</x:v>
      </x:c>
      <x:c r="O182" t="str"/>
      <x:c r="P182" t="str"/>
      <x:c r="Q182" t="str"/>
      <x:c r="R182" t="str"/>
      <x:c r="S182" t="str"/>
      <x:c r="T182" t="str"/>
      <x:c r="U182" t="str"/>
    </x:row>
    <x:row r="183">
      <x:c r="A183" t="str"/>
      <x:c r="B183" t="str"/>
      <x:c r="C183" t="str"/>
      <x:c r="D183" t="str"/>
      <x:c r="E183" t="str"/>
      <x:c r="F183" t="str"/>
      <x:c r="G183" t="str"/>
      <x:c r="H183" t="str">
        <x:v>Carolina</x:v>
      </x:c>
      <x:c r="I183" t="str">
        <x:v>Nemeth</x:v>
      </x:c>
      <x:c r="J183" t="str">
        <x:v>carolina.nemeth@nutrisco.com</x:v>
      </x:c>
      <x:c r="K183" t="str">
        <x:v>9/02/26, 9:40:48 AM</x:v>
      </x:c>
      <x:c r="L183" t="str">
        <x:v>Registrado</x:v>
      </x:c>
      <x:c r="M183" t="str">
        <x:v>Nutrisco</x:v>
      </x:c>
      <x:c r="N183" t="str">
        <x:v>Bio Bio, Chile </x:v>
      </x:c>
      <x:c r="O183" t="str"/>
      <x:c r="P183" t="str"/>
      <x:c r="Q183" t="str"/>
      <x:c r="R183" t="str"/>
      <x:c r="S183" t="str"/>
      <x:c r="T183" t="str"/>
      <x:c r="U183" t="str"/>
    </x:row>
    <x:row r="184">
      <x:c r="A184" t="str"/>
      <x:c r="B184" t="str"/>
      <x:c r="C184" t="str"/>
      <x:c r="D184" t="str"/>
      <x:c r="E184" t="str"/>
      <x:c r="F184" t="str"/>
      <x:c r="G184" t="str"/>
      <x:c r="H184" t="str">
        <x:v>Marco</x:v>
      </x:c>
      <x:c r="I184" t="str">
        <x:v>Peña</x:v>
      </x:c>
      <x:c r="J184" t="str">
        <x:v>marco.pena@nutrisco.com</x:v>
      </x:c>
      <x:c r="K184" t="str">
        <x:v>9/02/26, 10:21:32 AM</x:v>
      </x:c>
      <x:c r="L184" t="str">
        <x:v>Registrado</x:v>
      </x:c>
      <x:c r="M184" t="str">
        <x:v>Orizon S.A.</x:v>
      </x:c>
      <x:c r="N184" t="str">
        <x:v>Chile</x:v>
      </x:c>
      <x:c r="O184" t="str"/>
      <x:c r="P184" t="str"/>
      <x:c r="Q184" t="str"/>
      <x:c r="R184" t="str"/>
      <x:c r="S184" t="str"/>
      <x:c r="T184" t="str"/>
      <x:c r="U184" t="str"/>
    </x:row>
    <x:row r="185">
      <x:c r="A185" t="str"/>
      <x:c r="B185" t="str"/>
      <x:c r="C185" t="str"/>
      <x:c r="D185" t="str"/>
      <x:c r="E185" t="str"/>
      <x:c r="F185" t="str"/>
      <x:c r="G185" t="str"/>
      <x:c r="H185" t="str">
        <x:v>Gisselle</x:v>
      </x:c>
      <x:c r="I185" t="str">
        <x:v>Carrasco</x:v>
      </x:c>
      <x:c r="J185" t="str">
        <x:v>gisselle.carrasco@nutrisco.com</x:v>
      </x:c>
      <x:c r="K185" t="str">
        <x:v>9/02/26, 10:23:23 AM</x:v>
      </x:c>
      <x:c r="L185" t="str">
        <x:v>Registrado</x:v>
      </x:c>
      <x:c r="M185" t="str">
        <x:v>Orizon</x:v>
      </x:c>
      <x:c r="N185" t="str">
        <x:v>Chile</x:v>
      </x:c>
      <x:c r="O185" t="str"/>
      <x:c r="P185" t="str"/>
      <x:c r="Q185" t="str"/>
      <x:c r="R185" t="str"/>
      <x:c r="S185" t="str"/>
      <x:c r="T185" t="str"/>
      <x:c r="U185" t="str"/>
    </x:row>
    <x:row r="186">
      <x:c r="A186" t="str"/>
      <x:c r="B186" t="str"/>
      <x:c r="C186" t="str"/>
      <x:c r="D186" t="str"/>
      <x:c r="E186" t="str"/>
      <x:c r="F186" t="str"/>
      <x:c r="G186" t="str"/>
      <x:c r="H186" t="str">
        <x:v>Alvaro</x:v>
      </x:c>
      <x:c r="I186" t="str">
        <x:v>Gaillour</x:v>
      </x:c>
      <x:c r="J186" t="str">
        <x:v>agaillour95@gmail.com</x:v>
      </x:c>
      <x:c r="K186" t="str">
        <x:v>9/02/26, 2:48:00 PM</x:v>
      </x:c>
      <x:c r="L186" t="str">
        <x:v>Registrado</x:v>
      </x:c>
      <x:c r="M186" t="str"/>
      <x:c r="N186" t="str">
        <x:v>Perú/LAC</x:v>
      </x:c>
      <x:c r="O186" t="str"/>
      <x:c r="P186" t="str"/>
      <x:c r="Q186" t="str"/>
      <x:c r="R186" t="str"/>
      <x:c r="S186" t="str"/>
      <x:c r="T186" t="str"/>
      <x:c r="U186" t="str"/>
    </x:row>
    <x:row r="187">
      <x:c r="A187" t="str"/>
      <x:c r="B187" t="str"/>
      <x:c r="C187" t="str"/>
      <x:c r="D187" t="str"/>
      <x:c r="E187" t="str"/>
      <x:c r="F187" t="str"/>
      <x:c r="G187" t="str"/>
      <x:c r="H187" t="str">
        <x:v>Macarena</x:v>
      </x:c>
      <x:c r="I187" t="str">
        <x:v>Mo</x:v>
      </x:c>
      <x:c r="J187" t="str">
        <x:v>macarenamo.u@gmail.com</x:v>
      </x:c>
      <x:c r="K187" t="str">
        <x:v>9/02/26, 7:31:00 PM</x:v>
      </x:c>
      <x:c r="L187" t="str">
        <x:v>Registrado</x:v>
      </x:c>
      <x:c r="M187" t="str">
        <x:v>Consultora</x:v>
      </x:c>
      <x:c r="N187" t="str">
        <x:v>Uruguay</x:v>
      </x:c>
      <x:c r="O187" t="str"/>
      <x:c r="P187" t="str"/>
      <x:c r="Q187" t="str"/>
      <x:c r="R187" t="str"/>
      <x:c r="S187" t="str"/>
      <x:c r="T187" t="str"/>
      <x:c r="U187" t="str"/>
    </x:row>
    <x:row r="188">
      <x:c r="A188" t="str"/>
      <x:c r="B188" t="str"/>
      <x:c r="C188" t="str"/>
      <x:c r="D188" t="str"/>
      <x:c r="E188" t="str"/>
      <x:c r="F188" t="str"/>
      <x:c r="G188" t="str"/>
      <x:c r="H188" t="str">
        <x:v>MIRIAM</x:v>
      </x:c>
      <x:c r="I188" t="str">
        <x:v>NAVARRO FERNANDEZ</x:v>
      </x:c>
      <x:c r="J188" t="str">
        <x:v>miriam.navarro@grupobimbo.com</x:v>
      </x:c>
      <x:c r="K188" t="str">
        <x:v>9/02/26, 8:11:25 PM</x:v>
      </x:c>
      <x:c r="L188" t="str">
        <x:v>Registrado</x:v>
      </x:c>
      <x:c r="M188" t="str">
        <x:v>Grupo Bimbo</x:v>
      </x:c>
      <x:c r="N188" t="str">
        <x:v>México</x:v>
      </x:c>
      <x:c r="O188" t="str"/>
      <x:c r="P188" t="str"/>
      <x:c r="Q188" t="str"/>
      <x:c r="R188" t="str"/>
      <x:c r="S188" t="str"/>
      <x:c r="T188" t="str"/>
      <x:c r="U188" t="str"/>
    </x:row>
    <x:row r="189">
      <x:c r="A189" t="str"/>
      <x:c r="B189" t="str"/>
      <x:c r="C189" t="str"/>
      <x:c r="D189" t="str"/>
      <x:c r="E189" t="str"/>
      <x:c r="F189" t="str"/>
      <x:c r="G189" t="str"/>
      <x:c r="H189" t="str">
        <x:v>LAURIE FABIENNE MICHELLE</x:v>
      </x:c>
      <x:c r="I189" t="str">
        <x:v>CHEOUX</x:v>
      </x:c>
      <x:c r="J189" t="str">
        <x:v>laurie.cheoux@grupobimbo.com</x:v>
      </x:c>
      <x:c r="K189" t="str">
        <x:v>9/03/26, 7:36:55 AM</x:v>
      </x:c>
      <x:c r="L189" t="str">
        <x:v>Registrado</x:v>
      </x:c>
      <x:c r="M189" t="str">
        <x:v>bimboq QSR</x:v>
      </x:c>
      <x:c r="N189" t="str">
        <x:v>España</x:v>
      </x:c>
      <x:c r="O189" t="str"/>
      <x:c r="P189" t="str"/>
      <x:c r="Q189" t="str"/>
      <x:c r="R189" t="str"/>
      <x:c r="S189" t="str"/>
      <x:c r="T189" t="str"/>
      <x:c r="U189" t="str"/>
    </x:row>
    <x:row r="190">
      <x:c r="A190" t="str"/>
      <x:c r="B190" t="str"/>
      <x:c r="C190" t="str"/>
      <x:c r="D190" t="str"/>
      <x:c r="E190" t="str"/>
      <x:c r="F190" t="str"/>
      <x:c r="G190" t="str"/>
      <x:c r="H190" t="str">
        <x:v>YAEL</x:v>
      </x:c>
      <x:c r="I190" t="str">
        <x:v>RIVERA QUIROZ</x:v>
      </x:c>
      <x:c r="J190" t="str">
        <x:v>yael.rivera@grupobimbo.com</x:v>
      </x:c>
      <x:c r="K190" t="str">
        <x:v>9/03/26, 4:47:52 PM</x:v>
      </x:c>
      <x:c r="L190" t="str">
        <x:v>Registrado</x:v>
      </x:c>
      <x:c r="M190" t="str">
        <x:v>Grupo Bimbo</x:v>
      </x:c>
      <x:c r="N190" t="str">
        <x:v>México</x:v>
      </x:c>
      <x:c r="O190" t="str"/>
      <x:c r="P190" t="str"/>
      <x:c r="Q190" t="str"/>
      <x:c r="R190" t="str"/>
      <x:c r="S190" t="str"/>
      <x:c r="T190" t="str"/>
      <x:c r="U190" t="str"/>
    </x:row>
    <x:row r="191">
      <x:c r="A191" t="str"/>
      <x:c r="B191" t="str"/>
      <x:c r="C191" t="str"/>
      <x:c r="D191" t="str"/>
      <x:c r="E191" t="str"/>
      <x:c r="F191" t="str"/>
      <x:c r="G191" t="str"/>
      <x:c r="H191" t="str">
        <x:v>SANTIAGO XAVIER</x:v>
      </x:c>
      <x:c r="I191" t="str">
        <x:v>ZULUAGA NOINDICAOTRO</x:v>
      </x:c>
      <x:c r="J191" t="str">
        <x:v>santiago.zuluaga@grupobimbo.com</x:v>
      </x:c>
      <x:c r="K191" t="str">
        <x:v>9/03/26, 5:52:01 PM</x:v>
      </x:c>
      <x:c r="L191" t="str">
        <x:v>Registrado</x:v>
      </x:c>
      <x:c r="M191" t="str">
        <x:v>GRUPO BIMBO</x:v>
      </x:c>
      <x:c r="N191" t="str">
        <x:v>GLOBAL</x:v>
      </x:c>
      <x:c r="O191" t="str"/>
      <x:c r="P191" t="str"/>
      <x:c r="Q191" t="str"/>
      <x:c r="R191" t="str"/>
      <x:c r="S191" t="str"/>
      <x:c r="T191" t="str"/>
      <x:c r="U191" t="str"/>
    </x:row>
    <x:row r="192">
      <x:c r="A192" t="str"/>
      <x:c r="B192" t="str"/>
      <x:c r="C192" t="str"/>
      <x:c r="D192" t="str"/>
      <x:c r="E192" t="str"/>
      <x:c r="F192" t="str"/>
      <x:c r="G192" t="str"/>
      <x:c r="H192" t="str">
        <x:v>Cecilia</x:v>
      </x:c>
      <x:c r="I192" t="str">
        <x:v>Acuña</x:v>
      </x:c>
      <x:c r="J192" t="str">
        <x:v>cacuna@iadb.org</x:v>
      </x:c>
      <x:c r="K192" t="str">
        <x:v>9/04/26, 12:31:20 PM</x:v>
      </x:c>
      <x:c r="L192" t="str">
        <x:v>Registrado</x:v>
      </x:c>
      <x:c r="M192" t="str">
        <x:v>Bid invest</x:v>
      </x:c>
      <x:c r="N192" t="str">
        <x:v>Argentina</x:v>
      </x:c>
      <x:c r="O192" t="str"/>
      <x:c r="P192" t="str"/>
      <x:c r="Q192" t="str"/>
      <x:c r="R192" t="str"/>
      <x:c r="S192" t="str"/>
      <x:c r="T192" t="str"/>
      <x:c r="U192" t="str"/>
    </x:row>
    <x:row r="193">
      <x:c r="A193" t="str"/>
      <x:c r="B193" t="str"/>
      <x:c r="C193" t="str"/>
      <x:c r="D193" t="str"/>
      <x:c r="E193" t="str"/>
      <x:c r="F193" t="str"/>
      <x:c r="G193" t="str"/>
      <x:c r="H193" t="str">
        <x:v>Micaela</x:v>
      </x:c>
      <x:c r="I193" t="str">
        <x:v>Balbi</x:v>
      </x:c>
      <x:c r="J193" t="str">
        <x:v>micaela.balbi@hotmail.com</x:v>
      </x:c>
      <x:c r="K193" t="str">
        <x:v>9/09/26, 9:39:11 AM</x:v>
      </x:c>
      <x:c r="L193" t="str">
        <x:v>Registrado</x:v>
      </x:c>
      <x:c r="M193" t="str">
        <x:v>Wines of Argentina</x:v>
      </x:c>
      <x:c r="N193" t="str">
        <x:v>Argentina</x:v>
      </x:c>
      <x:c r="O193" t="str"/>
      <x:c r="P193" t="str"/>
      <x:c r="Q193" t="str"/>
      <x:c r="R193" t="str"/>
      <x:c r="S193" t="str"/>
      <x:c r="T193" t="str"/>
      <x:c r="U193" t="str"/>
    </x:row>
    <x:row r="194">
      <x:c r="A194" t="str"/>
      <x:c r="B194" t="str"/>
      <x:c r="C194" t="str"/>
      <x:c r="D194" t="str"/>
      <x:c r="E194" t="str"/>
      <x:c r="F194" t="str"/>
      <x:c r="G194" t="str"/>
      <x:c r="H194" t="str">
        <x:v>MARIA CECILIA</x:v>
      </x:c>
      <x:c r="I194" t="str">
        <x:v>NIEVAS</x:v>
      </x:c>
      <x:c r="J194" t="str">
        <x:v>cnievas@familiaschroeder.com</x:v>
      </x:c>
      <x:c r="K194" t="str">
        <x:v>9/09/26, 10:12:57 AM</x:v>
      </x:c>
      <x:c r="L194" t="str">
        <x:v>Registrado</x:v>
      </x:c>
      <x:c r="M194" t="str">
        <x:v>MARIA Y ADELINA S.A.</x:v>
      </x:c>
      <x:c r="N194" t="str">
        <x:v>Argentina</x:v>
      </x:c>
      <x:c r="O194" t="str"/>
      <x:c r="P194" t="str"/>
      <x:c r="Q194" t="str"/>
      <x:c r="R194" t="str"/>
      <x:c r="S194" t="str"/>
      <x:c r="T194" t="str"/>
      <x:c r="U194" t="str"/>
    </x:row>
    <x:row r="195">
      <x:c r="A195" t="str"/>
      <x:c r="B195" t="str"/>
      <x:c r="C195" t="str"/>
      <x:c r="D195" t="str"/>
      <x:c r="E195" t="str"/>
      <x:c r="F195" t="str"/>
      <x:c r="G195" t="str"/>
      <x:c r="H195" t="str">
        <x:v>Leandro</x:v>
      </x:c>
      <x:c r="I195" t="str">
        <x:v>Bastias</x:v>
      </x:c>
      <x:c r="J195" t="str">
        <x:v>lbastias@budeguer.com</x:v>
      </x:c>
      <x:c r="K195" t="str">
        <x:v>9/09/26, 10:13:30 AM</x:v>
      </x:c>
      <x:c r="L195" t="str">
        <x:v>Registrado</x:v>
      </x:c>
      <x:c r="M195" t="str">
        <x:v>Bodegas Budeguer S.A.</x:v>
      </x:c>
      <x:c r="N195" t="str">
        <x:v>Argentina</x:v>
      </x:c>
      <x:c r="O195" t="str"/>
      <x:c r="P195" t="str"/>
      <x:c r="Q195" t="str"/>
      <x:c r="R195" t="str"/>
      <x:c r="S195" t="str"/>
      <x:c r="T195" t="str"/>
      <x:c r="U195" t="str"/>
    </x:row>
    <x:row r="196">
      <x:c r="A196" t="str"/>
      <x:c r="B196" t="str"/>
      <x:c r="C196" t="str"/>
      <x:c r="D196" t="str"/>
      <x:c r="E196" t="str"/>
      <x:c r="F196" t="str"/>
      <x:c r="G196" t="str"/>
      <x:c r="H196" t="str">
        <x:v>María Sofía</x:v>
      </x:c>
      <x:c r="I196" t="str">
        <x:v>López Taguada</x:v>
      </x:c>
      <x:c r="J196" t="str">
        <x:v>sofialopez@vinacobos.com</x:v>
      </x:c>
      <x:c r="K196" t="str">
        <x:v>9/09/26, 10:14:39 AM</x:v>
      </x:c>
      <x:c r="L196" t="str">
        <x:v>Registrado</x:v>
      </x:c>
      <x:c r="M196" t="str">
        <x:v>Viña Cobos SA</x:v>
      </x:c>
      <x:c r="N196" t="str">
        <x:v>Argentina</x:v>
      </x:c>
      <x:c r="O196" t="str"/>
      <x:c r="P196" t="str"/>
      <x:c r="Q196" t="str"/>
      <x:c r="R196" t="str"/>
      <x:c r="S196" t="str"/>
      <x:c r="T196" t="str"/>
      <x:c r="U196" t="str"/>
    </x:row>
    <x:row r="197">
      <x:c r="A197" t="str"/>
      <x:c r="B197" t="str"/>
      <x:c r="C197" t="str"/>
      <x:c r="D197" t="str"/>
      <x:c r="E197" t="str"/>
      <x:c r="F197" t="str"/>
      <x:c r="G197" t="str"/>
      <x:c r="H197" t="str">
        <x:v>ALEJANDRA</x:v>
      </x:c>
      <x:c r="I197" t="str">
        <x:v>GIMENEZ</x:v>
      </x:c>
      <x:c r="J197" t="str">
        <x:v>alejandra.gimenez@bodegasbianchi.com.ar</x:v>
      </x:c>
      <x:c r="K197" t="str">
        <x:v>9/09/26, 10:16:41 AM</x:v>
      </x:c>
      <x:c r="L197" t="str">
        <x:v>Registrado</x:v>
      </x:c>
      <x:c r="M197" t="str"/>
      <x:c r="N197" t="str"/>
      <x:c r="O197" t="str"/>
      <x:c r="P197" t="str"/>
      <x:c r="Q197" t="str"/>
      <x:c r="R197" t="str"/>
      <x:c r="S197" t="str"/>
      <x:c r="T197" t="str"/>
      <x:c r="U197" t="str"/>
    </x:row>
    <x:row r="198">
      <x:c r="A198" t="str"/>
      <x:c r="B198" t="str"/>
      <x:c r="C198" t="str"/>
      <x:c r="D198" t="str"/>
      <x:c r="E198" t="str"/>
      <x:c r="F198" t="str"/>
      <x:c r="G198" t="str"/>
      <x:c r="H198" t="str">
        <x:v>Joaquina</x:v>
      </x:c>
      <x:c r="I198" t="str">
        <x:v>Cristeche</x:v>
      </x:c>
      <x:c r="J198" t="str">
        <x:v>joaquina.cristeche@explora.com.ar</x:v>
      </x:c>
      <x:c r="K198" t="str">
        <x:v>9/09/26, 10:16:43 AM</x:v>
      </x:c>
      <x:c r="L198" t="str">
        <x:v>Registrado</x:v>
      </x:c>
      <x:c r="M198" t="str">
        <x:v>Explora SA</x:v>
      </x:c>
      <x:c r="N198" t="str">
        <x:v>Argentina </x:v>
      </x:c>
      <x:c r="O198" t="str"/>
      <x:c r="P198" t="str"/>
      <x:c r="Q198" t="str"/>
      <x:c r="R198" t="str"/>
      <x:c r="S198" t="str"/>
      <x:c r="T198" t="str"/>
      <x:c r="U198" t="str"/>
    </x:row>
    <x:row r="199">
      <x:c r="A199" t="str"/>
      <x:c r="B199" t="str"/>
      <x:c r="C199" t="str"/>
      <x:c r="D199" t="str"/>
      <x:c r="E199" t="str"/>
      <x:c r="F199" t="str"/>
      <x:c r="G199" t="str"/>
      <x:c r="H199" t="str">
        <x:v>mariana</x:v>
      </x:c>
      <x:c r="I199" t="str">
        <x:v>corvalan</x:v>
      </x:c>
      <x:c r="J199" t="str">
        <x:v>mcorvalan@familiazuccardi.com</x:v>
      </x:c>
      <x:c r="K199" t="str">
        <x:v>9/09/26, 10:17:29 AM</x:v>
      </x:c>
      <x:c r="L199" t="str">
        <x:v>Registrado</x:v>
      </x:c>
      <x:c r="M199" t="str"/>
      <x:c r="N199" t="str"/>
      <x:c r="O199" t="str"/>
      <x:c r="P199" t="str"/>
      <x:c r="Q199" t="str"/>
      <x:c r="R199" t="str"/>
      <x:c r="S199" t="str"/>
      <x:c r="T199" t="str"/>
      <x:c r="U199" t="str"/>
    </x:row>
    <x:row r="200">
      <x:c r="A200" t="str"/>
      <x:c r="B200" t="str"/>
      <x:c r="C200" t="str"/>
      <x:c r="D200" t="str"/>
      <x:c r="E200" t="str"/>
      <x:c r="F200" t="str"/>
      <x:c r="G200" t="str"/>
      <x:c r="H200" t="str">
        <x:v>ANTONELLA</x:v>
      </x:c>
      <x:c r="I200" t="str">
        <x:v>GIULIANI</x:v>
      </x:c>
      <x:c r="J200" t="str">
        <x:v>antonellabodegatupun@gmail.com</x:v>
      </x:c>
      <x:c r="K200" t="str">
        <x:v>9/09/26, 10:18:46 AM</x:v>
      </x:c>
      <x:c r="L200" t="str">
        <x:v>Registrado</x:v>
      </x:c>
      <x:c r="M200" t="str"/>
      <x:c r="N200" t="str"/>
      <x:c r="O200" t="str"/>
      <x:c r="P200" t="str"/>
      <x:c r="Q200" t="str"/>
      <x:c r="R200" t="str"/>
      <x:c r="S200" t="str"/>
      <x:c r="T200" t="str"/>
      <x:c r="U200" t="str"/>
    </x:row>
    <x:row r="201">
      <x:c r="A201" t="str"/>
      <x:c r="B201" t="str"/>
      <x:c r="C201" t="str"/>
      <x:c r="D201" t="str"/>
      <x:c r="E201" t="str"/>
      <x:c r="F201" t="str"/>
      <x:c r="G201" t="str"/>
      <x:c r="H201" t="str">
        <x:v>Natalia</x:v>
      </x:c>
      <x:c r="I201" t="str">
        <x:v>Marital</x:v>
      </x:c>
      <x:c r="J201" t="str">
        <x:v>nmarital@bodegasfabre.com</x:v>
      </x:c>
      <x:c r="K201" t="str">
        <x:v>9/09/26, 10:20:00 AM</x:v>
      </x:c>
      <x:c r="L201" t="str">
        <x:v>Registrado</x:v>
      </x:c>
      <x:c r="M201" t="str"/>
      <x:c r="N201" t="str"/>
      <x:c r="O201" t="str"/>
      <x:c r="P201" t="str"/>
      <x:c r="Q201" t="str"/>
      <x:c r="R201" t="str"/>
      <x:c r="S201" t="str"/>
      <x:c r="T201" t="str"/>
      <x:c r="U201" t="str"/>
    </x:row>
    <x:row r="202">
      <x:c r="A202" t="str"/>
      <x:c r="B202" t="str"/>
      <x:c r="C202" t="str"/>
      <x:c r="D202" t="str"/>
      <x:c r="E202" t="str"/>
      <x:c r="F202" t="str"/>
      <x:c r="G202" t="str"/>
      <x:c r="H202" t="str">
        <x:v>Ana Gabriela</x:v>
      </x:c>
      <x:c r="I202" t="str">
        <x:v>Ormeño</x:v>
      </x:c>
      <x:c r="J202" t="str">
        <x:v>anagabriela.o2010@gmail.com</x:v>
      </x:c>
      <x:c r="K202" t="str">
        <x:v>9/09/26, 10:20:29 AM</x:v>
      </x:c>
      <x:c r="L202" t="str">
        <x:v>Registrado</x:v>
      </x:c>
      <x:c r="M202" t="str"/>
      <x:c r="N202" t="str"/>
      <x:c r="O202" t="str"/>
      <x:c r="P202" t="str"/>
      <x:c r="Q202" t="str"/>
      <x:c r="R202" t="str"/>
      <x:c r="S202" t="str"/>
      <x:c r="T202" t="str"/>
      <x:c r="U202" t="str"/>
    </x:row>
    <x:row r="203">
      <x:c r="A203" t="str"/>
      <x:c r="B203" t="str"/>
      <x:c r="C203" t="str"/>
      <x:c r="D203" t="str"/>
      <x:c r="E203" t="str"/>
      <x:c r="F203" t="str"/>
      <x:c r="G203" t="str"/>
      <x:c r="H203" t="str">
        <x:v>juan</x:v>
      </x:c>
      <x:c r="I203" t="str">
        <x:v>suarez</x:v>
      </x:c>
      <x:c r="J203" t="str">
        <x:v>juanfasuarez@gmail.com</x:v>
      </x:c>
      <x:c r="K203" t="str">
        <x:v>9/09/26, 10:21:23 AM</x:v>
      </x:c>
      <x:c r="L203" t="str">
        <x:v>Registrado</x:v>
      </x:c>
      <x:c r="M203" t="str"/>
      <x:c r="N203" t="str"/>
      <x:c r="O203" t="str"/>
      <x:c r="P203" t="str"/>
      <x:c r="Q203" t="str"/>
      <x:c r="R203" t="str"/>
      <x:c r="S203" t="str"/>
      <x:c r="T203" t="str"/>
      <x:c r="U203" t="str"/>
    </x:row>
    <x:row r="204">
      <x:c r="A204" t="str"/>
      <x:c r="B204" t="str"/>
      <x:c r="C204" t="str"/>
      <x:c r="D204" t="str"/>
      <x:c r="E204" t="str"/>
      <x:c r="F204" t="str"/>
      <x:c r="G204" t="str"/>
      <x:c r="H204" t="str">
        <x:v>Antonella</x:v>
      </x:c>
      <x:c r="I204" t="str">
        <x:v>Rodriguez Squillaci</x:v>
      </x:c>
      <x:c r="J204" t="str">
        <x:v>antonellarodriguez@mendozavineyards.com</x:v>
      </x:c>
      <x:c r="K204" t="str">
        <x:v>9/09/26, 10:23:57 AM</x:v>
      </x:c>
      <x:c r="L204" t="str">
        <x:v>Registrado</x:v>
      </x:c>
      <x:c r="M204" t="str"/>
      <x:c r="N204" t="str"/>
      <x:c r="O204" t="str"/>
      <x:c r="P204" t="str"/>
      <x:c r="Q204" t="str"/>
      <x:c r="R204" t="str"/>
      <x:c r="S204" t="str"/>
      <x:c r="T204" t="str"/>
      <x:c r="U204" t="str"/>
    </x:row>
    <x:row r="205">
      <x:c r="A205" t="str"/>
      <x:c r="B205" t="str"/>
      <x:c r="C205" t="str"/>
      <x:c r="D205" t="str"/>
      <x:c r="E205" t="str"/>
      <x:c r="F205" t="str"/>
      <x:c r="G205" t="str"/>
      <x:c r="H205" t="str">
        <x:v>Milagros</x:v>
      </x:c>
      <x:c r="I205" t="str">
        <x:v>Nuñez</x:v>
      </x:c>
      <x:c r="J205" t="str">
        <x:v>milagros.nunez@grupocolome.com</x:v>
      </x:c>
      <x:c r="K205" t="str">
        <x:v>9/09/26, 10:26:59 AM</x:v>
      </x:c>
      <x:c r="L205" t="str">
        <x:v>Registrado</x:v>
      </x:c>
      <x:c r="M205" t="str"/>
      <x:c r="N205" t="str"/>
      <x:c r="O205" t="str"/>
      <x:c r="P205" t="str"/>
      <x:c r="Q205" t="str"/>
      <x:c r="R205" t="str"/>
      <x:c r="S205" t="str"/>
      <x:c r="T205" t="str"/>
      <x:c r="U205" t="str"/>
    </x:row>
    <x:row r="206">
      <x:c r="A206" t="str"/>
      <x:c r="B206" t="str"/>
      <x:c r="C206" t="str"/>
      <x:c r="D206" t="str"/>
      <x:c r="E206" t="str"/>
      <x:c r="F206" t="str"/>
      <x:c r="G206" t="str"/>
      <x:c r="H206" t="str">
        <x:v>Joaquin</x:v>
      </x:c>
      <x:c r="I206" t="str">
        <x:v>Ramirez</x:v>
      </x:c>
      <x:c r="J206" t="str">
        <x:v>enologia@elporvenirdecafayate.com</x:v>
      </x:c>
      <x:c r="K206" t="str">
        <x:v>9/09/26, 10:27:38 AM</x:v>
      </x:c>
      <x:c r="L206" t="str">
        <x:v>Registrado</x:v>
      </x:c>
      <x:c r="M206" t="str"/>
      <x:c r="N206" t="str"/>
      <x:c r="O206" t="str"/>
      <x:c r="P206" t="str"/>
      <x:c r="Q206" t="str"/>
      <x:c r="R206" t="str"/>
      <x:c r="S206" t="str"/>
      <x:c r="T206" t="str"/>
      <x:c r="U206" t="str"/>
    </x:row>
    <x:row r="207">
      <x:c r="A207" t="str"/>
      <x:c r="B207" t="str"/>
      <x:c r="C207" t="str"/>
      <x:c r="D207" t="str"/>
      <x:c r="E207" t="str"/>
      <x:c r="F207" t="str"/>
      <x:c r="G207" t="str"/>
      <x:c r="H207" t="str">
        <x:v>Valentina</x:v>
      </x:c>
      <x:c r="I207" t="str">
        <x:v>Porta</x:v>
      </x:c>
      <x:c r="J207" t="str">
        <x:v>aporta@familiazuccardi.com</x:v>
      </x:c>
      <x:c r="K207" t="str">
        <x:v>9/09/26, 10:28:15 AM</x:v>
      </x:c>
      <x:c r="L207" t="str">
        <x:v>Registrado</x:v>
      </x:c>
      <x:c r="M207" t="str"/>
      <x:c r="N207" t="str"/>
      <x:c r="O207" t="str"/>
      <x:c r="P207" t="str"/>
      <x:c r="Q207" t="str"/>
      <x:c r="R207" t="str"/>
      <x:c r="S207" t="str"/>
      <x:c r="T207" t="str"/>
      <x:c r="U207" t="str"/>
    </x:row>
    <x:row r="208">
      <x:c r="A208" t="str"/>
      <x:c r="B208" t="str"/>
      <x:c r="C208" t="str"/>
      <x:c r="D208" t="str"/>
      <x:c r="E208" t="str"/>
      <x:c r="F208" t="str"/>
      <x:c r="G208" t="str"/>
      <x:c r="H208" t="str">
        <x:v>Flavia</x:v>
      </x:c>
      <x:c r="I208" t="str">
        <x:v>Martin</x:v>
      </x:c>
      <x:c r="J208" t="str">
        <x:v>martinflavia1104@gmail.com</x:v>
      </x:c>
      <x:c r="K208" t="str">
        <x:v>9/09/26, 10:28:50 AM</x:v>
      </x:c>
      <x:c r="L208" t="str">
        <x:v>Registrado</x:v>
      </x:c>
      <x:c r="M208" t="str"/>
      <x:c r="N208" t="str"/>
      <x:c r="O208" t="str"/>
      <x:c r="P208" t="str"/>
      <x:c r="Q208" t="str"/>
      <x:c r="R208" t="str"/>
      <x:c r="S208" t="str"/>
      <x:c r="T208" t="str"/>
      <x:c r="U208" t="str"/>
    </x:row>
    <x:row r="209">
      <x:c r="A209" t="str"/>
      <x:c r="B209" t="str"/>
      <x:c r="C209" t="str"/>
      <x:c r="D209" t="str"/>
      <x:c r="E209" t="str"/>
      <x:c r="F209" t="str"/>
      <x:c r="G209" t="str"/>
      <x:c r="H209" t="str">
        <x:v>Andrea</x:v>
      </x:c>
      <x:c r="I209" t="str">
        <x:v>Cosentino</x:v>
      </x:c>
      <x:c r="J209" t="str">
        <x:v>acosentino.bromatologia@gmail.com</x:v>
      </x:c>
      <x:c r="K209" t="str">
        <x:v>9/09/26, 10:30:28 AM</x:v>
      </x:c>
      <x:c r="L209" t="str">
        <x:v>Registrado</x:v>
      </x:c>
      <x:c r="M209" t="str"/>
      <x:c r="N209" t="str"/>
      <x:c r="O209" t="str"/>
      <x:c r="P209" t="str"/>
      <x:c r="Q209" t="str"/>
      <x:c r="R209" t="str"/>
      <x:c r="S209" t="str"/>
      <x:c r="T209" t="str"/>
      <x:c r="U209" t="str"/>
    </x:row>
    <x:row r="210">
      <x:c r="A210" t="str"/>
      <x:c r="B210" t="str"/>
      <x:c r="C210" t="str"/>
      <x:c r="D210" t="str"/>
      <x:c r="E210" t="str"/>
      <x:c r="F210" t="str"/>
      <x:c r="G210" t="str"/>
      <x:c r="H210" t="str">
        <x:v>Laura</x:v>
      </x:c>
      <x:c r="I210" t="str">
        <x:v>Hidalgo</x:v>
      </x:c>
      <x:c r="J210" t="str">
        <x:v>hidalgoml@gmail.com</x:v>
      </x:c>
      <x:c r="K210" t="str">
        <x:v>9/09/26, 10:31:11 AM</x:v>
      </x:c>
      <x:c r="L210" t="str">
        <x:v>Registrado</x:v>
      </x:c>
      <x:c r="M210" t="str"/>
      <x:c r="N210" t="str"/>
      <x:c r="O210" t="str"/>
      <x:c r="P210" t="str"/>
      <x:c r="Q210" t="str"/>
      <x:c r="R210" t="str"/>
      <x:c r="S210" t="str"/>
      <x:c r="T210" t="str"/>
      <x:c r="U210" t="str"/>
    </x:row>
    <x:row r="211">
      <x:c r="A211" t="str"/>
      <x:c r="B211" t="str"/>
      <x:c r="C211" t="str"/>
      <x:c r="D211" t="str"/>
      <x:c r="E211" t="str"/>
      <x:c r="F211" t="str"/>
      <x:c r="G211" t="str"/>
      <x:c r="H211" t="str">
        <x:v>SILVANA</x:v>
      </x:c>
      <x:c r="I211" t="str">
        <x:v>BARUFALDI</x:v>
      </x:c>
      <x:c r="J211" t="str">
        <x:v>silvana.barufaldi@grupopenaflor.com.ar</x:v>
      </x:c>
      <x:c r="K211" t="str">
        <x:v>9/09/26, 10:32:48 AM</x:v>
      </x:c>
      <x:c r="L211" t="str">
        <x:v>Registrado</x:v>
      </x:c>
      <x:c r="M211" t="str"/>
      <x:c r="N211" t="str"/>
      <x:c r="O211" t="str"/>
      <x:c r="P211" t="str"/>
      <x:c r="Q211" t="str"/>
      <x:c r="R211" t="str"/>
      <x:c r="S211" t="str"/>
      <x:c r="T211" t="str"/>
      <x:c r="U211" t="str"/>
    </x:row>
    <x:row r="212">
      <x:c r="A212" t="str"/>
      <x:c r="B212" t="str"/>
      <x:c r="C212" t="str"/>
      <x:c r="D212" t="str"/>
      <x:c r="E212" t="str"/>
      <x:c r="F212" t="str"/>
      <x:c r="G212" t="str"/>
      <x:c r="H212" t="str">
        <x:v>Patricia</x:v>
      </x:c>
      <x:c r="I212" t="str">
        <x:v>Mulet</x:v>
      </x:c>
      <x:c r="J212" t="str">
        <x:v>pamymsa@gmail.com</x:v>
      </x:c>
      <x:c r="K212" t="str">
        <x:v>9/09/26, 10:33:48 AM</x:v>
      </x:c>
      <x:c r="L212" t="str">
        <x:v>Registrado</x:v>
      </x:c>
      <x:c r="M212" t="str"/>
      <x:c r="N212" t="str"/>
      <x:c r="O212" t="str"/>
      <x:c r="P212" t="str"/>
      <x:c r="Q212" t="str"/>
      <x:c r="R212" t="str"/>
      <x:c r="S212" t="str"/>
      <x:c r="T212" t="str"/>
      <x:c r="U212" t="str"/>
    </x:row>
    <x:row r="213">
      <x:c r="A213" t="str"/>
      <x:c r="B213" t="str"/>
      <x:c r="C213" t="str"/>
      <x:c r="D213" t="str"/>
      <x:c r="E213" t="str"/>
      <x:c r="F213" t="str"/>
      <x:c r="G213" t="str"/>
      <x:c r="H213" t="str">
        <x:v>Natalia</x:v>
      </x:c>
      <x:c r="I213" t="str">
        <x:v>Corgo</x:v>
      </x:c>
      <x:c r="J213" t="str">
        <x:v>nhcorgo@gmail.com</x:v>
      </x:c>
      <x:c r="K213" t="str">
        <x:v>9/09/26, 10:34:07 AM</x:v>
      </x:c>
      <x:c r="L213" t="str">
        <x:v>Registrado</x:v>
      </x:c>
      <x:c r="M213" t="str"/>
      <x:c r="N213" t="str"/>
      <x:c r="O213" t="str"/>
      <x:c r="P213" t="str"/>
      <x:c r="Q213" t="str"/>
      <x:c r="R213" t="str"/>
      <x:c r="S213" t="str"/>
      <x:c r="T213" t="str"/>
      <x:c r="U213" t="str"/>
    </x:row>
    <x:row r="214">
      <x:c r="A214" t="str"/>
      <x:c r="B214" t="str"/>
      <x:c r="C214" t="str"/>
      <x:c r="D214" t="str"/>
      <x:c r="E214" t="str"/>
      <x:c r="F214" t="str"/>
      <x:c r="G214" t="str"/>
      <x:c r="H214" t="str">
        <x:v>Daniela</x:v>
      </x:c>
      <x:c r="I214" t="str">
        <x:v>Tiezzi</x:v>
      </x:c>
      <x:c r="J214" t="str">
        <x:v>tiezzidaniela@gmail.com</x:v>
      </x:c>
      <x:c r="K214" t="str">
        <x:v>9/09/26, 10:34:25 AM</x:v>
      </x:c>
      <x:c r="L214" t="str">
        <x:v>Registrado</x:v>
      </x:c>
      <x:c r="M214" t="str"/>
      <x:c r="N214" t="str"/>
      <x:c r="O214" t="str"/>
      <x:c r="P214" t="str"/>
      <x:c r="Q214" t="str"/>
      <x:c r="R214" t="str"/>
      <x:c r="S214" t="str"/>
      <x:c r="T214" t="str"/>
      <x:c r="U214" t="str"/>
    </x:row>
    <x:row r="215">
      <x:c r="A215" t="str"/>
      <x:c r="B215" t="str"/>
      <x:c r="C215" t="str"/>
      <x:c r="D215" t="str"/>
      <x:c r="E215" t="str"/>
      <x:c r="F215" t="str"/>
      <x:c r="G215" t="str"/>
      <x:c r="H215" t="str">
        <x:v>Fernanda</x:v>
      </x:c>
      <x:c r="I215" t="str">
        <x:v>Bustos</x:v>
      </x:c>
      <x:c r="J215" t="str">
        <x:v>bustos.fernanda89@gmail.com</x:v>
      </x:c>
      <x:c r="K215" t="str">
        <x:v>9/09/26, 10:38:23 AM</x:v>
      </x:c>
      <x:c r="L215" t="str">
        <x:v>Registrado</x:v>
      </x:c>
      <x:c r="M215" t="str"/>
      <x:c r="N215" t="str"/>
      <x:c r="O215" t="str"/>
      <x:c r="P215" t="str"/>
      <x:c r="Q215" t="str"/>
      <x:c r="R215" t="str"/>
      <x:c r="S215" t="str"/>
      <x:c r="T215" t="str"/>
      <x:c r="U215" t="str"/>
    </x:row>
    <x:row r="216">
      <x:c r="A216" t="str"/>
      <x:c r="B216" t="str"/>
      <x:c r="C216" t="str"/>
      <x:c r="D216" t="str"/>
      <x:c r="E216" t="str"/>
      <x:c r="F216" t="str"/>
      <x:c r="G216" t="str"/>
      <x:c r="H216" t="str">
        <x:v>Laura</x:v>
      </x:c>
      <x:c r="I216" t="str">
        <x:v>Alturria</x:v>
      </x:c>
      <x:c r="J216" t="str">
        <x:v>tecnicas@bodegasdeargentina.org</x:v>
      </x:c>
      <x:c r="K216" t="str">
        <x:v>9/09/26, 10:39:26 AM</x:v>
      </x:c>
      <x:c r="L216" t="str">
        <x:v>Registrado</x:v>
      </x:c>
      <x:c r="M216" t="str"/>
      <x:c r="N216" t="str"/>
      <x:c r="O216" t="str"/>
      <x:c r="P216" t="str"/>
      <x:c r="Q216" t="str"/>
      <x:c r="R216" t="str"/>
      <x:c r="S216" t="str"/>
      <x:c r="T216" t="str"/>
      <x:c r="U216" t="str"/>
    </x:row>
    <x:row r="217">
      <x:c r="A217" t="str"/>
      <x:c r="B217" t="str"/>
      <x:c r="C217" t="str"/>
      <x:c r="D217" t="str"/>
      <x:c r="E217" t="str"/>
      <x:c r="F217" t="str"/>
      <x:c r="G217" t="str"/>
      <x:c r="H217" t="str">
        <x:v>Andres</x:v>
      </x:c>
      <x:c r="I217" t="str">
        <x:v>Valero</x:v>
      </x:c>
      <x:c r="J217" t="str">
        <x:v>andres.valero@grupoavinea.com</x:v>
      </x:c>
      <x:c r="K217" t="str">
        <x:v>9/09/26, 10:39:34 AM</x:v>
      </x:c>
      <x:c r="L217" t="str">
        <x:v>Registrado</x:v>
      </x:c>
      <x:c r="M217" t="str"/>
      <x:c r="N217" t="str"/>
      <x:c r="O217" t="str"/>
      <x:c r="P217" t="str"/>
      <x:c r="Q217" t="str"/>
      <x:c r="R217" t="str"/>
      <x:c r="S217" t="str"/>
      <x:c r="T217" t="str"/>
      <x:c r="U217" t="str"/>
    </x:row>
    <x:row r="218">
      <x:c r="A218" t="str"/>
      <x:c r="B218" t="str"/>
      <x:c r="C218" t="str"/>
      <x:c r="D218" t="str"/>
      <x:c r="E218" t="str"/>
      <x:c r="F218" t="str"/>
      <x:c r="G218" t="str"/>
      <x:c r="H218" t="str">
        <x:v>Mariana del Carmen</x:v>
      </x:c>
      <x:c r="I218" t="str">
        <x:v>Labella</x:v>
      </x:c>
      <x:c r="J218" t="str">
        <x:v>maribella440@gmail.com</x:v>
      </x:c>
      <x:c r="K218" t="str">
        <x:v>9/09/26, 10:42:35 AM</x:v>
      </x:c>
      <x:c r="L218" t="str">
        <x:v>Registrado</x:v>
      </x:c>
      <x:c r="M218" t="str"/>
      <x:c r="N218" t="str"/>
      <x:c r="O218" t="str"/>
      <x:c r="P218" t="str"/>
      <x:c r="Q218" t="str"/>
      <x:c r="R218" t="str"/>
      <x:c r="S218" t="str"/>
      <x:c r="T218" t="str"/>
      <x:c r="U218" t="str"/>
    </x:row>
    <x:row r="219">
      <x:c r="A219" t="str"/>
      <x:c r="B219" t="str"/>
      <x:c r="C219" t="str"/>
      <x:c r="D219" t="str"/>
      <x:c r="E219" t="str"/>
      <x:c r="F219" t="str"/>
      <x:c r="G219" t="str"/>
      <x:c r="H219" t="str">
        <x:v>Virginia</x:v>
      </x:c>
      <x:c r="I219" t="str">
        <x:v>Cubecino</x:v>
      </x:c>
      <x:c r="J219" t="str">
        <x:v>vcubecino@rutiniwines.com</x:v>
      </x:c>
      <x:c r="K219" t="str">
        <x:v>9/09/26, 10:43:43 AM</x:v>
      </x:c>
      <x:c r="L219" t="str">
        <x:v>Registrado</x:v>
      </x:c>
      <x:c r="M219" t="str"/>
      <x:c r="N219" t="str"/>
      <x:c r="O219" t="str"/>
      <x:c r="P219" t="str"/>
      <x:c r="Q219" t="str"/>
      <x:c r="R219" t="str"/>
      <x:c r="S219" t="str"/>
      <x:c r="T219" t="str"/>
      <x:c r="U219" t="str"/>
    </x:row>
    <x:row r="220">
      <x:c r="A220" t="str"/>
      <x:c r="B220" t="str"/>
      <x:c r="C220" t="str"/>
      <x:c r="D220" t="str"/>
      <x:c r="E220" t="str"/>
      <x:c r="F220" t="str"/>
      <x:c r="G220" t="str"/>
      <x:c r="H220" t="str">
        <x:v>Noelia</x:v>
      </x:c>
      <x:c r="I220" t="str">
        <x:v>Peralta</x:v>
      </x:c>
      <x:c r="J220" t="str">
        <x:v>noelia.peralta@decero.com</x:v>
      </x:c>
      <x:c r="K220" t="str">
        <x:v>9/09/26, 10:44:48 AM</x:v>
      </x:c>
      <x:c r="L220" t="str">
        <x:v>Registrado</x:v>
      </x:c>
      <x:c r="M220" t="str"/>
      <x:c r="N220" t="str"/>
      <x:c r="O220" t="str"/>
      <x:c r="P220" t="str"/>
      <x:c r="Q220" t="str"/>
      <x:c r="R220" t="str"/>
      <x:c r="S220" t="str"/>
      <x:c r="T220" t="str"/>
      <x:c r="U220" t="str"/>
    </x:row>
    <x:row r="221">
      <x:c r="A221" t="str"/>
      <x:c r="B221" t="str"/>
      <x:c r="C221" t="str"/>
      <x:c r="D221" t="str"/>
      <x:c r="E221" t="str"/>
      <x:c r="F221" t="str"/>
      <x:c r="G221" t="str"/>
      <x:c r="H221" t="str">
        <x:v>Amparo</x:v>
      </x:c>
      <x:c r="I221" t="str">
        <x:v>Zandomeni</x:v>
      </x:c>
      <x:c r="J221" t="str">
        <x:v>amparo@pulentaestate.com</x:v>
      </x:c>
      <x:c r="K221" t="str">
        <x:v>9/09/26, 10:46:06 AM</x:v>
      </x:c>
      <x:c r="L221" t="str">
        <x:v>Registrado</x:v>
      </x:c>
      <x:c r="M221" t="str"/>
      <x:c r="N221" t="str"/>
      <x:c r="O221" t="str"/>
      <x:c r="P221" t="str"/>
      <x:c r="Q221" t="str"/>
      <x:c r="R221" t="str"/>
      <x:c r="S221" t="str"/>
      <x:c r="T221" t="str"/>
      <x:c r="U221" t="str"/>
    </x:row>
    <x:row r="222">
      <x:c r="A222" t="str"/>
      <x:c r="B222" t="str"/>
      <x:c r="C222" t="str"/>
      <x:c r="D222" t="str"/>
      <x:c r="E222" t="str"/>
      <x:c r="F222" t="str"/>
      <x:c r="G222" t="str"/>
      <x:c r="H222" t="str">
        <x:v>Teresa</x:v>
      </x:c>
      <x:c r="I222" t="str">
        <x:v>Cedenilla</x:v>
      </x:c>
      <x:c r="J222" t="str">
        <x:v>teresa.cedenilla@blendswineestates.com</x:v>
      </x:c>
      <x:c r="K222" t="str">
        <x:v>9/09/26, 10:47:00 AM</x:v>
      </x:c>
      <x:c r="L222" t="str">
        <x:v>Registrado</x:v>
      </x:c>
      <x:c r="M222" t="str"/>
      <x:c r="N222" t="str"/>
      <x:c r="O222" t="str"/>
      <x:c r="P222" t="str"/>
      <x:c r="Q222" t="str"/>
      <x:c r="R222" t="str"/>
      <x:c r="S222" t="str"/>
      <x:c r="T222" t="str"/>
      <x:c r="U222" t="str"/>
    </x:row>
    <x:row r="223">
      <x:c r="A223" t="str"/>
      <x:c r="B223" t="str"/>
      <x:c r="C223" t="str"/>
      <x:c r="D223" t="str"/>
      <x:c r="E223" t="str"/>
      <x:c r="F223" t="str"/>
      <x:c r="G223" t="str"/>
      <x:c r="H223" t="str">
        <x:v>Julieta</x:v>
      </x:c>
      <x:c r="I223" t="str">
        <x:v>Capreti</x:v>
      </x:c>
      <x:c r="J223" t="str">
        <x:v>j.capreti@hotmail.com</x:v>
      </x:c>
      <x:c r="K223" t="str">
        <x:v>9/09/26, 10:48:51 AM</x:v>
      </x:c>
      <x:c r="L223" t="str">
        <x:v>Registrado</x:v>
      </x:c>
      <x:c r="M223" t="str"/>
      <x:c r="N223" t="str"/>
      <x:c r="O223" t="str"/>
      <x:c r="P223" t="str"/>
      <x:c r="Q223" t="str"/>
      <x:c r="R223" t="str"/>
      <x:c r="S223" t="str"/>
      <x:c r="T223" t="str"/>
      <x:c r="U223" t="str"/>
    </x:row>
    <x:row r="224">
      <x:c r="A224" t="str"/>
      <x:c r="B224" t="str"/>
      <x:c r="C224" t="str"/>
      <x:c r="D224" t="str"/>
      <x:c r="E224" t="str"/>
      <x:c r="F224" t="str"/>
      <x:c r="G224" t="str"/>
      <x:c r="H224" t="str">
        <x:v>Blusztein</x:v>
      </x:c>
      <x:c r="I224" t="str">
        <x:v>Hanne</x:v>
      </x:c>
      <x:c r="J224" t="str">
        <x:v>hblusztein@ahkargentina.com.ar</x:v>
      </x:c>
      <x:c r="K224" t="str">
        <x:v>9/09/26, 11:28:55 AM</x:v>
      </x:c>
      <x:c r="L224" t="str">
        <x:v>Registrado</x:v>
      </x:c>
      <x:c r="M224" t="str">
        <x:v>AHK Argentina</x:v>
      </x:c>
      <x:c r="N224" t="str">
        <x:v>Argentina</x:v>
      </x:c>
      <x:c r="O224" t="str"/>
      <x:c r="P224" t="str"/>
      <x:c r="Q224" t="str"/>
      <x:c r="R224" t="str"/>
      <x:c r="S224" t="str"/>
      <x:c r="T224" t="str"/>
      <x:c r="U224" t="str"/>
    </x:row>
    <x:row r="225">
      <x:c r="A225" t="str"/>
      <x:c r="B225" t="str"/>
      <x:c r="C225" t="str"/>
      <x:c r="D225" t="str"/>
      <x:c r="E225" t="str"/>
      <x:c r="F225" t="str"/>
      <x:c r="G225" t="str"/>
      <x:c r="H225" t="str">
        <x:v>CAROLINA</x:v>
      </x:c>
      <x:c r="I225" t="str">
        <x:v>PEDRETTI</x:v>
      </x:c>
      <x:c r="J225" t="str">
        <x:v>cpedretti@foodsmentor.com</x:v>
      </x:c>
      <x:c r="K225" t="str">
        <x:v>9/09/26, 4:29:53 PM</x:v>
      </x:c>
      <x:c r="L225" t="str">
        <x:v>Registrado</x:v>
      </x:c>
      <x:c r="M225" t="str">
        <x:v>FOODS MENTOR SRL</x:v>
      </x:c>
      <x:c r="N225" t="str">
        <x:v>ARGENTINA</x:v>
      </x:c>
      <x:c r="O225" t="str"/>
      <x:c r="P225" t="str"/>
      <x:c r="Q225" t="str"/>
      <x:c r="R225" t="str"/>
      <x:c r="S225" t="str"/>
      <x:c r="T225" t="str"/>
      <x:c r="U225" t="str"/>
    </x:row>
    <x:row r="226">
      <x:c r="A226" t="str"/>
      <x:c r="B226" t="str"/>
      <x:c r="C226" t="str"/>
      <x:c r="D226" t="str"/>
      <x:c r="E226" t="str"/>
      <x:c r="F226" t="str"/>
      <x:c r="G226" t="str"/>
      <x:c r="H226" t="str">
        <x:v>Sonia</x:v>
      </x:c>
      <x:c r="I226" t="str">
        <x:v>Pereyra</x:v>
      </x:c>
      <x:c r="J226" t="str">
        <x:v>soniapereyra445@gmail.com</x:v>
      </x:c>
      <x:c r="K226" t="str">
        <x:v>9/09/26, 4:35:55 PM</x:v>
      </x:c>
      <x:c r="L226" t="str">
        <x:v>Registrado</x:v>
      </x:c>
      <x:c r="M226" t="str"/>
      <x:c r="N226" t="str"/>
      <x:c r="O226" t="str"/>
      <x:c r="P226" t="str"/>
      <x:c r="Q226" t="str"/>
      <x:c r="R226" t="str"/>
      <x:c r="S226" t="str"/>
      <x:c r="T226" t="str"/>
      <x:c r="U226" t="str"/>
    </x:row>
    <x:row r="227">
      <x:c r="A227" t="str"/>
      <x:c r="B227" t="str"/>
      <x:c r="C227" t="str"/>
      <x:c r="D227" t="str"/>
      <x:c r="E227" t="str"/>
      <x:c r="F227" t="str"/>
      <x:c r="G227" t="str"/>
      <x:c r="H227" t="str">
        <x:v>Soklyna</x:v>
      </x:c>
      <x:c r="I227" t="str">
        <x:v>Khun</x:v>
      </x:c>
      <x:c r="J227" t="str">
        <x:v>skhun@controlunion.com</x:v>
      </x:c>
      <x:c r="K227" t="str">
        <x:v>9/09/26, 10:56:02 PM</x:v>
      </x:c>
      <x:c r="L227" t="str">
        <x:v>Registrado</x:v>
      </x:c>
      <x:c r="M227" t="str"/>
      <x:c r="N227" t="str">
        <x:v>Cambodia</x:v>
      </x:c>
      <x:c r="O227" t="str"/>
      <x:c r="P227" t="str"/>
      <x:c r="Q227" t="str"/>
      <x:c r="R227" t="str"/>
      <x:c r="S227" t="str"/>
      <x:c r="T227" t="str"/>
      <x:c r="U227" t="str"/>
    </x:row>
  </x:sheetData>
  <x:pageMargins left="0.7" right="0.7" top="0.75" bottom="0.75" header="0.3" footer="0.3"/>
  <x:tableParts count="1">
    <x:tablePart xmlns:r="http://schemas.openxmlformats.org/officeDocument/2006/relationships" r:id="R4658721a856245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65" hidden="0" customWidth="1"/>
    <x:col min="8" max="8" width="18" hidden="0" customWidth="1"/>
  </x:cols>
  <x:sheetData>
    <x:row r="1">
      <x:c r="A1" s="62" t="str">
        <x:v>Source</x:v>
      </x:c>
      <x:c r="B1" s="62" t="str">
        <x:v>Type</x:v>
      </x:c>
      <x:c r="C1" s="62" t="str">
        <x:v>Identity</x:v>
      </x:c>
      <x:c r="D1" s="62" t="str">
        <x:v>Timestamp</x:v>
      </x:c>
      <x:c r="E1" s="62" t="str">
        <x:v>Conversation ID</x:v>
      </x:c>
      <x:c r="F1" s="62" t="str">
        <x:v>Reply To ID</x:v>
      </x:c>
      <x:c r="G1" s="62" t="str">
        <x:v>Content</x:v>
      </x:c>
      <x:c r="H1" s="62" t="str">
        <x:v>Reactions</x:v>
      </x:c>
    </x:row>
    <x:row r="2">
      <x:c r="A2" t="str">
        <x:v>ATTENDEE</x:v>
      </x:c>
      <x:c r="B2" t="str">
        <x:v>QUESTION</x:v>
      </x:c>
      <x:c r="C2" t="str">
        <x:v>emilia.canavati@grupobimbo.com</x:v>
      </x:c>
      <x:c r="D2" t="n">
        <x:v>46275.60109621528</x:v>
      </x:c>
      <x:c r="E2" t="str">
        <x:v>4027862858137601</x:v>
      </x:c>
      <x:c r="F2" t="str"/>
      <x:c r="G2" s="52" t="str">
        <x:v>La ECGT aplica para comunicaciones externas o posteos en redes sociales que se publicaron antes de que entrara en vigor?</x:v>
      </x:c>
      <x:c r="H2" t="str">
        <x:v>0</x:v>
      </x:c>
    </x:row>
    <x:row r="3">
      <x:c r="A3" t="str">
        <x:v>ATTENDEE</x:v>
      </x:c>
      <x:c r="B3" t="str">
        <x:v>QUESTION</x:v>
      </x:c>
      <x:c r="C3" t="str">
        <x:v>lgonzalez@catenazapata.com</x:v>
      </x:c>
      <x:c r="D3" t="n">
        <x:v>46275.61536517361</x:v>
      </x:c>
      <x:c r="E3" t="str">
        <x:v>4027883541553153</x:v>
      </x:c>
      <x:c r="F3" t="str"/>
      <x:c r="G3" s="52" t="str">
        <x:v>El ente certificador o verificador qué requisito normativo debe cumplir para que sea aceptado por EmpCo?</x:v>
      </x:c>
      <x:c r="H3" t="str">
        <x:v>0</x:v>
      </x:c>
    </x:row>
    <x:row r="4">
      <x:c r="A4" t="str">
        <x:v>ATTENDEE</x:v>
      </x:c>
      <x:c r="B4" t="str">
        <x:v>DISCUSSION</x:v>
      </x:c>
      <x:c r="C4" t="str">
        <x:v>Nadia.Engler@austinpowder.com</x:v>
      </x:c>
      <x:c r="D4" t="n">
        <x:v>46275.61550327546</x:v>
      </x:c>
      <x:c r="E4" t="str">
        <x:v>4027883743059969</x:v>
      </x:c>
      <x:c r="F4" t="str"/>
      <x:c r="G4" s="52" t="str">
        <x:v>Si es una empresa global, solo se deben tener en cuenta las comunicaciones en Europa o en cualquier parte del mundo? O solo si vendo en la UE desde ese lugar?</x:v>
      </x:c>
      <x:c r="H4" t="str">
        <x:v>0</x:v>
      </x:c>
    </x:row>
    <x:row r="5">
      <x:c r="A5" t="str">
        <x:v>ATTENDEE</x:v>
      </x:c>
      <x:c r="B5" t="str">
        <x:v>QUESTION</x:v>
      </x:c>
      <x:c r="C5" t="str">
        <x:v>lgonzalez@catenazapata.com</x:v>
      </x:c>
      <x:c r="D5" t="n">
        <x:v>46275.615855717595</x:v>
      </x:c>
      <x:c r="E5" t="str">
        <x:v>4027884246777857</x:v>
      </x:c>
      <x:c r="F5" t="str"/>
      <x:c r="G5" s="52" t="str">
        <x:v>La fecha de entrada en vigencia es desde el 26 de setiembre y a qué aplica a la fecha de ingreso o al lote</x:v>
      </x:c>
      <x:c r="H5" t="str">
        <x:v>0</x:v>
      </x:c>
    </x:row>
    <x:row r="6">
      <x:c r="A6" t="str">
        <x:v>ATTENDEE</x:v>
      </x:c>
      <x:c r="B6" t="str">
        <x:v>REPLY</x:v>
      </x:c>
      <x:c r="C6" t="str">
        <x:v>lfrugoni@salentein.com</x:v>
      </x:c>
      <x:c r="D6" t="n">
        <x:v>46275.61637365741</x:v>
      </x:c>
      <x:c r="E6" t="str">
        <x:v>4027885002358785</x:v>
      </x:c>
      <x:c r="F6" t="str">
        <x:v>4027862858137601</x:v>
      </x:c>
      <x:c r="G6" s="52" t="str">
        <x:v>En todos los países de la UE la entrada en vigencia es el 27 de septiembre? Deberían tener adaptada/legislada esta normativa a su legislación nacional?</x:v>
      </x:c>
      <x:c r="H6" t="str">
        <x:v>0</x:v>
      </x:c>
    </x:row>
    <x:row r="7">
      <x:c r="A7" t="str">
        <x:v>ATTENDEE</x:v>
      </x:c>
      <x:c r="B7" t="str">
        <x:v>REPLY</x:v>
      </x:c>
      <x:c r="C7" t="str">
        <x:v>Anonymous</x:v>
      </x:c>
      <x:c r="D7" t="n">
        <x:v>46275.617369444444</x:v>
      </x:c>
      <x:c r="E7" t="str">
        <x:v>4027886446157825</x:v>
      </x:c>
      <x:c r="F7" t="str">
        <x:v>4027883743059969</x:v>
      </x:c>
      <x:c r="G7" s="52" t="str">
        <x:v>gracias!</x:v>
      </x:c>
      <x:c r="H7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42c7425c08491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6" hidden="0" customWidth="1"/>
  </x:cols>
  <x:sheetData>
    <x:row r="1">
      <x:c r="A1" s="66" t="str">
        <x:v>Lead Scoring Model</x:v>
      </x:c>
      <x:c r="B1" s="66"/>
      <x:c r="C1" s="66"/>
      <x:c r="D1" s="66"/>
    </x:row>
    <x:row r="2">
      <x:c r="A2" s="52"/>
      <x:c r="B2" s="52"/>
      <x:c r="C2" s="52"/>
      <x:c r="D2" s="52"/>
    </x:row>
    <x:row r="3">
      <x:c r="A3" s="14" t="str">
        <x:v>Rule</x:v>
      </x:c>
      <x:c r="B3" s="14" t="str">
        <x:v>Value</x:v>
      </x:c>
      <x:c r="C3" s="14" t="str">
        <x:v>Max points</x:v>
      </x:c>
      <x:c r="D3" s="14" t="str">
        <x:v>Notes</x:v>
      </x:c>
    </x:row>
    <x:row r="4">
      <x:c r="A4" s="52" t="str">
        <x:v>Registration points</x:v>
      </x:c>
      <x:c r="B4" s="52" t="n">
        <x:v>10</x:v>
      </x:c>
      <x:c r="C4" s="52" t="n">
        <x:v>10</x:v>
      </x:c>
      <x:c r="D4" s="52" t="str">
        <x:v>Baseline intent for every registration</x:v>
      </x:c>
    </x:row>
    <x:row r="5">
      <x:c r="A5" s="52" t="str">
        <x:v>Attendance points</x:v>
      </x:c>
      <x:c r="B5" s="52" t="n">
        <x:v>20</x:v>
      </x:c>
      <x:c r="C5" s="52" t="n">
        <x:v>20</x:v>
      </x:c>
      <x:c r="D5" s="52" t="str">
        <x:v>Awarded if the registered contact attended</x:v>
      </x:c>
    </x:row>
    <x:row r="6">
      <x:c r="A6" s="52" t="str">
        <x:v>Target attendance minutes</x:v>
      </x:c>
      <x:c r="B6" s="52" t="n">
        <x:v>70</x:v>
      </x:c>
      <x:c r="C6" s="52" t="str"/>
      <x:c r="D6" s="52" t="str">
        <x:v>Scaled to this webinar duration</x:v>
      </x:c>
    </x:row>
    <x:row r="7">
      <x:c r="A7" s="52" t="str">
        <x:v>Time connected max</x:v>
      </x:c>
      <x:c r="B7" s="52" t="n">
        <x:v>40</x:v>
      </x:c>
      <x:c r="C7" s="52" t="n">
        <x:v>40</x:v>
      </x:c>
      <x:c r="D7" s="52" t="str">
        <x:v>minutes / 70 × 40</x:v>
      </x:c>
    </x:row>
    <x:row r="8">
      <x:c r="A8" s="52" t="str">
        <x:v>Question points</x:v>
      </x:c>
      <x:c r="B8" s="52" t="n">
        <x:v>20</x:v>
      </x:c>
      <x:c r="C8" s="52" t="n">
        <x:v>20</x:v>
      </x:c>
      <x:c r="D8" s="52" t="str">
        <x:v>One direct question reaches max question score</x:v>
      </x:c>
    </x:row>
    <x:row r="9">
      <x:c r="A9" s="52" t="str">
        <x:v>Other Q&amp;A points</x:v>
      </x:c>
      <x:c r="B9" s="52" t="n">
        <x:v>5</x:v>
      </x:c>
      <x:c r="C9" s="52" t="str"/>
      <x:c r="D9" s="52" t="str">
        <x:v>Replies / discussions captured in attendance report</x:v>
      </x:c>
    </x:row>
    <x:row r="10">
      <x:c r="A10" s="52" t="str">
        <x:v>Engagement max</x:v>
      </x:c>
      <x:c r="B10" s="52" t="n">
        <x:v>10</x:v>
      </x:c>
      <x:c r="C10" s="52" t="n">
        <x:v>10</x:v>
      </x:c>
      <x:c r="D10" s="52" t="str">
        <x:v>Cap for other Q&amp;A activity</x:v>
      </x:c>
    </x:row>
    <x:row r="11">
      <x:c r="A11" s="52" t="str">
        <x:v>Hot threshold</x:v>
      </x:c>
      <x:c r="B11" s="52" t="n">
        <x:v>70</x:v>
      </x:c>
      <x:c r="C11" s="52" t="str"/>
      <x:c r="D11" s="52" t="str">
        <x:v>Score ≥ 70</x:v>
      </x:c>
    </x:row>
    <x:row r="12">
      <x:c r="A12" s="52" t="str">
        <x:v>Warm threshold</x:v>
      </x:c>
      <x:c r="B12" s="52" t="n">
        <x:v>40</x:v>
      </x:c>
      <x:c r="C12" s="52" t="str"/>
      <x:c r="D12" s="52" t="str">
        <x:v>Score ≥ 40 and &lt; 70</x:v>
      </x:c>
    </x:row>
  </x:sheetData>
  <x:mergeCells>
    <x:mergeCell ref="A1:D1"/>
  </x:mergeCells>
  <x:pageMargins left="0.7" right="0.7" top="0.75" bottom="0.75" header="0.3" footer="0.3"/>
</x:worksheet>
</file>