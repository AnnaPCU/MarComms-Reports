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1be72b1bf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e76bde9a8764696"/>
    <x:sheet xmlns:r="http://schemas.openxmlformats.org/officeDocument/2006/relationships" name="Priority Leads" sheetId="2" r:id="R6e2cc2f310dd4e91"/>
    <x:sheet xmlns:r="http://schemas.openxmlformats.org/officeDocument/2006/relationships" name="Lead Scoring" sheetId="3" r:id="R6fc82604d67c4568"/>
    <x:sheet xmlns:r="http://schemas.openxmlformats.org/officeDocument/2006/relationships" name="Registrations Raw" sheetId="4" r:id="R866706d8a88b4a83"/>
    <x:sheet xmlns:r="http://schemas.openxmlformats.org/officeDocument/2006/relationships" name="Attendance Raw" sheetId="5" r:id="R1750fcebdae34b4e"/>
    <x:sheet xmlns:r="http://schemas.openxmlformats.org/officeDocument/2006/relationships" name="Q&amp;A Raw" sheetId="6" r:id="Raa5520649fcd44db"/>
    <x:sheet xmlns:r="http://schemas.openxmlformats.org/officeDocument/2006/relationships" name="Scoring Model" sheetId="7" r:id="R1348cde38191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 applyAlignment="1">
      <x:alignment horizontal="center"/>
    </x:xf>
    <x:xf numFmtId="200" fontId="3" fillId="0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6"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color rgb="FF595959"/>
      </x:font>
      <x:fill>
        <x:patternFill>
          <x:bgColor rgb="FFF2F2F2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39367743414974" /><Relationship Type="http://schemas.openxmlformats.org/officeDocument/2006/relationships/theme" Target="/xl/theme/theme1.xml" Id="R1458dbe1ff614a5a" /><Relationship Type="http://schemas.openxmlformats.org/officeDocument/2006/relationships/sharedStrings" Target="/xl/sharedStrings.xml" Id="R59f1dccc2aa34cf7" /><Relationship Type="http://schemas.openxmlformats.org/officeDocument/2006/relationships/worksheet" Target="/xl/worksheets/sheet1.xml" Id="Rbe76bde9a8764696" /><Relationship Type="http://schemas.openxmlformats.org/officeDocument/2006/relationships/worksheet" Target="/xl/worksheets/sheet2.xml" Id="R6e2cc2f310dd4e91" /><Relationship Type="http://schemas.openxmlformats.org/officeDocument/2006/relationships/worksheet" Target="/xl/worksheets/sheet3.xml" Id="R6fc82604d67c4568" /><Relationship Type="http://schemas.openxmlformats.org/officeDocument/2006/relationships/worksheet" Target="/xl/worksheets/sheet4.xml" Id="R866706d8a88b4a83" /><Relationship Type="http://schemas.openxmlformats.org/officeDocument/2006/relationships/worksheet" Target="/xl/worksheets/sheet5.xml" Id="R1750fcebdae34b4e" /><Relationship Type="http://schemas.openxmlformats.org/officeDocument/2006/relationships/worksheet" Target="/xl/worksheets/sheet6.xml" Id="Raa5520649fcd44db" /><Relationship Type="http://schemas.openxmlformats.org/officeDocument/2006/relationships/worksheet" Target="/xl/worksheets/sheet7.xml" Id="R1348cde3819145e1" /></Relationships>
</file>

<file path=xl/tables/table1.xml><?xml version="1.0" encoding="utf-8"?>
<x:table xmlns:x="http://schemas.openxmlformats.org/spreadsheetml/2006/main" id="2" name="PriorityLeadsTable" displayName="PriorityLeadsTable" ref="A1:L42" headerRowCount="1" totalsRowCount="0" totalsRowShown="0">
  <x:tableColumns count="12">
    <x:tableColumn id="1" name="Rank"/>
    <x:tableColumn id="2" name="Lead Status"/>
    <x:tableColumn id="3" name="Score"/>
    <x:tableColumn id="4" name="First Name"/>
    <x:tableColumn id="5" name="Last Name"/>
    <x:tableColumn id="6" name="Email"/>
    <x:tableColumn id="7" name="Organization"/>
    <x:tableColumn id="8" name="Country/Region"/>
    <x:tableColumn id="9" name="Attendance %"/>
    <x:tableColumn id="10" name="Duration (min)"/>
    <x:tableColumn id="11" name="Questions"/>
    <x:tableColumn id="12" name="Suggested Follow-u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LeadScoringTable" displayName="LeadScoringTable" ref="A1:O164" headerRowCount="1" totalsRowCount="0" totalsRowShown="0">
  <x:tableColumns count="15">
    <x:tableColumn id="1" name="Rank"/>
    <x:tableColumn id="2" name="First Name"/>
    <x:tableColumn id="3" name="Last Name"/>
    <x:tableColumn id="4" name="Email"/>
    <x:tableColumn id="5" name="Organization"/>
    <x:tableColumn id="6" name="Country/Region"/>
    <x:tableColumn id="7" name="Attended"/>
    <x:tableColumn id="8" name="Duration (min)"/>
    <x:tableColumn id="9" name="Attendance %"/>
    <x:tableColumn id="10" name="Questions"/>
    <x:tableColumn id="11" name="Reactions"/>
    <x:tableColumn id="12" name="Other Q&amp;A"/>
    <x:tableColumn id="13" name="Internal"/>
    <x:tableColumn id="14" name="Score"/>
    <x:tableColumn id="15" name="Lead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rationsRawTable" displayName="RegistrationsRawTable" ref="A1:G164" headerRowCount="1" totalsRowCount="0" totalsRowShown="0">
  <x:tableColumns count="7">
    <x:tableColumn id="1" name="Nombre de registro"/>
    <x:tableColumn id="2" name="Apellidos de registro"/>
    <x:tableColumn id="3" name="Correo electrónico de registro"/>
    <x:tableColumn id="4" name="Hora de registro"/>
    <x:tableColumn id="5" name="Estado del registro"/>
    <x:tableColumn id="6" name="País o región"/>
    <x:tableColumn id="7" name="Organiza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ttendanceRawTable" displayName="AttendanceRawTable" ref="A1:Z187" headerRowCount="1" totalsRowCount="0" totalsRowShown="0">
  <x:tableColumns count="26">
    <x:tableColumn id="1" name="Nombre"/>
    <x:tableColumn id="2" name="Primera entrada"/>
    <x:tableColumn id="3" name="Última salida"/>
    <x:tableColumn id="4" name="Duración de la reunión"/>
    <x:tableColumn id="5" name="Correo electrónico"/>
    <x:tableColumn id="6" name="Id. de participante (UPN)"/>
    <x:tableColumn id="7" name="Rol"/>
    <x:tableColumn id="8" name="Nombre de registro"/>
    <x:tableColumn id="9" name="Apellidos de registro"/>
    <x:tableColumn id="10" name="Correo electrónico de registro"/>
    <x:tableColumn id="11" name="Hora de registro"/>
    <x:tableColumn id="12" name="Estado del registro"/>
    <x:tableColumn id="13" name="País o región"/>
    <x:tableColumn id="14" name="Organización"/>
    <x:tableColumn id="15" name="Interacción: preguntas de Preguntas y respuestas"/>
    <x:tableColumn id="16" name="Interacción: respuestas de Preguntas y respuestas"/>
    <x:tableColumn id="17" name="Interacción: mejores respuestas de Preguntas y respuestas"/>
    <x:tableColumn id="18" name="Interacción: discusiones de Preguntas y respuestas"/>
    <x:tableColumn id="19" name="Interacción: Reacción-Aplauso"/>
    <x:tableColumn id="20" name="Interacción: Reacción-Me divierte"/>
    <x:tableColumn id="21" name="Interacción: Reacción-Me gusta"/>
    <x:tableColumn id="22" name="Interacción: Reacción-Me encanta"/>
    <x:tableColumn id="23" name="Interacción: Reacción-Me asombra"/>
    <x:tableColumn id="24" name="Interacción: Cámara encendida"/>
    <x:tableColumn id="25" name="Interacción: Manos levantadas"/>
    <x:tableColumn id="26" name="Interacción: Audio activ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ARawTable" displayName="QARawTable" ref="A1:H4" headerRowCount="1" totalsRowCount="0" totalsRowShown="0">
  <x:tableColumns count="8">
    <x:tableColumn id="1" name="Source"/>
    <x:tableColumn id="2" name="Type"/>
    <x:tableColumn id="3" name="Identity"/>
    <x:tableColumn id="4" name="Timestamp"/>
    <x:tableColumn id="5" name="Conversation ID"/>
    <x:tableColumn id="6" name="Reply To ID"/>
    <x:tableColumn id="7" name="Content"/>
    <x:tableColumn id="8" name="Reac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1c6d136bea4b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482d623f7e48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a3943643844d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f0d424fb9142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bc5ca646a84228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23" hidden="0" customWidth="1"/>
    <x:col min="4" max="4" width="18" hidden="0" customWidth="1"/>
    <x:col min="5" max="5" width="22" hidden="0" customWidth="1"/>
    <x:col min="6" max="6" width="20" hidden="0" customWidth="1"/>
    <x:col min="7" max="7" width="18" hidden="0" customWidth="1"/>
    <x:col min="8" max="8" width="18" hidden="0" customWidth="1"/>
  </x:cols>
  <x:sheetData>
    <x:row r="1">
      <x:c r="A1" s="5" t="str">
        <x:v>Webinar Lead Scoring | Preparing for the Future of Plastic Packaging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3" t="str">
        <x:v>Registered</x:v>
      </x:c>
      <x:c r="B4" s="13" t="str">
        <x:v>Teams attendee rows</x:v>
      </x:c>
      <x:c r="C4" s="13" t="str">
        <x:v>Unique registered attendees</x:v>
      </x:c>
      <x:c r="D4" s="13" t="str">
        <x:v>Attendance rate</x:v>
      </x:c>
      <x:c r="E4" s="13" t="str">
        <x:v>Unique external companies</x:v>
      </x:c>
      <x:c r="F4" s="13" t="str">
        <x:v>Hot leads</x:v>
      </x:c>
      <x:c r="G4" s="13" t="str">
        <x:v>Warm leads</x:v>
      </x:c>
      <x:c r="H4" s="13" t="str">
        <x:v>Cold leads</x:v>
      </x:c>
    </x:row>
    <x:row r="5">
      <x:c r="A5" s="19" t="n">
        <x:v>163</x:v>
      </x:c>
      <x:c r="B5" s="19" t="n">
        <x:v>88</x:v>
      </x:c>
      <x:c r="C5" s="19" t="n">
        <x:v>72</x:v>
      </x:c>
      <x:c r="D5" s="22" t="n">
        <x:v>0.44171779141104295</x:v>
      </x:c>
      <x:c r="E5" s="19" t="n">
        <x:v>41</x:v>
      </x:c>
      <x:c r="F5" s="19" t="n">
        <x:v>11</x:v>
      </x:c>
      <x:c r="G5" s="19" t="n">
        <x:v>30</x:v>
      </x:c>
      <x:c r="H5" s="19" t="n">
        <x:v>81</x:v>
      </x:c>
    </x:row>
    <x:row r="7">
      <x:c r="A7" s="24" t="str">
        <x:v>Commercial funnel</x:v>
      </x:c>
      <x:c r="B7" s="24" t="str">
        <x:v>Count</x:v>
      </x:c>
      <x:c r="C7" s="24" t="str">
        <x:v>% External Leads</x:v>
      </x:c>
      <x:c r="D7" s="24" t="str">
        <x:v>Definition</x:v>
      </x:c>
      <x:c r="F7" s="42" t="str">
        <x:v>Key webinar KPIs</x:v>
      </x:c>
      <x:c r="G7" s="42"/>
      <x:c r="H7" s="42"/>
    </x:row>
    <x:row r="8">
      <x:c r="A8" s="28" t="str">
        <x:v>Hot</x:v>
      </x:c>
      <x:c r="B8" s="28" t="n">
        <x:v>11</x:v>
      </x:c>
      <x:c r="C8" s="29" t="n">
        <x:v>0.09016393442622951</x:v>
      </x:c>
      <x:c r="D8" s="28" t="str">
        <x:v>Score ≥ 70</x:v>
      </x:c>
      <x:c r="F8" s="44" t="str">
        <x:v>Registration page views</x:v>
      </x:c>
      <x:c r="G8" t="n">
        <x:v>268</x:v>
      </x:c>
    </x:row>
    <x:row r="9">
      <x:c r="A9" s="32" t="str">
        <x:v>Warm</x:v>
      </x:c>
      <x:c r="B9" s="32" t="n">
        <x:v>30</x:v>
      </x:c>
      <x:c r="C9" s="33" t="n">
        <x:v>0.2459016393442623</x:v>
      </x:c>
      <x:c r="D9" s="32" t="str">
        <x:v>Score 40–69.9</x:v>
      </x:c>
      <x:c r="F9" s="44" t="str">
        <x:v>Registered contacts</x:v>
      </x:c>
      <x:c r="G9" t="n">
        <x:v>163</x:v>
      </x:c>
    </x:row>
    <x:row r="10">
      <x:c r="A10" s="36" t="str">
        <x:v>Cold</x:v>
      </x:c>
      <x:c r="B10" s="36" t="n">
        <x:v>81</x:v>
      </x:c>
      <x:c r="C10" s="37" t="n">
        <x:v>0.6639344262295082</x:v>
      </x:c>
      <x:c r="D10" s="36" t="str">
        <x:v>Score &lt; 40</x:v>
      </x:c>
      <x:c r="F10" s="44" t="str">
        <x:v>Registered contacts who attended</x:v>
      </x:c>
      <x:c r="G10" t="n">
        <x:v>72</x:v>
      </x:c>
    </x:row>
    <x:row r="11">
      <x:c r="A11" s="40" t="str">
        <x:v>Internal / Partner / Excluded</x:v>
      </x:c>
      <x:c r="B11" s="40" t="n">
        <x:v>38</x:v>
      </x:c>
      <x:c r="C11" s="40" t="str"/>
      <x:c r="D11" s="40" t="str">
        <x:v>Control Union/Peterson + ALPLA, ISCC &amp; RecyClass excluded</x:v>
      </x:c>
      <x:c r="F11" s="44" t="str">
        <x:v>External contacts who attended</x:v>
      </x:c>
      <x:c r="G11" t="n">
        <x:v>53</x:v>
      </x:c>
    </x:row>
    <x:row r="12">
      <x:c r="F12" s="44" t="str">
        <x:v>Unique companies attended (all)</x:v>
      </x:c>
      <x:c r="G12" t="n">
        <x:v>50</x:v>
      </x:c>
    </x:row>
    <x:row r="13">
      <x:c r="F13" s="44" t="str">
        <x:v>Unique companies attended (external)</x:v>
      </x:c>
      <x:c r="G13" t="n">
        <x:v>41</x:v>
      </x:c>
    </x:row>
    <x:row r="15">
      <x:c r="A15" s="42" t="str">
        <x:v>Scoring logic</x:v>
      </x:c>
      <x:c r="B15" s="42"/>
      <x:c r="C15" s="42"/>
      <x:c r="D15" s="42"/>
      <x:c r="E15" s="42"/>
      <x:c r="F15" s="42"/>
      <x:c r="G15" s="42"/>
      <x:c r="H15" s="42"/>
    </x:row>
    <x:row r="16">
      <x:c r="A16" s="46" t="str">
        <x:v>Registration</x:v>
      </x:c>
      <x:c r="B16" s="46" t="str">
        <x:v>10 pts</x:v>
      </x:c>
      <x:c r="C16" s="46" t="str">
        <x:v>Attendance</x:v>
      </x:c>
      <x:c r="D16" s="46" t="str">
        <x:v>20 pts</x:v>
      </x:c>
      <x:c r="E16" s="46" t="str">
        <x:v>Time connected</x:v>
      </x:c>
      <x:c r="F16" s="46" t="str">
        <x:v>Up to 40 pts</x:v>
      </x:c>
      <x:c r="G16" s="46" t="str">
        <x:v>Question asked</x:v>
      </x:c>
      <x:c r="H16" s="46" t="str">
        <x:v>20 pts</x:v>
      </x:c>
    </x:row>
    <x:row r="17">
      <x:c r="A17" s="46" t="str">
        <x:v>Reactions / Q&amp;A</x:v>
      </x:c>
      <x:c r="B17" s="46" t="str">
        <x:v>Up to 10 pts</x:v>
      </x:c>
      <x:c r="C17" s="46" t="str">
        <x:v>Hot</x:v>
      </x:c>
      <x:c r="D17" s="46" t="str">
        <x:v>≥70</x:v>
      </x:c>
      <x:c r="E17" s="46" t="str">
        <x:v>Warm</x:v>
      </x:c>
      <x:c r="F17" s="46" t="str">
        <x:v>40–69.9</x:v>
      </x:c>
      <x:c r="G17" s="46" t="str">
        <x:v>Cold</x:v>
      </x:c>
      <x:c r="H17" s="46" t="str">
        <x:v>&lt;40</x:v>
      </x:c>
    </x:row>
    <x:row r="18">
      <x:c r="A18" s="46" t="str">
        <x:v>Commercial treatment</x:v>
      </x:c>
      <x:c r="B18" s="46" t="str">
        <x:v>Internal excluded</x:v>
      </x:c>
      <x:c r="C18" s="46" t="str">
        <x:v>Target duration</x:v>
      </x:c>
      <x:c r="D18" s="46" t="str">
        <x:v>90 min</x:v>
      </x:c>
      <x:c r="E18" s="46" t="str">
        <x:v>Ranking</x:v>
      </x:c>
      <x:c r="F18" s="46" t="str">
        <x:v>Score descending</x:v>
      </x:c>
      <x:c r="G18" s="46" t="str">
        <x:v>Priority</x:v>
      </x:c>
      <x:c r="H18" s="46" t="str">
        <x:v>Hot first</x:v>
      </x:c>
    </x:row>
    <x:row r="20">
      <x:c r="A20" s="49" t="str">
        <x:v>Commercial scoring excludes Control Union/Peterson contacts plus @alpla.com, @iscc-system.org and @recyclass.com. Hot/Warm/Cold represent only external commercial prospects.</x:v>
      </x:c>
      <x:c r="B20" s="49"/>
      <x:c r="C20" s="49"/>
      <x:c r="D20" s="49"/>
      <x:c r="E20" s="49"/>
      <x:c r="F20" s="49"/>
      <x:c r="G20" s="49"/>
      <x:c r="H20" s="49"/>
    </x:row>
    <x:row r="21">
      <x:c r="A21" s="49"/>
      <x:c r="B21" s="49"/>
      <x:c r="C21" s="49"/>
      <x:c r="D21" s="49"/>
      <x:c r="E21" s="49"/>
      <x:c r="F21" s="49"/>
      <x:c r="G21" s="49"/>
      <x:c r="H21" s="49"/>
    </x:row>
    <x:row r="22">
      <x:c r="A22" s="49"/>
      <x:c r="B22" s="49"/>
      <x:c r="C22" s="49"/>
      <x:c r="D22" s="49"/>
      <x:c r="E22" s="49"/>
      <x:c r="F22" s="49"/>
      <x:c r="G22" s="49"/>
      <x:c r="H22" s="49"/>
    </x:row>
  </x:sheetData>
  <x:mergeCells>
    <x:mergeCell ref="A1:H2"/>
    <x:mergeCell ref="F7:H7"/>
    <x:mergeCell ref="A15:H15"/>
    <x:mergeCell ref="A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0" hidden="0" customWidth="1"/>
    <x:col min="4" max="4" width="15" hidden="0" customWidth="1"/>
    <x:col min="5" max="5" width="15" hidden="0" customWidth="1"/>
    <x:col min="6" max="6" width="30" hidden="0" customWidth="1"/>
    <x:col min="7" max="7" width="25" hidden="0" customWidth="1"/>
    <x:col min="8" max="8" width="16" hidden="0" customWidth="1"/>
    <x:col min="9" max="9" width="14" hidden="0" customWidth="1"/>
    <x:col min="10" max="10" width="14" hidden="0" customWidth="1"/>
    <x:col min="11" max="11" width="11" hidden="0" customWidth="1"/>
    <x:col min="12" max="12" width="28" hidden="0" customWidth="1"/>
  </x:cols>
  <x:sheetData>
    <x:row r="1">
      <x:c r="A1" s="56" t="str">
        <x:v>Rank</x:v>
      </x:c>
      <x:c r="B1" s="56" t="str">
        <x:v>Lead Status</x:v>
      </x:c>
      <x:c r="C1" s="56" t="str">
        <x:v>Score</x:v>
      </x:c>
      <x:c r="D1" s="56" t="str">
        <x:v>First Name</x:v>
      </x:c>
      <x:c r="E1" s="56" t="str">
        <x:v>Last Name</x:v>
      </x:c>
      <x:c r="F1" s="56" t="str">
        <x:v>Email</x:v>
      </x:c>
      <x:c r="G1" s="56" t="str">
        <x:v>Organization</x:v>
      </x:c>
      <x:c r="H1" s="56" t="str">
        <x:v>Country/Region</x:v>
      </x:c>
      <x:c r="I1" s="56" t="str">
        <x:v>Attendance %</x:v>
      </x:c>
      <x:c r="J1" s="56" t="str">
        <x:v>Duration (min)</x:v>
      </x:c>
      <x:c r="K1" s="56" t="str">
        <x:v>Questions</x:v>
      </x:c>
      <x:c r="L1" s="56" t="str">
        <x:v>Suggested Follow-up</x:v>
      </x:c>
    </x:row>
    <x:row r="2">
      <x:c r="A2" t="n">
        <x:v>1</x:v>
      </x:c>
      <x:c r="B2" t="str">
        <x:v>Hot</x:v>
      </x:c>
      <x:c r="C2" t="n">
        <x:v>88.88888888888889</x:v>
      </x:c>
      <x:c r="D2" t="str">
        <x:v>Cindy</x:v>
      </x:c>
      <x:c r="E2" t="str">
        <x:v>Ormaza Mullo</x:v>
      </x:c>
      <x:c r="F2" t="str">
        <x:v>cormazamullo@trinseo.com</x:v>
      </x:c>
      <x:c r="G2" t="str">
        <x:v>Trinseo</x:v>
      </x:c>
      <x:c r="H2" t="str">
        <x:v>Netherlands</x:v>
      </x:c>
      <x:c r="I2" s="26" t="n">
        <x:v>0.9722</x:v>
      </x:c>
      <x:c r="J2" t="n">
        <x:v>87.5</x:v>
      </x:c>
      <x:c r="K2" t="n">
        <x:v>1</x:v>
      </x:c>
      <x:c r="L2" t="str">
        <x:v>Sales follow-up ASAP</x:v>
      </x:c>
    </x:row>
    <x:row r="3">
      <x:c r="A3" t="n">
        <x:v>2</x:v>
      </x:c>
      <x:c r="B3" t="str">
        <x:v>Hot</x:v>
      </x:c>
      <x:c r="C3" t="n">
        <x:v>70</x:v>
      </x:c>
      <x:c r="D3" t="str">
        <x:v>Harry</x:v>
      </x:c>
      <x:c r="E3" t="str">
        <x:v>Lin</x:v>
      </x:c>
      <x:c r="F3" t="str">
        <x:v>harry1260@gmail.com</x:v>
      </x:c>
      <x:c r="G3"/>
      <x:c r="H3" t="str">
        <x:v>台灣</x:v>
      </x:c>
      <x:c r="I3" s="26" t="n">
        <x:v>1</x:v>
      </x:c>
      <x:c r="J3" t="n">
        <x:v>90</x:v>
      </x:c>
      <x:c r="K3" t="n">
        <x:v>0</x:v>
      </x:c>
      <x:c r="L3" t="str">
        <x:v>Sales follow-up ASAP</x:v>
      </x:c>
    </x:row>
    <x:row r="4">
      <x:c r="A4" t="n">
        <x:v>3</x:v>
      </x:c>
      <x:c r="B4" t="str">
        <x:v>Hot</x:v>
      </x:c>
      <x:c r="C4" t="n">
        <x:v>70</x:v>
      </x:c>
      <x:c r="D4" t="str">
        <x:v>Dilyana</x:v>
      </x:c>
      <x:c r="E4" t="str">
        <x:v>Popova</x:v>
      </x:c>
      <x:c r="F4" t="str">
        <x:v>office@amb-bg.com</x:v>
      </x:c>
      <x:c r="G4" t="str">
        <x:v>AMB</x:v>
      </x:c>
      <x:c r="H4" t="str">
        <x:v>Bulgaria</x:v>
      </x:c>
      <x:c r="I4" s="26" t="n">
        <x:v>1</x:v>
      </x:c>
      <x:c r="J4" t="n">
        <x:v>90</x:v>
      </x:c>
      <x:c r="K4" t="n">
        <x:v>0</x:v>
      </x:c>
      <x:c r="L4" t="str">
        <x:v>Sales follow-up ASAP</x:v>
      </x:c>
    </x:row>
    <x:row r="5">
      <x:c r="A5" t="n">
        <x:v>4</x:v>
      </x:c>
      <x:c r="B5" t="str">
        <x:v>Hot</x:v>
      </x:c>
      <x:c r="C5" t="n">
        <x:v>70</x:v>
      </x:c>
      <x:c r="D5" t="str">
        <x:v>Jerome</x:v>
      </x:c>
      <x:c r="E5" t="str">
        <x:v>Douglas</x:v>
      </x:c>
      <x:c r="F5" t="str">
        <x:v>jerome.douglas@nl.bolsius.com</x:v>
      </x:c>
      <x:c r="G5" t="str">
        <x:v>Bolsius</x:v>
      </x:c>
      <x:c r="H5" t="str">
        <x:v>Netherlands</x:v>
      </x:c>
      <x:c r="I5" s="26" t="n">
        <x:v>1</x:v>
      </x:c>
      <x:c r="J5" t="n">
        <x:v>90</x:v>
      </x:c>
      <x:c r="K5" t="n">
        <x:v>0</x:v>
      </x:c>
      <x:c r="L5" t="str">
        <x:v>Sales follow-up ASAP</x:v>
      </x:c>
    </x:row>
    <x:row r="6">
      <x:c r="A6" t="n">
        <x:v>5</x:v>
      </x:c>
      <x:c r="B6" t="str">
        <x:v>Hot</x:v>
      </x:c>
      <x:c r="C6" t="n">
        <x:v>70</x:v>
      </x:c>
      <x:c r="D6" t="str">
        <x:v>Sukanya</x:v>
      </x:c>
      <x:c r="E6" t="str">
        <x:v>Dathong</x:v>
      </x:c>
      <x:c r="F6" t="str">
        <x:v>sukanya.dathong@doleintl.com</x:v>
      </x:c>
      <x:c r="G6" t="str">
        <x:v>Dole</x:v>
      </x:c>
      <x:c r="H6" t="str">
        <x:v>Thailand</x:v>
      </x:c>
      <x:c r="I6" s="26" t="n">
        <x:v>1</x:v>
      </x:c>
      <x:c r="J6" t="n">
        <x:v>90</x:v>
      </x:c>
      <x:c r="K6" t="n">
        <x:v>0</x:v>
      </x:c>
      <x:c r="L6" t="str">
        <x:v>Sales follow-up ASAP</x:v>
      </x:c>
    </x:row>
    <x:row r="7">
      <x:c r="A7" t="n">
        <x:v>6</x:v>
      </x:c>
      <x:c r="B7" t="str">
        <x:v>Hot</x:v>
      </x:c>
      <x:c r="C7" t="n">
        <x:v>70</x:v>
      </x:c>
      <x:c r="D7" t="str">
        <x:v>Bianca</x:v>
      </x:c>
      <x:c r="E7" t="str">
        <x:v>Wit</x:v>
      </x:c>
      <x:c r="F7" t="str">
        <x:v>biancadewit@primo.com</x:v>
      </x:c>
      <x:c r="G7" t="str">
        <x:v>Enitor Primo</x:v>
      </x:c>
      <x:c r="H7" t="str">
        <x:v>Netherlands</x:v>
      </x:c>
      <x:c r="I7" s="26" t="n">
        <x:v>1</x:v>
      </x:c>
      <x:c r="J7" t="n">
        <x:v>90</x:v>
      </x:c>
      <x:c r="K7" t="n">
        <x:v>0</x:v>
      </x:c>
      <x:c r="L7" t="str">
        <x:v>Sales follow-up ASAP</x:v>
      </x:c>
    </x:row>
    <x:row r="8">
      <x:c r="A8" t="n">
        <x:v>7</x:v>
      </x:c>
      <x:c r="B8" t="str">
        <x:v>Hot</x:v>
      </x:c>
      <x:c r="C8" t="n">
        <x:v>70</x:v>
      </x:c>
      <x:c r="D8" t="str">
        <x:v>Costel</x:v>
      </x:c>
      <x:c r="E8" t="str">
        <x:v>Suditu</x:v>
      </x:c>
      <x:c r="F8" t="str">
        <x:v>costel.suditu@greentech.ro</x:v>
      </x:c>
      <x:c r="G8" t="str">
        <x:v>Greentech S.A.</x:v>
      </x:c>
      <x:c r="H8" t="str">
        <x:v>Romania</x:v>
      </x:c>
      <x:c r="I8" s="26" t="n">
        <x:v>1</x:v>
      </x:c>
      <x:c r="J8" t="n">
        <x:v>90</x:v>
      </x:c>
      <x:c r="K8" t="n">
        <x:v>0</x:v>
      </x:c>
      <x:c r="L8" t="str">
        <x:v>Sales follow-up ASAP</x:v>
      </x:c>
    </x:row>
    <x:row r="9">
      <x:c r="A9" t="n">
        <x:v>8</x:v>
      </x:c>
      <x:c r="B9" t="str">
        <x:v>Hot</x:v>
      </x:c>
      <x:c r="C9" t="n">
        <x:v>70</x:v>
      </x:c>
      <x:c r="D9" t="str">
        <x:v>Blanka</x:v>
      </x:c>
      <x:c r="E9" t="str">
        <x:v>Szilvássy</x:v>
      </x:c>
      <x:c r="F9" t="str">
        <x:v>szilvassyb@nebih.gov.hu</x:v>
      </x:c>
      <x:c r="G9" t="str">
        <x:v>Nébih </x:v>
      </x:c>
      <x:c r="H9" t="str">
        <x:v>Magyarország</x:v>
      </x:c>
      <x:c r="I9" s="26" t="n">
        <x:v>1</x:v>
      </x:c>
      <x:c r="J9" t="n">
        <x:v>90</x:v>
      </x:c>
      <x:c r="K9" t="n">
        <x:v>0</x:v>
      </x:c>
      <x:c r="L9" t="str">
        <x:v>Sales follow-up ASAP</x:v>
      </x:c>
    </x:row>
    <x:row r="10">
      <x:c r="A10" t="n">
        <x:v>9</x:v>
      </x:c>
      <x:c r="B10" t="str">
        <x:v>Hot</x:v>
      </x:c>
      <x:c r="C10" t="n">
        <x:v>70</x:v>
      </x:c>
      <x:c r="D10" t="str">
        <x:v>Morta</x:v>
      </x:c>
      <x:c r="E10" t="str">
        <x:v>Ramoskaite</x:v>
      </x:c>
      <x:c r="F10" t="str">
        <x:v>info@pakuoteratu.lt</x:v>
      </x:c>
      <x:c r="G10" t="str">
        <x:v>Pakuote Ratu VsI</x:v>
      </x:c>
      <x:c r="H10" t="str">
        <x:v>Lithuania</x:v>
      </x:c>
      <x:c r="I10" s="26" t="n">
        <x:v>1</x:v>
      </x:c>
      <x:c r="J10" t="n">
        <x:v>90</x:v>
      </x:c>
      <x:c r="K10" t="n">
        <x:v>0</x:v>
      </x:c>
      <x:c r="L10" t="str">
        <x:v>Sales follow-up ASAP</x:v>
      </x:c>
    </x:row>
    <x:row r="11">
      <x:c r="A11" t="n">
        <x:v>10</x:v>
      </x:c>
      <x:c r="B11" t="str">
        <x:v>Hot</x:v>
      </x:c>
      <x:c r="C11" t="n">
        <x:v>70</x:v>
      </x:c>
      <x:c r="D11" t="str">
        <x:v>Muhammad</x:v>
      </x:c>
      <x:c r="E11" t="str">
        <x:v>Junaid</x:v>
      </x:c>
      <x:c r="F11" t="str">
        <x:v>junaid.upax@gmail.com</x:v>
      </x:c>
      <x:c r="G11" t="str">
        <x:v>Printech Packages pvt Ltd </x:v>
      </x:c>
      <x:c r="H11" t="str">
        <x:v>Pakistan</x:v>
      </x:c>
      <x:c r="I11" s="26" t="n">
        <x:v>1</x:v>
      </x:c>
      <x:c r="J11" t="n">
        <x:v>90</x:v>
      </x:c>
      <x:c r="K11" t="n">
        <x:v>0</x:v>
      </x:c>
      <x:c r="L11" t="str">
        <x:v>Sales follow-up ASAP</x:v>
      </x:c>
    </x:row>
    <x:row r="12">
      <x:c r="A12" t="n">
        <x:v>11</x:v>
      </x:c>
      <x:c r="B12" t="str">
        <x:v>Hot</x:v>
      </x:c>
      <x:c r="C12" t="n">
        <x:v>70</x:v>
      </x:c>
      <x:c r="D12" t="str">
        <x:v>Sandra</x:v>
      </x:c>
      <x:c r="E12" t="str">
        <x:v>Gomes</x:v>
      </x:c>
      <x:c r="F12" t="str">
        <x:v>sandrag@publiambiente.pt</x:v>
      </x:c>
      <x:c r="G12" t="str">
        <x:v>Publiambiente</x:v>
      </x:c>
      <x:c r="H12" t="str">
        <x:v>Portugal</x:v>
      </x:c>
      <x:c r="I12" s="26" t="n">
        <x:v>1</x:v>
      </x:c>
      <x:c r="J12" t="n">
        <x:v>90</x:v>
      </x:c>
      <x:c r="K12" t="n">
        <x:v>0</x:v>
      </x:c>
      <x:c r="L12" t="str">
        <x:v>Sales follow-up ASAP</x:v>
      </x:c>
    </x:row>
    <x:row r="13">
      <x:c r="A13" t="n">
        <x:v>12</x:v>
      </x:c>
      <x:c r="B13" t="str">
        <x:v>Warm</x:v>
      </x:c>
      <x:c r="C13" t="n">
        <x:v>69.86666666666667</x:v>
      </x:c>
      <x:c r="D13" t="str">
        <x:v>Daniela</x:v>
      </x:c>
      <x:c r="E13" t="str">
        <x:v>Gomes</x:v>
      </x:c>
      <x:c r="F13" t="str">
        <x:v>daniela@publiambiente.pt</x:v>
      </x:c>
      <x:c r="G13" t="str">
        <x:v>Publiambiente</x:v>
      </x:c>
      <x:c r="H13" t="str">
        <x:v>Portugal</x:v>
      </x:c>
      <x:c r="I13" s="26" t="n">
        <x:v>0.997</x:v>
      </x:c>
      <x:c r="J13" t="n">
        <x:v>89.7</x:v>
      </x:c>
      <x:c r="K13" t="n">
        <x:v>0</x:v>
      </x:c>
      <x:c r="L13" t="str">
        <x:v>Personalized nurture follow-up</x:v>
      </x:c>
    </x:row>
    <x:row r="14">
      <x:c r="A14" t="n">
        <x:v>13</x:v>
      </x:c>
      <x:c r="B14" t="str">
        <x:v>Warm</x:v>
      </x:c>
      <x:c r="C14" t="n">
        <x:v>69.77777777777777</x:v>
      </x:c>
      <x:c r="D14" t="str">
        <x:v>Nattarika</x:v>
      </x:c>
      <x:c r="E14" t="str">
        <x:v>Siripunt</x:v>
      </x:c>
      <x:c r="F14" t="str">
        <x:v>nattarika.siripunt@doleintl.com</x:v>
      </x:c>
      <x:c r="G14" t="str">
        <x:v>Dole Food and Beverage group </x:v>
      </x:c>
      <x:c r="H14" t="str">
        <x:v>Thailand</x:v>
      </x:c>
      <x:c r="I14" s="26" t="n">
        <x:v>0.9943</x:v>
      </x:c>
      <x:c r="J14" t="n">
        <x:v>89.5</x:v>
      </x:c>
      <x:c r="K14" t="n">
        <x:v>0</x:v>
      </x:c>
      <x:c r="L14" t="str">
        <x:v>Personalized nurture follow-up</x:v>
      </x:c>
    </x:row>
    <x:row r="15">
      <x:c r="A15" t="n">
        <x:v>14</x:v>
      </x:c>
      <x:c r="B15" t="str">
        <x:v>Warm</x:v>
      </x:c>
      <x:c r="C15" t="n">
        <x:v>69.46666666666667</x:v>
      </x:c>
      <x:c r="D15" t="str">
        <x:v>Linda</x:v>
      </x:c>
      <x:c r="E15" t="str">
        <x:v>Gustafssson</x:v>
      </x:c>
      <x:c r="F15" t="str">
        <x:v>linda.gustafsson@toteme.com</x:v>
      </x:c>
      <x:c r="G15" t="str">
        <x:v>TOTEME AB</x:v>
      </x:c>
      <x:c r="H15" t="str">
        <x:v>Sweden</x:v>
      </x:c>
      <x:c r="I15" s="26" t="n">
        <x:v>0.9867</x:v>
      </x:c>
      <x:c r="J15" t="n">
        <x:v>88.8</x:v>
      </x:c>
      <x:c r="K15" t="n">
        <x:v>0</x:v>
      </x:c>
      <x:c r="L15" t="str">
        <x:v>Personalized nurture follow-up</x:v>
      </x:c>
    </x:row>
    <x:row r="16">
      <x:c r="A16" t="n">
        <x:v>15</x:v>
      </x:c>
      <x:c r="B16" t="str">
        <x:v>Warm</x:v>
      </x:c>
      <x:c r="C16" t="n">
        <x:v>69.42222222222222</x:v>
      </x:c>
      <x:c r="D16" t="str">
        <x:v>Venislava</x:v>
      </x:c>
      <x:c r="E16" t="str">
        <x:v>Lilova</x:v>
      </x:c>
      <x:c r="F16" t="str">
        <x:v>office@jlnpack.com</x:v>
      </x:c>
      <x:c r="G16" t="str">
        <x:v>SD Jivkov Lilov Neshev</x:v>
      </x:c>
      <x:c r="H16" t="str">
        <x:v>Bulgaria</x:v>
      </x:c>
      <x:c r="I16" s="26" t="n">
        <x:v>0.985</x:v>
      </x:c>
      <x:c r="J16" t="n">
        <x:v>88.7</x:v>
      </x:c>
      <x:c r="K16" t="n">
        <x:v>0</x:v>
      </x:c>
      <x:c r="L16" t="str">
        <x:v>Personalized nurture follow-up</x:v>
      </x:c>
    </x:row>
    <x:row r="17">
      <x:c r="A17" t="n">
        <x:v>16</x:v>
      </x:c>
      <x:c r="B17" t="str">
        <x:v>Warm</x:v>
      </x:c>
      <x:c r="C17" t="n">
        <x:v>69.33333333333333</x:v>
      </x:c>
      <x:c r="D17" t="str">
        <x:v>Dimitar</x:v>
      </x:c>
      <x:c r="E17" t="str">
        <x:v>Dyankov</x:v>
      </x:c>
      <x:c r="F17" t="str">
        <x:v>dimitar.diankov@cchellenic.com</x:v>
      </x:c>
      <x:c r="G17" t="str">
        <x:v>Coca-Cola HBC</x:v>
      </x:c>
      <x:c r="H17" t="str">
        <x:v>Bulgaria</x:v>
      </x:c>
      <x:c r="I17" s="26" t="n">
        <x:v>0.9837</x:v>
      </x:c>
      <x:c r="J17" t="n">
        <x:v>88.5</x:v>
      </x:c>
      <x:c r="K17" t="n">
        <x:v>0</x:v>
      </x:c>
      <x:c r="L17" t="str">
        <x:v>Personalized nurture follow-up</x:v>
      </x:c>
    </x:row>
    <x:row r="18">
      <x:c r="A18" t="n">
        <x:v>17</x:v>
      </x:c>
      <x:c r="B18" t="str">
        <x:v>Warm</x:v>
      </x:c>
      <x:c r="C18" t="n">
        <x:v>69.33333333333333</x:v>
      </x:c>
      <x:c r="D18" t="str">
        <x:v>Lilach</x:v>
      </x:c>
      <x:c r="E18" t="str">
        <x:v>Winebloom</x:v>
      </x:c>
      <x:c r="F18" t="str">
        <x:v>lilach.quality@gmail.com</x:v>
      </x:c>
      <x:c r="G18" t="str">
        <x:v>Estia Consulting</x:v>
      </x:c>
      <x:c r="H18" t="str">
        <x:v>ישראל</x:v>
      </x:c>
      <x:c r="I18" s="26" t="n">
        <x:v>0.9835</x:v>
      </x:c>
      <x:c r="J18" t="n">
        <x:v>88.5</x:v>
      </x:c>
      <x:c r="K18" t="n">
        <x:v>0</x:v>
      </x:c>
      <x:c r="L18" t="str">
        <x:v>Personalized nurture follow-up</x:v>
      </x:c>
    </x:row>
    <x:row r="19">
      <x:c r="A19" t="n">
        <x:v>18</x:v>
      </x:c>
      <x:c r="B19" t="str">
        <x:v>Warm</x:v>
      </x:c>
      <x:c r="C19" t="n">
        <x:v>68.84444444444445</x:v>
      </x:c>
      <x:c r="D19" t="str">
        <x:v>Thorsten</x:v>
      </x:c>
      <x:c r="E19" t="str">
        <x:v>Hausmann</x:v>
      </x:c>
      <x:c r="F19" t="str">
        <x:v>thorsten.hausmann@jokey.com</x:v>
      </x:c>
      <x:c r="G19" t="str">
        <x:v>DE123239087</x:v>
      </x:c>
      <x:c r="H19" t="str">
        <x:v>Deutschland</x:v>
      </x:c>
      <x:c r="I19" s="26" t="n">
        <x:v>0.9715</x:v>
      </x:c>
      <x:c r="J19" t="n">
        <x:v>87.4</x:v>
      </x:c>
      <x:c r="K19" t="n">
        <x:v>0</x:v>
      </x:c>
      <x:c r="L19" t="str">
        <x:v>Personalized nurture follow-up</x:v>
      </x:c>
    </x:row>
    <x:row r="20">
      <x:c r="A20" t="n">
        <x:v>19</x:v>
      </x:c>
      <x:c r="B20" t="str">
        <x:v>Warm</x:v>
      </x:c>
      <x:c r="C20" t="n">
        <x:v>68.35555555555555</x:v>
      </x:c>
      <x:c r="D20" t="str">
        <x:v>Danijela</x:v>
      </x:c>
      <x:c r="E20" t="str">
        <x:v>Antov-Bozalo</x:v>
      </x:c>
      <x:c r="F20" t="str">
        <x:v>danijela.antovbozalo@jokey.com</x:v>
      </x:c>
      <x:c r="G20" t="str">
        <x:v>Jokey BG d.o.o.</x:v>
      </x:c>
      <x:c r="H20" t="str">
        <x:v>Serbia</x:v>
      </x:c>
      <x:c r="I20" s="26" t="n">
        <x:v>0.9594</x:v>
      </x:c>
      <x:c r="J20" t="n">
        <x:v>86.3</x:v>
      </x:c>
      <x:c r="K20" t="n">
        <x:v>0</x:v>
      </x:c>
      <x:c r="L20" t="str">
        <x:v>Personalized nurture follow-up</x:v>
      </x:c>
    </x:row>
    <x:row r="21">
      <x:c r="A21" t="n">
        <x:v>20</x:v>
      </x:c>
      <x:c r="B21" t="str">
        <x:v>Warm</x:v>
      </x:c>
      <x:c r="C21" t="n">
        <x:v>67.6888888888889</x:v>
      </x:c>
      <x:c r="D21" t="str">
        <x:v>Sylvana</x:v>
      </x:c>
      <x:c r="E21" t="str">
        <x:v>SCAMPINI</x:v>
      </x:c>
      <x:c r="F21" t="str">
        <x:v>sylvana.scampini@ecocert.com</x:v>
      </x:c>
      <x:c r="G21" t="str">
        <x:v>ECOCERT GREENLIFE</x:v>
      </x:c>
      <x:c r="H21" t="str">
        <x:v>France</x:v>
      </x:c>
      <x:c r="I21" s="26" t="n">
        <x:v>0.9428</x:v>
      </x:c>
      <x:c r="J21" t="n">
        <x:v>84.8</x:v>
      </x:c>
      <x:c r="K21" t="n">
        <x:v>0</x:v>
      </x:c>
      <x:c r="L21" t="str">
        <x:v>Personalized nurture follow-up</x:v>
      </x:c>
    </x:row>
    <x:row r="22">
      <x:c r="A22" t="n">
        <x:v>21</x:v>
      </x:c>
      <x:c r="B22" t="str">
        <x:v>Warm</x:v>
      </x:c>
      <x:c r="C22" t="n">
        <x:v>67.55555555555556</x:v>
      </x:c>
      <x:c r="D22" t="str">
        <x:v>Leena</x:v>
      </x:c>
      <x:c r="E22" t="str">
        <x:v>Taha-Salaime</x:v>
      </x:c>
      <x:c r="F22" t="str">
        <x:v>leena.ta.salaime@gmail.com</x:v>
      </x:c>
      <x:c r="G22" t="str">
        <x:v>Senior International Scientific, Regulatory &amp; Strategic Consultant</x:v>
      </x:c>
      <x:c r="H22" t="str">
        <x:v>Israel</x:v>
      </x:c>
      <x:c r="I22" s="26" t="n">
        <x:v>0.9393</x:v>
      </x:c>
      <x:c r="J22" t="n">
        <x:v>84.5</x:v>
      </x:c>
      <x:c r="K22" t="n">
        <x:v>0</x:v>
      </x:c>
      <x:c r="L22" t="str">
        <x:v>Personalized nurture follow-up</x:v>
      </x:c>
    </x:row>
    <x:row r="23">
      <x:c r="A23" t="n">
        <x:v>22</x:v>
      </x:c>
      <x:c r="B23" t="str">
        <x:v>Warm</x:v>
      </x:c>
      <x:c r="C23" t="n">
        <x:v>67.02222222222223</x:v>
      </x:c>
      <x:c r="D23" t="str">
        <x:v>Oksana</x:v>
      </x:c>
      <x:c r="E23" t="str">
        <x:v>Mironova</x:v>
      </x:c>
      <x:c r="F23" t="str">
        <x:v>qa@rpet.co.il</x:v>
      </x:c>
      <x:c r="G23" t="str">
        <x:v>Rpet</x:v>
      </x:c>
      <x:c r="H23" t="str">
        <x:v>Israel</x:v>
      </x:c>
      <x:c r="I23" s="26" t="n">
        <x:v>0.9256</x:v>
      </x:c>
      <x:c r="J23" t="n">
        <x:v>83.3</x:v>
      </x:c>
      <x:c r="K23" t="n">
        <x:v>0</x:v>
      </x:c>
      <x:c r="L23" t="str">
        <x:v>Personalized nurture follow-up</x:v>
      </x:c>
    </x:row>
    <x:row r="24">
      <x:c r="A24" t="n">
        <x:v>23</x:v>
      </x:c>
      <x:c r="B24" t="str">
        <x:v>Warm</x:v>
      </x:c>
      <x:c r="C24" t="n">
        <x:v>65.46666666666667</x:v>
      </x:c>
      <x:c r="D24" t="str">
        <x:v>Frank</x:v>
      </x:c>
      <x:c r="E24" t="str">
        <x:v>Hattem, van</x:v>
      </x:c>
      <x:c r="F24" t="str">
        <x:v>frank.van.hattem@kiwa.com</x:v>
      </x:c>
      <x:c r="G24" t="str">
        <x:v>Kiwa</x:v>
      </x:c>
      <x:c r="H24" t="str">
        <x:v>Netherlands</x:v>
      </x:c>
      <x:c r="I24" s="26" t="n">
        <x:v>0.8861</x:v>
      </x:c>
      <x:c r="J24" t="n">
        <x:v>79.8</x:v>
      </x:c>
      <x:c r="K24" t="n">
        <x:v>0</x:v>
      </x:c>
      <x:c r="L24" t="str">
        <x:v>Personalized nurture follow-up</x:v>
      </x:c>
    </x:row>
    <x:row r="25">
      <x:c r="A25" t="n">
        <x:v>24</x:v>
      </x:c>
      <x:c r="B25" t="str">
        <x:v>Warm</x:v>
      </x:c>
      <x:c r="C25" t="n">
        <x:v>65.06666666666666</x:v>
      </x:c>
      <x:c r="D25" t="str">
        <x:v>Erin</x:v>
      </x:c>
      <x:c r="E25" t="str">
        <x:v>Semple</x:v>
      </x:c>
      <x:c r="F25" t="str">
        <x:v>erin.semple@averydennison.com</x:v>
      </x:c>
      <x:c r="G25" t="str">
        <x:v>Avery Dennison</x:v>
      </x:c>
      <x:c r="H25" t="str">
        <x:v>United States</x:v>
      </x:c>
      <x:c r="I25" s="26" t="n">
        <x:v>0.8767</x:v>
      </x:c>
      <x:c r="J25" t="n">
        <x:v>78.9</x:v>
      </x:c>
      <x:c r="K25" t="n">
        <x:v>0</x:v>
      </x:c>
      <x:c r="L25" t="str">
        <x:v>Personalized nurture follow-up</x:v>
      </x:c>
    </x:row>
    <x:row r="26">
      <x:c r="A26" t="n">
        <x:v>25</x:v>
      </x:c>
      <x:c r="B26" t="str">
        <x:v>Warm</x:v>
      </x:c>
      <x:c r="C26" t="n">
        <x:v>61.46666666666667</x:v>
      </x:c>
      <x:c r="D26" t="str">
        <x:v>Brecht</x:v>
      </x:c>
      <x:c r="E26" t="str">
        <x:v>Deschuymer</x:v>
      </x:c>
      <x:c r="F26" t="str">
        <x:v>brecht.deschuymer@baltagroup.com</x:v>
      </x:c>
      <x:c r="G26" t="str">
        <x:v>Balta Industries</x:v>
      </x:c>
      <x:c r="H26" t="str">
        <x:v>Belgium</x:v>
      </x:c>
      <x:c r="I26" s="26" t="n">
        <x:v>0.787</x:v>
      </x:c>
      <x:c r="J26" t="n">
        <x:v>70.8</x:v>
      </x:c>
      <x:c r="K26" t="n">
        <x:v>0</x:v>
      </x:c>
      <x:c r="L26" t="str">
        <x:v>Personalized nurture follow-up</x:v>
      </x:c>
    </x:row>
    <x:row r="27">
      <x:c r="A27" t="n">
        <x:v>26</x:v>
      </x:c>
      <x:c r="B27" t="str">
        <x:v>Warm</x:v>
      </x:c>
      <x:c r="C27" t="n">
        <x:v>60.44444444444444</x:v>
      </x:c>
      <x:c r="D27" t="str">
        <x:v>Vitalij</x:v>
      </x:c>
      <x:c r="E27" t="str">
        <x:v>Salikov</x:v>
      </x:c>
      <x:c r="F27" t="str">
        <x:v>salikov@matterr.de</x:v>
      </x:c>
      <x:c r="G27"/>
      <x:c r="H27" t="str">
        <x:v>Germany</x:v>
      </x:c>
      <x:c r="I27" s="26" t="n">
        <x:v>0.7606</x:v>
      </x:c>
      <x:c r="J27" t="n">
        <x:v>68.5</x:v>
      </x:c>
      <x:c r="K27" t="n">
        <x:v>0</x:v>
      </x:c>
      <x:c r="L27" t="str">
        <x:v>Personalized nurture follow-up</x:v>
      </x:c>
    </x:row>
    <x:row r="28">
      <x:c r="A28" t="n">
        <x:v>27</x:v>
      </x:c>
      <x:c r="B28" t="str">
        <x:v>Warm</x:v>
      </x:c>
      <x:c r="C28" t="n">
        <x:v>59.77777777777778</x:v>
      </x:c>
      <x:c r="D28" t="str">
        <x:v>Norberto</x:v>
      </x:c>
      <x:c r="E28" t="str">
        <x:v>Fernandez Soriano</x:v>
      </x:c>
      <x:c r="F28" t="str">
        <x:v>nsoriano@gategroup.com</x:v>
      </x:c>
      <x:c r="G28" t="str">
        <x:v>deSter </x:v>
      </x:c>
      <x:c r="H28" t="str">
        <x:v>Belgium</x:v>
      </x:c>
      <x:c r="I28" s="26" t="n">
        <x:v>0.7443</x:v>
      </x:c>
      <x:c r="J28" t="n">
        <x:v>67</x:v>
      </x:c>
      <x:c r="K28" t="n">
        <x:v>0</x:v>
      </x:c>
      <x:c r="L28" t="str">
        <x:v>Personalized nurture follow-up</x:v>
      </x:c>
    </x:row>
    <x:row r="29">
      <x:c r="A29" t="n">
        <x:v>28</x:v>
      </x:c>
      <x:c r="B29" t="str">
        <x:v>Warm</x:v>
      </x:c>
      <x:c r="C29" t="n">
        <x:v>59.6</x:v>
      </x:c>
      <x:c r="D29" t="str">
        <x:v>Darlin</x:v>
      </x:c>
      <x:c r="E29" t="str">
        <x:v>Mejia</x:v>
      </x:c>
      <x:c r="F29" t="str">
        <x:v>dcmejia@pantaleon.com</x:v>
      </x:c>
      <x:c r="G29" t="str">
        <x:v>Pantaleon S.A.</x:v>
      </x:c>
      <x:c r="H29" t="str">
        <x:v>Guatemala </x:v>
      </x:c>
      <x:c r="I29" s="26" t="n">
        <x:v>0.7398</x:v>
      </x:c>
      <x:c r="J29" t="n">
        <x:v>66.6</x:v>
      </x:c>
      <x:c r="K29" t="n">
        <x:v>0</x:v>
      </x:c>
      <x:c r="L29" t="str">
        <x:v>Personalized nurture follow-up</x:v>
      </x:c>
    </x:row>
    <x:row r="30">
      <x:c r="A30" t="n">
        <x:v>29</x:v>
      </x:c>
      <x:c r="B30" t="str">
        <x:v>Warm</x:v>
      </x:c>
      <x:c r="C30" t="n">
        <x:v>57.77777777777778</x:v>
      </x:c>
      <x:c r="D30" t="str">
        <x:v>Miguel</x:v>
      </x:c>
      <x:c r="E30" t="str">
        <x:v>Villanueva</x:v>
      </x:c>
      <x:c r="F30" t="str">
        <x:v>miguel.villanueva@nutrisco.com</x:v>
      </x:c>
      <x:c r="G30" t="str">
        <x:v>Nutrisco</x:v>
      </x:c>
      <x:c r="H30" t="str">
        <x:v>Chile</x:v>
      </x:c>
      <x:c r="I30" s="26" t="n">
        <x:v>0.6948</x:v>
      </x:c>
      <x:c r="J30" t="n">
        <x:v>62.5</x:v>
      </x:c>
      <x:c r="K30" t="n">
        <x:v>0</x:v>
      </x:c>
      <x:c r="L30" t="str">
        <x:v>Personalized nurture follow-up</x:v>
      </x:c>
    </x:row>
    <x:row r="31">
      <x:c r="A31" t="n">
        <x:v>30</x:v>
      </x:c>
      <x:c r="B31" t="str">
        <x:v>Warm</x:v>
      </x:c>
      <x:c r="C31" t="n">
        <x:v>56.666666666666664</x:v>
      </x:c>
      <x:c r="D31" t="str">
        <x:v>Milena Parnigoni</x:v>
      </x:c>
      <x:c r="E31" t="str">
        <x:v>Parnigoni</x:v>
      </x:c>
      <x:c r="F31" t="str">
        <x:v>milena.parnigoni@logoplaste.com</x:v>
      </x:c>
      <x:c r="G31" t="str">
        <x:v>Logoplaste Innovation Lab</x:v>
      </x:c>
      <x:c r="H31" t="str">
        <x:v>Portugal</x:v>
      </x:c>
      <x:c r="I31" s="26" t="n">
        <x:v>0.667</x:v>
      </x:c>
      <x:c r="J31" t="n">
        <x:v>60</x:v>
      </x:c>
      <x:c r="K31" t="n">
        <x:v>0</x:v>
      </x:c>
      <x:c r="L31" t="str">
        <x:v>Personalized nurture follow-up</x:v>
      </x:c>
    </x:row>
    <x:row r="32">
      <x:c r="A32" t="n">
        <x:v>31</x:v>
      </x:c>
      <x:c r="B32" t="str">
        <x:v>Warm</x:v>
      </x:c>
      <x:c r="C32" t="n">
        <x:v>54.93333333333333</x:v>
      </x:c>
      <x:c r="D32" t="str">
        <x:v>Philippe</x:v>
      </x:c>
      <x:c r="E32" t="str">
        <x:v>Doliger</x:v>
      </x:c>
      <x:c r="F32" t="str">
        <x:v>pdoliger@recyclingeurope.org</x:v>
      </x:c>
      <x:c r="G32" t="str">
        <x:v>Recycling Europe </x:v>
      </x:c>
      <x:c r="H32" t="str">
        <x:v>Belgium</x:v>
      </x:c>
      <x:c r="I32" s="26" t="n">
        <x:v>0.6237</x:v>
      </x:c>
      <x:c r="J32" t="n">
        <x:v>56.1</x:v>
      </x:c>
      <x:c r="K32" t="n">
        <x:v>0</x:v>
      </x:c>
      <x:c r="L32" t="str">
        <x:v>Personalized nurture follow-up</x:v>
      </x:c>
    </x:row>
    <x:row r="33">
      <x:c r="A33" t="n">
        <x:v>32</x:v>
      </x:c>
      <x:c r="B33" t="str">
        <x:v>Warm</x:v>
      </x:c>
      <x:c r="C33" t="n">
        <x:v>52.666666666666664</x:v>
      </x:c>
      <x:c r="D33" t="str">
        <x:v>andre</x:v>
      </x:c>
      <x:c r="E33" t="str">
        <x:v>Perez alonso</x:v>
      </x:c>
      <x:c r="F33" t="str">
        <x:v>a.perezalonso@kolmargroup.com</x:v>
      </x:c>
      <x:c r="G33" t="str">
        <x:v>Kolmar Group AG</x:v>
      </x:c>
      <x:c r="H33" t="str">
        <x:v>Suiza</x:v>
      </x:c>
      <x:c r="I33" s="26" t="n">
        <x:v>0.5667</x:v>
      </x:c>
      <x:c r="J33" t="n">
        <x:v>51</x:v>
      </x:c>
      <x:c r="K33" t="n">
        <x:v>0</x:v>
      </x:c>
      <x:c r="L33" t="str">
        <x:v>Personalized nurture follow-up</x:v>
      </x:c>
    </x:row>
    <x:row r="34">
      <x:c r="A34" t="n">
        <x:v>33</x:v>
      </x:c>
      <x:c r="B34" t="str">
        <x:v>Warm</x:v>
      </x:c>
      <x:c r="C34" t="n">
        <x:v>52.44444444444444</x:v>
      </x:c>
      <x:c r="D34" t="str">
        <x:v>SHEHBAZ</x:v>
      </x:c>
      <x:c r="E34" t="str">
        <x:v>AHMED</x:v>
      </x:c>
      <x:c r="F34" t="str">
        <x:v>shehbazahmed743@gmail.com</x:v>
      </x:c>
      <x:c r="G34" t="str">
        <x:v>LIBERTY MILLS LIMITED</x:v>
      </x:c>
      <x:c r="H34" t="str">
        <x:v>PAKISTAN</x:v>
      </x:c>
      <x:c r="I34" s="26" t="n">
        <x:v>0.5607</x:v>
      </x:c>
      <x:c r="J34" t="n">
        <x:v>50.5</x:v>
      </x:c>
      <x:c r="K34" t="n">
        <x:v>0</x:v>
      </x:c>
      <x:c r="L34" t="str">
        <x:v>Personalized nurture follow-up</x:v>
      </x:c>
    </x:row>
    <x:row r="35">
      <x:c r="A35" t="n">
        <x:v>34</x:v>
      </x:c>
      <x:c r="B35" t="str">
        <x:v>Warm</x:v>
      </x:c>
      <x:c r="C35" t="n">
        <x:v>51.644444444444446</x:v>
      </x:c>
      <x:c r="D35" t="str">
        <x:v>Juan</x:v>
      </x:c>
      <x:c r="E35" t="str">
        <x:v>Rico Zamorano</x:v>
      </x:c>
      <x:c r="F35" t="str">
        <x:v>juan.rico@alcaliber.com</x:v>
      </x:c>
      <x:c r="G35" t="str">
        <x:v>Alcaliber S.A.</x:v>
      </x:c>
      <x:c r="H35" t="str">
        <x:v>España</x:v>
      </x:c>
      <x:c r="I35" s="26" t="n">
        <x:v>0.5409</x:v>
      </x:c>
      <x:c r="J35" t="n">
        <x:v>48.7</x:v>
      </x:c>
      <x:c r="K35" t="n">
        <x:v>0</x:v>
      </x:c>
      <x:c r="L35" t="str">
        <x:v>Personalized nurture follow-up</x:v>
      </x:c>
    </x:row>
    <x:row r="36">
      <x:c r="A36" t="n">
        <x:v>35</x:v>
      </x:c>
      <x:c r="B36" t="str">
        <x:v>Warm</x:v>
      </x:c>
      <x:c r="C36" t="n">
        <x:v>50.84444444444444</x:v>
      </x:c>
      <x:c r="D36" t="str">
        <x:v>David</x:v>
      </x:c>
      <x:c r="E36" t="str">
        <x:v>Peñarrubia Navarro</x:v>
      </x:c>
      <x:c r="F36" t="str">
        <x:v>dpe@fecc.org</x:v>
      </x:c>
      <x:c r="G36" t="str">
        <x:v>Fecc</x:v>
      </x:c>
      <x:c r="H36" t="str">
        <x:v>Belgium</x:v>
      </x:c>
      <x:c r="I36" s="26" t="n">
        <x:v>0.5207</x:v>
      </x:c>
      <x:c r="J36" t="n">
        <x:v>46.9</x:v>
      </x:c>
      <x:c r="K36" t="n">
        <x:v>0</x:v>
      </x:c>
      <x:c r="L36" t="str">
        <x:v>Personalized nurture follow-up</x:v>
      </x:c>
    </x:row>
    <x:row r="37">
      <x:c r="A37" t="n">
        <x:v>36</x:v>
      </x:c>
      <x:c r="B37" t="str">
        <x:v>Warm</x:v>
      </x:c>
      <x:c r="C37" t="n">
        <x:v>48.22222222222222</x:v>
      </x:c>
      <x:c r="D37" t="str">
        <x:v>Maria de Lourdes Alejandra</x:v>
      </x:c>
      <x:c r="E37" t="str">
        <x:v>Aguilar Solis</x:v>
      </x:c>
      <x:c r="F37" t="str">
        <x:v>mdaaguilarsolis81@gmail.com</x:v>
      </x:c>
      <x:c r="G37"/>
      <x:c r="H37" t="str">
        <x:v>Italia</x:v>
      </x:c>
      <x:c r="I37" s="26" t="n">
        <x:v>0.4561</x:v>
      </x:c>
      <x:c r="J37" t="n">
        <x:v>41</x:v>
      </x:c>
      <x:c r="K37" t="n">
        <x:v>0</x:v>
      </x:c>
      <x:c r="L37" t="str">
        <x:v>Personalized nurture follow-up</x:v>
      </x:c>
    </x:row>
    <x:row r="38">
      <x:c r="A38" t="n">
        <x:v>37</x:v>
      </x:c>
      <x:c r="B38" t="str">
        <x:v>Warm</x:v>
      </x:c>
      <x:c r="C38" t="n">
        <x:v>46.4</x:v>
      </x:c>
      <x:c r="D38" t="str">
        <x:v>Shehara</x:v>
      </x:c>
      <x:c r="E38" t="str">
        <x:v>Fernando</x:v>
      </x:c>
      <x:c r="F38" t="str">
        <x:v>sheharamf@gmail.com</x:v>
      </x:c>
      <x:c r="G38" t="str">
        <x:v>Hayleys Aventura Pvt Ltd.</x:v>
      </x:c>
      <x:c r="H38" t="str">
        <x:v>Sri Lanka </x:v>
      </x:c>
      <x:c r="I38" s="26" t="n">
        <x:v>0.4094</x:v>
      </x:c>
      <x:c r="J38" t="n">
        <x:v>36.9</x:v>
      </x:c>
      <x:c r="K38" t="n">
        <x:v>0</x:v>
      </x:c>
      <x:c r="L38" t="str">
        <x:v>Personalized nurture follow-up</x:v>
      </x:c>
    </x:row>
    <x:row r="39">
      <x:c r="A39" t="n">
        <x:v>38</x:v>
      </x:c>
      <x:c r="B39" t="str">
        <x:v>Warm</x:v>
      </x:c>
      <x:c r="C39" t="n">
        <x:v>43.15555555555555</x:v>
      </x:c>
      <x:c r="D39" t="str">
        <x:v>Sebastian</x:v>
      </x:c>
      <x:c r="E39" t="str">
        <x:v>Ortega</x:v>
      </x:c>
      <x:c r="F39" t="str">
        <x:v>sortega@silchron.com</x:v>
      </x:c>
      <x:c r="G39" t="str">
        <x:v>Silchron</x:v>
      </x:c>
      <x:c r="H39" t="str">
        <x:v>Chile</x:v>
      </x:c>
      <x:c r="I39" s="26" t="n">
        <x:v>0.3291</x:v>
      </x:c>
      <x:c r="J39" t="n">
        <x:v>29.6</x:v>
      </x:c>
      <x:c r="K39" t="n">
        <x:v>0</x:v>
      </x:c>
      <x:c r="L39" t="str">
        <x:v>Personalized nurture follow-up</x:v>
      </x:c>
    </x:row>
    <x:row r="40">
      <x:c r="A40" t="n">
        <x:v>39</x:v>
      </x:c>
      <x:c r="B40" t="str">
        <x:v>Warm</x:v>
      </x:c>
      <x:c r="C40" t="n">
        <x:v>43.022222222222226</x:v>
      </x:c>
      <x:c r="D40" t="str">
        <x:v>Edita</x:v>
      </x:c>
      <x:c r="E40" t="str">
        <x:v>Kala</x:v>
      </x:c>
      <x:c r="F40" t="str">
        <x:v>e.kala@intersnackgroup.com</x:v>
      </x:c>
      <x:c r="G40" t="str">
        <x:v>Intersnack</x:v>
      </x:c>
      <x:c r="H40" t="str">
        <x:v>Germany</x:v>
      </x:c>
      <x:c r="I40" s="26" t="n">
        <x:v>0.3256</x:v>
      </x:c>
      <x:c r="J40" t="n">
        <x:v>29.3</x:v>
      </x:c>
      <x:c r="K40" t="n">
        <x:v>0</x:v>
      </x:c>
      <x:c r="L40" t="str">
        <x:v>Personalized nurture follow-up</x:v>
      </x:c>
    </x:row>
    <x:row r="41">
      <x:c r="A41" t="n">
        <x:v>40</x:v>
      </x:c>
      <x:c r="B41" t="str">
        <x:v>Warm</x:v>
      </x:c>
      <x:c r="C41" t="n">
        <x:v>41.46666666666667</x:v>
      </x:c>
      <x:c r="D41" t="str">
        <x:v>Snezhana</x:v>
      </x:c>
      <x:c r="E41" t="str">
        <x:v>Terzieva</x:v>
      </x:c>
      <x:c r="F41" t="str">
        <x:v>lovekorn.st@gmail.com</x:v>
      </x:c>
      <x:c r="G41"/>
      <x:c r="H41" t="str">
        <x:v>United Kingdom</x:v>
      </x:c>
      <x:c r="I41" s="26" t="n">
        <x:v>0.287</x:v>
      </x:c>
      <x:c r="J41" t="n">
        <x:v>25.8</x:v>
      </x:c>
      <x:c r="K41" t="n">
        <x:v>0</x:v>
      </x:c>
      <x:c r="L41" t="str">
        <x:v>Personalized nurture follow-up</x:v>
      </x:c>
    </x:row>
    <x:row r="42">
      <x:c r="A42" t="n">
        <x:v>41</x:v>
      </x:c>
      <x:c r="B42" t="str">
        <x:v>Warm</x:v>
      </x:c>
      <x:c r="C42" t="n">
        <x:v>40.977777777777774</x:v>
      </x:c>
      <x:c r="D42" t="str">
        <x:v>Stefan</x:v>
      </x:c>
      <x:c r="E42" t="str">
        <x:v>Fehringer</x:v>
      </x:c>
      <x:c r="F42" t="str">
        <x:v>s.fehringer@greiner-gpi.com</x:v>
      </x:c>
      <x:c r="G42"/>
      <x:c r="H42" t="str">
        <x:v>Österreich</x:v>
      </x:c>
      <x:c r="I42" s="26" t="n">
        <x:v>0.2746</x:v>
      </x:c>
      <x:c r="J42" t="n">
        <x:v>24.7</x:v>
      </x:c>
      <x:c r="K42" t="n">
        <x:v>0</x:v>
      </x:c>
      <x:c r="L42" t="str">
        <x:v>Personalized nurture follow-up</x:v>
      </x:c>
    </x:row>
  </x:sheetData>
  <x:conditionalFormatting sqref="B2:B42">
    <x:cfRule type="expression" dxfId="4" priority="1">
      <x:formula>B2="Hot"</x:formula>
    </x:cfRule>
    <x:cfRule type="expression" dxfId="5" priority="2">
      <x:formula>B2="Warm"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1c6d136bea4b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5" hidden="0" customWidth="1"/>
    <x:col min="4" max="4" width="30" hidden="0" customWidth="1"/>
    <x:col min="5" max="5" width="26" hidden="0" customWidth="1"/>
    <x:col min="6" max="6" width="16" hidden="0" customWidth="1"/>
    <x:col min="7" max="7" width="11" hidden="0" customWidth="1"/>
    <x:col min="8" max="8" width="14" hidden="0" customWidth="1"/>
    <x:col min="9" max="9" width="13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0" hidden="0" customWidth="1"/>
    <x:col min="15" max="15" width="18" hidden="0" customWidth="1"/>
  </x:cols>
  <x:sheetData>
    <x:row r="1">
      <x:c r="A1" s="56" t="str">
        <x:v>Rank</x:v>
      </x:c>
      <x:c r="B1" s="56" t="str">
        <x:v>First Name</x:v>
      </x:c>
      <x:c r="C1" s="56" t="str">
        <x:v>Last Name</x:v>
      </x:c>
      <x:c r="D1" s="56" t="str">
        <x:v>Email</x:v>
      </x:c>
      <x:c r="E1" s="56" t="str">
        <x:v>Organization</x:v>
      </x:c>
      <x:c r="F1" s="56" t="str">
        <x:v>Country/Region</x:v>
      </x:c>
      <x:c r="G1" s="56" t="str">
        <x:v>Attended</x:v>
      </x:c>
      <x:c r="H1" s="56" t="str">
        <x:v>Duration (min)</x:v>
      </x:c>
      <x:c r="I1" s="56" t="str">
        <x:v>Attendance %</x:v>
      </x:c>
      <x:c r="J1" s="56" t="str">
        <x:v>Questions</x:v>
      </x:c>
      <x:c r="K1" s="56" t="str">
        <x:v>Reactions</x:v>
      </x:c>
      <x:c r="L1" s="56" t="str">
        <x:v>Other Q&amp;A</x:v>
      </x:c>
      <x:c r="M1" s="56" t="str">
        <x:v>Internal</x:v>
      </x:c>
      <x:c r="N1" s="56" t="str">
        <x:v>Score</x:v>
      </x:c>
      <x:c r="O1" s="56" t="str">
        <x:v>Lead Status</x:v>
      </x:c>
    </x:row>
    <x:row r="2">
      <x:c r="A2" t="n">
        <x:v>1</x:v>
      </x:c>
      <x:c r="B2" t="str">
        <x:v>Cindy</x:v>
      </x:c>
      <x:c r="C2" t="str">
        <x:v>Ormaza Mullo</x:v>
      </x:c>
      <x:c r="D2" t="str">
        <x:v>cormazamullo@trinseo.com</x:v>
      </x:c>
      <x:c r="E2" t="str">
        <x:v>Trinseo</x:v>
      </x:c>
      <x:c r="F2" t="str">
        <x:v>Netherlands</x:v>
      </x:c>
      <x:c r="G2" t="str">
        <x:v>Yes</x:v>
      </x:c>
      <x:c r="H2" t="n">
        <x:v>87.5</x:v>
      </x:c>
      <x:c r="I2" s="26" t="n">
        <x:v>0.9722</x:v>
      </x:c>
      <x:c r="J2" t="n">
        <x:v>1</x:v>
      </x:c>
      <x:c r="K2" t="n">
        <x:v>0</x:v>
      </x:c>
      <x:c r="L2" t="n">
        <x:v>0</x:v>
      </x:c>
      <x:c r="M2" t="str">
        <x:v>No</x:v>
      </x:c>
      <x:c r="N2" s="58" t="n">
        <x:f>'Scoring Model'!$B$4+IF(G2="Yes",'Scoring Model'!$B$5,0)+MIN('Scoring Model'!$B$7,H2/'Scoring Model'!$B$6*'Scoring Model'!$B$7)+MIN('Scoring Model'!$B$8,J2*'Scoring Model'!$B$8)+MIN('Scoring Model'!$B$11,K2*'Scoring Model'!$B$9+L2*'Scoring Model'!$B$10)</x:f>
        <x:v>88.88888888888889</x:v>
      </x:c>
      <x:c r="O2" t="str">
        <x:f>IF(M2="Yes","Internal / Excluded",IF(N2&gt;='Scoring Model'!$B$12,"Hot",IF(N2&gt;='Scoring Model'!$B$13,"Warm","Cold")))</x:f>
        <x:v>Hot</x:v>
      </x:c>
    </x:row>
    <x:row r="3">
      <x:c r="A3" t="n">
        <x:v>2</x:v>
      </x:c>
      <x:c r="B3" t="str">
        <x:v>Harry</x:v>
      </x:c>
      <x:c r="C3" t="str">
        <x:v>Lin</x:v>
      </x:c>
      <x:c r="D3" t="str">
        <x:v>harry1260@gmail.com</x:v>
      </x:c>
      <x:c r="E3" t="str"/>
      <x:c r="F3" t="str">
        <x:v>台灣</x:v>
      </x:c>
      <x:c r="G3" t="str">
        <x:v>Yes</x:v>
      </x:c>
      <x:c r="H3" t="n">
        <x:v>90</x:v>
      </x:c>
      <x:c r="I3" s="26" t="n">
        <x:v>1</x:v>
      </x:c>
      <x:c r="J3" t="n">
        <x:v>0</x:v>
      </x:c>
      <x:c r="K3" t="n">
        <x:v>0</x:v>
      </x:c>
      <x:c r="L3" t="n">
        <x:v>0</x:v>
      </x:c>
      <x:c r="M3" t="str">
        <x:v>No</x:v>
      </x:c>
      <x:c r="N3" s="58" t="n">
        <x:f>'Scoring Model'!$B$4+IF(G3="Yes",'Scoring Model'!$B$5,0)+MIN('Scoring Model'!$B$7,H3/'Scoring Model'!$B$6*'Scoring Model'!$B$7)+MIN('Scoring Model'!$B$8,J3*'Scoring Model'!$B$8)+MIN('Scoring Model'!$B$11,K3*'Scoring Model'!$B$9+L3*'Scoring Model'!$B$10)</x:f>
        <x:v>70</x:v>
      </x:c>
      <x:c r="O3" t="str">
        <x:f>IF(M3="Yes","Internal / Excluded",IF(N3&gt;='Scoring Model'!$B$12,"Hot",IF(N3&gt;='Scoring Model'!$B$13,"Warm","Cold")))</x:f>
        <x:v>Hot</x:v>
      </x:c>
    </x:row>
    <x:row r="4">
      <x:c r="A4" t="n">
        <x:v>3</x:v>
      </x:c>
      <x:c r="B4" t="str">
        <x:v>Dilyana</x:v>
      </x:c>
      <x:c r="C4" t="str">
        <x:v>Popova</x:v>
      </x:c>
      <x:c r="D4" t="str">
        <x:v>office@amb-bg.com</x:v>
      </x:c>
      <x:c r="E4" t="str">
        <x:v>AMB</x:v>
      </x:c>
      <x:c r="F4" t="str">
        <x:v>Bulgaria</x:v>
      </x:c>
      <x:c r="G4" t="str">
        <x:v>Yes</x:v>
      </x:c>
      <x:c r="H4" t="n">
        <x:v>90</x:v>
      </x:c>
      <x:c r="I4" s="26" t="n">
        <x:v>1</x:v>
      </x:c>
      <x:c r="J4" t="n">
        <x:v>0</x:v>
      </x:c>
      <x:c r="K4" t="n">
        <x:v>0</x:v>
      </x:c>
      <x:c r="L4" t="n">
        <x:v>0</x:v>
      </x:c>
      <x:c r="M4" t="str">
        <x:v>No</x:v>
      </x:c>
      <x:c r="N4" s="58" t="n">
        <x:f>'Scoring Model'!$B$4+IF(G4="Yes",'Scoring Model'!$B$5,0)+MIN('Scoring Model'!$B$7,H4/'Scoring Model'!$B$6*'Scoring Model'!$B$7)+MIN('Scoring Model'!$B$8,J4*'Scoring Model'!$B$8)+MIN('Scoring Model'!$B$11,K4*'Scoring Model'!$B$9+L4*'Scoring Model'!$B$10)</x:f>
        <x:v>70</x:v>
      </x:c>
      <x:c r="O4" t="str">
        <x:f>IF(M4="Yes","Internal / Excluded",IF(N4&gt;='Scoring Model'!$B$12,"Hot",IF(N4&gt;='Scoring Model'!$B$13,"Warm","Cold")))</x:f>
        <x:v>Hot</x:v>
      </x:c>
    </x:row>
    <x:row r="5">
      <x:c r="A5" t="n">
        <x:v>4</x:v>
      </x:c>
      <x:c r="B5" t="str">
        <x:v>Jerome</x:v>
      </x:c>
      <x:c r="C5" t="str">
        <x:v>Douglas</x:v>
      </x:c>
      <x:c r="D5" t="str">
        <x:v>jerome.douglas@nl.bolsius.com</x:v>
      </x:c>
      <x:c r="E5" t="str">
        <x:v>Bolsius</x:v>
      </x:c>
      <x:c r="F5" t="str">
        <x:v>Netherlands</x:v>
      </x:c>
      <x:c r="G5" t="str">
        <x:v>Yes</x:v>
      </x:c>
      <x:c r="H5" t="n">
        <x:v>90</x:v>
      </x:c>
      <x:c r="I5" s="26" t="n">
        <x:v>1</x:v>
      </x:c>
      <x:c r="J5" t="n">
        <x:v>0</x:v>
      </x:c>
      <x:c r="K5" t="n">
        <x:v>0</x:v>
      </x:c>
      <x:c r="L5" t="n">
        <x:v>0</x:v>
      </x:c>
      <x:c r="M5" t="str">
        <x:v>No</x:v>
      </x:c>
      <x:c r="N5" s="58" t="n">
        <x:f>'Scoring Model'!$B$4+IF(G5="Yes",'Scoring Model'!$B$5,0)+MIN('Scoring Model'!$B$7,H5/'Scoring Model'!$B$6*'Scoring Model'!$B$7)+MIN('Scoring Model'!$B$8,J5*'Scoring Model'!$B$8)+MIN('Scoring Model'!$B$11,K5*'Scoring Model'!$B$9+L5*'Scoring Model'!$B$10)</x:f>
        <x:v>70</x:v>
      </x:c>
      <x:c r="O5" t="str">
        <x:f>IF(M5="Yes","Internal / Excluded",IF(N5&gt;='Scoring Model'!$B$12,"Hot",IF(N5&gt;='Scoring Model'!$B$13,"Warm","Cold")))</x:f>
        <x:v>Hot</x:v>
      </x:c>
    </x:row>
    <x:row r="6">
      <x:c r="A6" t="n">
        <x:v>5</x:v>
      </x:c>
      <x:c r="B6" t="str">
        <x:v>Sukanya</x:v>
      </x:c>
      <x:c r="C6" t="str">
        <x:v>Dathong</x:v>
      </x:c>
      <x:c r="D6" t="str">
        <x:v>sukanya.dathong@doleintl.com</x:v>
      </x:c>
      <x:c r="E6" t="str">
        <x:v>Dole</x:v>
      </x:c>
      <x:c r="F6" t="str">
        <x:v>Thailand</x:v>
      </x:c>
      <x:c r="G6" t="str">
        <x:v>Yes</x:v>
      </x:c>
      <x:c r="H6" t="n">
        <x:v>90</x:v>
      </x:c>
      <x:c r="I6" s="26" t="n">
        <x:v>1</x:v>
      </x:c>
      <x:c r="J6" t="n">
        <x:v>0</x:v>
      </x:c>
      <x:c r="K6" t="n">
        <x:v>0</x:v>
      </x:c>
      <x:c r="L6" t="n">
        <x:v>0</x:v>
      </x:c>
      <x:c r="M6" t="str">
        <x:v>No</x:v>
      </x:c>
      <x:c r="N6" s="58" t="n">
        <x:f>'Scoring Model'!$B$4+IF(G6="Yes",'Scoring Model'!$B$5,0)+MIN('Scoring Model'!$B$7,H6/'Scoring Model'!$B$6*'Scoring Model'!$B$7)+MIN('Scoring Model'!$B$8,J6*'Scoring Model'!$B$8)+MIN('Scoring Model'!$B$11,K6*'Scoring Model'!$B$9+L6*'Scoring Model'!$B$10)</x:f>
        <x:v>70</x:v>
      </x:c>
      <x:c r="O6" t="str">
        <x:f>IF(M6="Yes","Internal / Excluded",IF(N6&gt;='Scoring Model'!$B$12,"Hot",IF(N6&gt;='Scoring Model'!$B$13,"Warm","Cold")))</x:f>
        <x:v>Hot</x:v>
      </x:c>
    </x:row>
    <x:row r="7">
      <x:c r="A7" t="n">
        <x:v>6</x:v>
      </x:c>
      <x:c r="B7" t="str">
        <x:v>Bianca</x:v>
      </x:c>
      <x:c r="C7" t="str">
        <x:v>Wit</x:v>
      </x:c>
      <x:c r="D7" t="str">
        <x:v>biancadewit@primo.com</x:v>
      </x:c>
      <x:c r="E7" t="str">
        <x:v>Enitor Primo</x:v>
      </x:c>
      <x:c r="F7" t="str">
        <x:v>Netherlands</x:v>
      </x:c>
      <x:c r="G7" t="str">
        <x:v>Yes</x:v>
      </x:c>
      <x:c r="H7" t="n">
        <x:v>90</x:v>
      </x:c>
      <x:c r="I7" s="26" t="n">
        <x:v>1</x:v>
      </x:c>
      <x:c r="J7" t="n">
        <x:v>0</x:v>
      </x:c>
      <x:c r="K7" t="n">
        <x:v>0</x:v>
      </x:c>
      <x:c r="L7" t="n">
        <x:v>0</x:v>
      </x:c>
      <x:c r="M7" t="str">
        <x:v>No</x:v>
      </x:c>
      <x:c r="N7" s="58" t="n">
        <x:f>'Scoring Model'!$B$4+IF(G7="Yes",'Scoring Model'!$B$5,0)+MIN('Scoring Model'!$B$7,H7/'Scoring Model'!$B$6*'Scoring Model'!$B$7)+MIN('Scoring Model'!$B$8,J7*'Scoring Model'!$B$8)+MIN('Scoring Model'!$B$11,K7*'Scoring Model'!$B$9+L7*'Scoring Model'!$B$10)</x:f>
        <x:v>70</x:v>
      </x:c>
      <x:c r="O7" t="str">
        <x:f>IF(M7="Yes","Internal / Excluded",IF(N7&gt;='Scoring Model'!$B$12,"Hot",IF(N7&gt;='Scoring Model'!$B$13,"Warm","Cold")))</x:f>
        <x:v>Hot</x:v>
      </x:c>
    </x:row>
    <x:row r="8">
      <x:c r="A8" t="n">
        <x:v>7</x:v>
      </x:c>
      <x:c r="B8" t="str">
        <x:v>Costel</x:v>
      </x:c>
      <x:c r="C8" t="str">
        <x:v>Suditu</x:v>
      </x:c>
      <x:c r="D8" t="str">
        <x:v>costel.suditu@greentech.ro</x:v>
      </x:c>
      <x:c r="E8" t="str">
        <x:v>Greentech S.A.</x:v>
      </x:c>
      <x:c r="F8" t="str">
        <x:v>Romania</x:v>
      </x:c>
      <x:c r="G8" t="str">
        <x:v>Yes</x:v>
      </x:c>
      <x:c r="H8" t="n">
        <x:v>90</x:v>
      </x:c>
      <x:c r="I8" s="26" t="n">
        <x:v>1</x:v>
      </x:c>
      <x:c r="J8" t="n">
        <x:v>0</x:v>
      </x:c>
      <x:c r="K8" t="n">
        <x:v>0</x:v>
      </x:c>
      <x:c r="L8" t="n">
        <x:v>0</x:v>
      </x:c>
      <x:c r="M8" t="str">
        <x:v>No</x:v>
      </x:c>
      <x:c r="N8" s="58" t="n">
        <x:f>'Scoring Model'!$B$4+IF(G8="Yes",'Scoring Model'!$B$5,0)+MIN('Scoring Model'!$B$7,H8/'Scoring Model'!$B$6*'Scoring Model'!$B$7)+MIN('Scoring Model'!$B$8,J8*'Scoring Model'!$B$8)+MIN('Scoring Model'!$B$11,K8*'Scoring Model'!$B$9+L8*'Scoring Model'!$B$10)</x:f>
        <x:v>70</x:v>
      </x:c>
      <x:c r="O8" t="str">
        <x:f>IF(M8="Yes","Internal / Excluded",IF(N8&gt;='Scoring Model'!$B$12,"Hot",IF(N8&gt;='Scoring Model'!$B$13,"Warm","Cold")))</x:f>
        <x:v>Hot</x:v>
      </x:c>
    </x:row>
    <x:row r="9">
      <x:c r="A9" t="n">
        <x:v>8</x:v>
      </x:c>
      <x:c r="B9" t="str">
        <x:v>Blanka</x:v>
      </x:c>
      <x:c r="C9" t="str">
        <x:v>Szilvássy</x:v>
      </x:c>
      <x:c r="D9" t="str">
        <x:v>szilvassyb@nebih.gov.hu</x:v>
      </x:c>
      <x:c r="E9" t="str">
        <x:v>Nébih </x:v>
      </x:c>
      <x:c r="F9" t="str">
        <x:v>Magyarország</x:v>
      </x:c>
      <x:c r="G9" t="str">
        <x:v>Yes</x:v>
      </x:c>
      <x:c r="H9" t="n">
        <x:v>90</x:v>
      </x:c>
      <x:c r="I9" s="26" t="n">
        <x:v>1</x:v>
      </x:c>
      <x:c r="J9" t="n">
        <x:v>0</x:v>
      </x:c>
      <x:c r="K9" t="n">
        <x:v>0</x:v>
      </x:c>
      <x:c r="L9" t="n">
        <x:v>0</x:v>
      </x:c>
      <x:c r="M9" t="str">
        <x:v>No</x:v>
      </x:c>
      <x:c r="N9" s="58" t="n">
        <x:f>'Scoring Model'!$B$4+IF(G9="Yes",'Scoring Model'!$B$5,0)+MIN('Scoring Model'!$B$7,H9/'Scoring Model'!$B$6*'Scoring Model'!$B$7)+MIN('Scoring Model'!$B$8,J9*'Scoring Model'!$B$8)+MIN('Scoring Model'!$B$11,K9*'Scoring Model'!$B$9+L9*'Scoring Model'!$B$10)</x:f>
        <x:v>70</x:v>
      </x:c>
      <x:c r="O9" t="str">
        <x:f>IF(M9="Yes","Internal / Excluded",IF(N9&gt;='Scoring Model'!$B$12,"Hot",IF(N9&gt;='Scoring Model'!$B$13,"Warm","Cold")))</x:f>
        <x:v>Hot</x:v>
      </x:c>
    </x:row>
    <x:row r="10">
      <x:c r="A10" t="n">
        <x:v>9</x:v>
      </x:c>
      <x:c r="B10" t="str">
        <x:v>Morta</x:v>
      </x:c>
      <x:c r="C10" t="str">
        <x:v>Ramoskaite</x:v>
      </x:c>
      <x:c r="D10" t="str">
        <x:v>info@pakuoteratu.lt</x:v>
      </x:c>
      <x:c r="E10" t="str">
        <x:v>Pakuote Ratu VsI</x:v>
      </x:c>
      <x:c r="F10" t="str">
        <x:v>Lithuania</x:v>
      </x:c>
      <x:c r="G10" t="str">
        <x:v>Yes</x:v>
      </x:c>
      <x:c r="H10" t="n">
        <x:v>90</x:v>
      </x:c>
      <x:c r="I10" s="26" t="n">
        <x:v>1</x:v>
      </x:c>
      <x:c r="J10" t="n">
        <x:v>0</x:v>
      </x:c>
      <x:c r="K10" t="n">
        <x:v>0</x:v>
      </x:c>
      <x:c r="L10" t="n">
        <x:v>0</x:v>
      </x:c>
      <x:c r="M10" t="str">
        <x:v>No</x:v>
      </x:c>
      <x:c r="N10" s="58" t="n">
        <x:f>'Scoring Model'!$B$4+IF(G10="Yes",'Scoring Model'!$B$5,0)+MIN('Scoring Model'!$B$7,H10/'Scoring Model'!$B$6*'Scoring Model'!$B$7)+MIN('Scoring Model'!$B$8,J10*'Scoring Model'!$B$8)+MIN('Scoring Model'!$B$11,K10*'Scoring Model'!$B$9+L10*'Scoring Model'!$B$10)</x:f>
        <x:v>70</x:v>
      </x:c>
      <x:c r="O10" t="str">
        <x:f>IF(M10="Yes","Internal / Excluded",IF(N10&gt;='Scoring Model'!$B$12,"Hot",IF(N10&gt;='Scoring Model'!$B$13,"Warm","Cold")))</x:f>
        <x:v>Hot</x:v>
      </x:c>
    </x:row>
    <x:row r="11">
      <x:c r="A11" t="n">
        <x:v>10</x:v>
      </x:c>
      <x:c r="B11" t="str">
        <x:v>Muhammad</x:v>
      </x:c>
      <x:c r="C11" t="str">
        <x:v>Junaid</x:v>
      </x:c>
      <x:c r="D11" t="str">
        <x:v>junaid.upax@gmail.com</x:v>
      </x:c>
      <x:c r="E11" t="str">
        <x:v>Printech Packages pvt Ltd </x:v>
      </x:c>
      <x:c r="F11" t="str">
        <x:v>Pakistan</x:v>
      </x:c>
      <x:c r="G11" t="str">
        <x:v>Yes</x:v>
      </x:c>
      <x:c r="H11" t="n">
        <x:v>90</x:v>
      </x:c>
      <x:c r="I11" s="26" t="n">
        <x:v>1</x:v>
      </x:c>
      <x:c r="J11" t="n">
        <x:v>0</x:v>
      </x:c>
      <x:c r="K11" t="n">
        <x:v>0</x:v>
      </x:c>
      <x:c r="L11" t="n">
        <x:v>0</x:v>
      </x:c>
      <x:c r="M11" t="str">
        <x:v>No</x:v>
      </x:c>
      <x:c r="N11" s="58" t="n">
        <x:f>'Scoring Model'!$B$4+IF(G11="Yes",'Scoring Model'!$B$5,0)+MIN('Scoring Model'!$B$7,H11/'Scoring Model'!$B$6*'Scoring Model'!$B$7)+MIN('Scoring Model'!$B$8,J11*'Scoring Model'!$B$8)+MIN('Scoring Model'!$B$11,K11*'Scoring Model'!$B$9+L11*'Scoring Model'!$B$10)</x:f>
        <x:v>70</x:v>
      </x:c>
      <x:c r="O11" t="str">
        <x:f>IF(M11="Yes","Internal / Excluded",IF(N11&gt;='Scoring Model'!$B$12,"Hot",IF(N11&gt;='Scoring Model'!$B$13,"Warm","Cold")))</x:f>
        <x:v>Hot</x:v>
      </x:c>
    </x:row>
    <x:row r="12">
      <x:c r="A12" t="n">
        <x:v>11</x:v>
      </x:c>
      <x:c r="B12" t="str">
        <x:v>Sandra</x:v>
      </x:c>
      <x:c r="C12" t="str">
        <x:v>Gomes</x:v>
      </x:c>
      <x:c r="D12" t="str">
        <x:v>sandrag@publiambiente.pt</x:v>
      </x:c>
      <x:c r="E12" t="str">
        <x:v>Publiambiente</x:v>
      </x:c>
      <x:c r="F12" t="str">
        <x:v>Portugal</x:v>
      </x:c>
      <x:c r="G12" t="str">
        <x:v>Yes</x:v>
      </x:c>
      <x:c r="H12" t="n">
        <x:v>90</x:v>
      </x:c>
      <x:c r="I12" s="26" t="n">
        <x:v>1</x:v>
      </x:c>
      <x:c r="J12" t="n">
        <x:v>0</x:v>
      </x:c>
      <x:c r="K12" t="n">
        <x:v>0</x:v>
      </x:c>
      <x:c r="L12" t="n">
        <x:v>0</x:v>
      </x:c>
      <x:c r="M12" t="str">
        <x:v>No</x:v>
      </x:c>
      <x:c r="N12" s="58" t="n">
        <x:f>'Scoring Model'!$B$4+IF(G12="Yes",'Scoring Model'!$B$5,0)+MIN('Scoring Model'!$B$7,H12/'Scoring Model'!$B$6*'Scoring Model'!$B$7)+MIN('Scoring Model'!$B$8,J12*'Scoring Model'!$B$8)+MIN('Scoring Model'!$B$11,K12*'Scoring Model'!$B$9+L12*'Scoring Model'!$B$10)</x:f>
        <x:v>70</x:v>
      </x:c>
      <x:c r="O12" t="str">
        <x:f>IF(M12="Yes","Internal / Excluded",IF(N12&gt;='Scoring Model'!$B$12,"Hot",IF(N12&gt;='Scoring Model'!$B$13,"Warm","Cold")))</x:f>
        <x:v>Hot</x:v>
      </x:c>
    </x:row>
    <x:row r="13">
      <x:c r="A13" t="n">
        <x:v>12</x:v>
      </x:c>
      <x:c r="B13" t="str">
        <x:v>Daniela</x:v>
      </x:c>
      <x:c r="C13" t="str">
        <x:v>Gomes</x:v>
      </x:c>
      <x:c r="D13" t="str">
        <x:v>daniela@publiambiente.pt</x:v>
      </x:c>
      <x:c r="E13" t="str">
        <x:v>Publiambiente</x:v>
      </x:c>
      <x:c r="F13" t="str">
        <x:v>Portugal</x:v>
      </x:c>
      <x:c r="G13" t="str">
        <x:v>Yes</x:v>
      </x:c>
      <x:c r="H13" t="n">
        <x:v>89.7</x:v>
      </x:c>
      <x:c r="I13" s="26" t="n">
        <x:v>0.997</x:v>
      </x:c>
      <x:c r="J13" t="n">
        <x:v>0</x:v>
      </x:c>
      <x:c r="K13" t="n">
        <x:v>0</x:v>
      </x:c>
      <x:c r="L13" t="n">
        <x:v>0</x:v>
      </x:c>
      <x:c r="M13" t="str">
        <x:v>No</x:v>
      </x:c>
      <x:c r="N13" s="58" t="n">
        <x:f>'Scoring Model'!$B$4+IF(G13="Yes",'Scoring Model'!$B$5,0)+MIN('Scoring Model'!$B$7,H13/'Scoring Model'!$B$6*'Scoring Model'!$B$7)+MIN('Scoring Model'!$B$8,J13*'Scoring Model'!$B$8)+MIN('Scoring Model'!$B$11,K13*'Scoring Model'!$B$9+L13*'Scoring Model'!$B$10)</x:f>
        <x:v>69.86666666666667</x:v>
      </x:c>
      <x:c r="O13" t="str">
        <x:f>IF(M13="Yes","Internal / Excluded",IF(N13&gt;='Scoring Model'!$B$12,"Hot",IF(N13&gt;='Scoring Model'!$B$13,"Warm","Cold")))</x:f>
        <x:v>Warm</x:v>
      </x:c>
    </x:row>
    <x:row r="14">
      <x:c r="A14" t="n">
        <x:v>13</x:v>
      </x:c>
      <x:c r="B14" t="str">
        <x:v>Nattarika</x:v>
      </x:c>
      <x:c r="C14" t="str">
        <x:v>Siripunt</x:v>
      </x:c>
      <x:c r="D14" t="str">
        <x:v>nattarika.siripunt@doleintl.com</x:v>
      </x:c>
      <x:c r="E14" t="str">
        <x:v>Dole Food and Beverage group </x:v>
      </x:c>
      <x:c r="F14" t="str">
        <x:v>Thailand</x:v>
      </x:c>
      <x:c r="G14" t="str">
        <x:v>Yes</x:v>
      </x:c>
      <x:c r="H14" t="n">
        <x:v>89.5</x:v>
      </x:c>
      <x:c r="I14" s="26" t="n">
        <x:v>0.9943</x:v>
      </x:c>
      <x:c r="J14" t="n">
        <x:v>0</x:v>
      </x:c>
      <x:c r="K14" t="n">
        <x:v>0</x:v>
      </x:c>
      <x:c r="L14" t="n">
        <x:v>0</x:v>
      </x:c>
      <x:c r="M14" t="str">
        <x:v>No</x:v>
      </x:c>
      <x:c r="N14" s="58" t="n">
        <x:f>'Scoring Model'!$B$4+IF(G14="Yes",'Scoring Model'!$B$5,0)+MIN('Scoring Model'!$B$7,H14/'Scoring Model'!$B$6*'Scoring Model'!$B$7)+MIN('Scoring Model'!$B$8,J14*'Scoring Model'!$B$8)+MIN('Scoring Model'!$B$11,K14*'Scoring Model'!$B$9+L14*'Scoring Model'!$B$10)</x:f>
        <x:v>69.77777777777777</x:v>
      </x:c>
      <x:c r="O14" t="str">
        <x:f>IF(M14="Yes","Internal / Excluded",IF(N14&gt;='Scoring Model'!$B$12,"Hot",IF(N14&gt;='Scoring Model'!$B$13,"Warm","Cold")))</x:f>
        <x:v>Warm</x:v>
      </x:c>
    </x:row>
    <x:row r="15">
      <x:c r="A15" t="n">
        <x:v>14</x:v>
      </x:c>
      <x:c r="B15" t="str">
        <x:v>Linda</x:v>
      </x:c>
      <x:c r="C15" t="str">
        <x:v>Gustafssson</x:v>
      </x:c>
      <x:c r="D15" t="str">
        <x:v>linda.gustafsson@toteme.com</x:v>
      </x:c>
      <x:c r="E15" t="str">
        <x:v>TOTEME AB</x:v>
      </x:c>
      <x:c r="F15" t="str">
        <x:v>Sweden</x:v>
      </x:c>
      <x:c r="G15" t="str">
        <x:v>Yes</x:v>
      </x:c>
      <x:c r="H15" t="n">
        <x:v>88.8</x:v>
      </x:c>
      <x:c r="I15" s="26" t="n">
        <x:v>0.9867</x:v>
      </x:c>
      <x:c r="J15" t="n">
        <x:v>0</x:v>
      </x:c>
      <x:c r="K15" t="n">
        <x:v>0</x:v>
      </x:c>
      <x:c r="L15" t="n">
        <x:v>0</x:v>
      </x:c>
      <x:c r="M15" t="str">
        <x:v>No</x:v>
      </x:c>
      <x:c r="N15" s="58" t="n">
        <x:f>'Scoring Model'!$B$4+IF(G15="Yes",'Scoring Model'!$B$5,0)+MIN('Scoring Model'!$B$7,H15/'Scoring Model'!$B$6*'Scoring Model'!$B$7)+MIN('Scoring Model'!$B$8,J15*'Scoring Model'!$B$8)+MIN('Scoring Model'!$B$11,K15*'Scoring Model'!$B$9+L15*'Scoring Model'!$B$10)</x:f>
        <x:v>69.46666666666667</x:v>
      </x:c>
      <x:c r="O15" t="str">
        <x:f>IF(M15="Yes","Internal / Excluded",IF(N15&gt;='Scoring Model'!$B$12,"Hot",IF(N15&gt;='Scoring Model'!$B$13,"Warm","Cold")))</x:f>
        <x:v>Warm</x:v>
      </x:c>
    </x:row>
    <x:row r="16">
      <x:c r="A16" t="n">
        <x:v>15</x:v>
      </x:c>
      <x:c r="B16" t="str">
        <x:v>Venislava</x:v>
      </x:c>
      <x:c r="C16" t="str">
        <x:v>Lilova</x:v>
      </x:c>
      <x:c r="D16" t="str">
        <x:v>office@jlnpack.com</x:v>
      </x:c>
      <x:c r="E16" t="str">
        <x:v>SD Jivkov Lilov Neshev</x:v>
      </x:c>
      <x:c r="F16" t="str">
        <x:v>Bulgaria</x:v>
      </x:c>
      <x:c r="G16" t="str">
        <x:v>Yes</x:v>
      </x:c>
      <x:c r="H16" t="n">
        <x:v>88.7</x:v>
      </x:c>
      <x:c r="I16" s="26" t="n">
        <x:v>0.985</x:v>
      </x:c>
      <x:c r="J16" t="n">
        <x:v>0</x:v>
      </x:c>
      <x:c r="K16" t="n">
        <x:v>0</x:v>
      </x:c>
      <x:c r="L16" t="n">
        <x:v>0</x:v>
      </x:c>
      <x:c r="M16" t="str">
        <x:v>No</x:v>
      </x:c>
      <x:c r="N16" s="58" t="n">
        <x:f>'Scoring Model'!$B$4+IF(G16="Yes",'Scoring Model'!$B$5,0)+MIN('Scoring Model'!$B$7,H16/'Scoring Model'!$B$6*'Scoring Model'!$B$7)+MIN('Scoring Model'!$B$8,J16*'Scoring Model'!$B$8)+MIN('Scoring Model'!$B$11,K16*'Scoring Model'!$B$9+L16*'Scoring Model'!$B$10)</x:f>
        <x:v>69.42222222222222</x:v>
      </x:c>
      <x:c r="O16" t="str">
        <x:f>IF(M16="Yes","Internal / Excluded",IF(N16&gt;='Scoring Model'!$B$12,"Hot",IF(N16&gt;='Scoring Model'!$B$13,"Warm","Cold")))</x:f>
        <x:v>Warm</x:v>
      </x:c>
    </x:row>
    <x:row r="17">
      <x:c r="A17" t="n">
        <x:v>16</x:v>
      </x:c>
      <x:c r="B17" t="str">
        <x:v>Dimitar</x:v>
      </x:c>
      <x:c r="C17" t="str">
        <x:v>Dyankov</x:v>
      </x:c>
      <x:c r="D17" t="str">
        <x:v>dimitar.diankov@cchellenic.com</x:v>
      </x:c>
      <x:c r="E17" t="str">
        <x:v>Coca-Cola HBC</x:v>
      </x:c>
      <x:c r="F17" t="str">
        <x:v>Bulgaria</x:v>
      </x:c>
      <x:c r="G17" t="str">
        <x:v>Yes</x:v>
      </x:c>
      <x:c r="H17" t="n">
        <x:v>88.5</x:v>
      </x:c>
      <x:c r="I17" s="26" t="n">
        <x:v>0.9837</x:v>
      </x:c>
      <x:c r="J17" t="n">
        <x:v>0</x:v>
      </x:c>
      <x:c r="K17" t="n">
        <x:v>0</x:v>
      </x:c>
      <x:c r="L17" t="n">
        <x:v>0</x:v>
      </x:c>
      <x:c r="M17" t="str">
        <x:v>No</x:v>
      </x:c>
      <x:c r="N17" s="58" t="n">
        <x:f>'Scoring Model'!$B$4+IF(G17="Yes",'Scoring Model'!$B$5,0)+MIN('Scoring Model'!$B$7,H17/'Scoring Model'!$B$6*'Scoring Model'!$B$7)+MIN('Scoring Model'!$B$8,J17*'Scoring Model'!$B$8)+MIN('Scoring Model'!$B$11,K17*'Scoring Model'!$B$9+L17*'Scoring Model'!$B$10)</x:f>
        <x:v>69.33333333333333</x:v>
      </x:c>
      <x:c r="O17" t="str">
        <x:f>IF(M17="Yes","Internal / Excluded",IF(N17&gt;='Scoring Model'!$B$12,"Hot",IF(N17&gt;='Scoring Model'!$B$13,"Warm","Cold")))</x:f>
        <x:v>Warm</x:v>
      </x:c>
    </x:row>
    <x:row r="18">
      <x:c r="A18" t="n">
        <x:v>17</x:v>
      </x:c>
      <x:c r="B18" t="str">
        <x:v>Lilach</x:v>
      </x:c>
      <x:c r="C18" t="str">
        <x:v>Winebloom</x:v>
      </x:c>
      <x:c r="D18" t="str">
        <x:v>lilach.quality@gmail.com</x:v>
      </x:c>
      <x:c r="E18" t="str">
        <x:v>Estia Consulting</x:v>
      </x:c>
      <x:c r="F18" t="str">
        <x:v>ישראל</x:v>
      </x:c>
      <x:c r="G18" t="str">
        <x:v>Yes</x:v>
      </x:c>
      <x:c r="H18" t="n">
        <x:v>88.5</x:v>
      </x:c>
      <x:c r="I18" s="26" t="n">
        <x:v>0.9835</x:v>
      </x:c>
      <x:c r="J18" t="n">
        <x:v>0</x:v>
      </x:c>
      <x:c r="K18" t="n">
        <x:v>0</x:v>
      </x:c>
      <x:c r="L18" t="n">
        <x:v>0</x:v>
      </x:c>
      <x:c r="M18" t="str">
        <x:v>No</x:v>
      </x:c>
      <x:c r="N18" s="58" t="n">
        <x:f>'Scoring Model'!$B$4+IF(G18="Yes",'Scoring Model'!$B$5,0)+MIN('Scoring Model'!$B$7,H18/'Scoring Model'!$B$6*'Scoring Model'!$B$7)+MIN('Scoring Model'!$B$8,J18*'Scoring Model'!$B$8)+MIN('Scoring Model'!$B$11,K18*'Scoring Model'!$B$9+L18*'Scoring Model'!$B$10)</x:f>
        <x:v>69.33333333333333</x:v>
      </x:c>
      <x:c r="O18" t="str">
        <x:f>IF(M18="Yes","Internal / Excluded",IF(N18&gt;='Scoring Model'!$B$12,"Hot",IF(N18&gt;='Scoring Model'!$B$13,"Warm","Cold")))</x:f>
        <x:v>Warm</x:v>
      </x:c>
    </x:row>
    <x:row r="19">
      <x:c r="A19" t="n">
        <x:v>18</x:v>
      </x:c>
      <x:c r="B19" t="str">
        <x:v>Thorsten</x:v>
      </x:c>
      <x:c r="C19" t="str">
        <x:v>Hausmann</x:v>
      </x:c>
      <x:c r="D19" t="str">
        <x:v>thorsten.hausmann@jokey.com</x:v>
      </x:c>
      <x:c r="E19" t="str">
        <x:v>DE123239087</x:v>
      </x:c>
      <x:c r="F19" t="str">
        <x:v>Deutschland</x:v>
      </x:c>
      <x:c r="G19" t="str">
        <x:v>Yes</x:v>
      </x:c>
      <x:c r="H19" t="n">
        <x:v>87.4</x:v>
      </x:c>
      <x:c r="I19" s="26" t="n">
        <x:v>0.9715</x:v>
      </x:c>
      <x:c r="J19" t="n">
        <x:v>0</x:v>
      </x:c>
      <x:c r="K19" t="n">
        <x:v>0</x:v>
      </x:c>
      <x:c r="L19" t="n">
        <x:v>0</x:v>
      </x:c>
      <x:c r="M19" t="str">
        <x:v>No</x:v>
      </x:c>
      <x:c r="N19" s="58" t="n">
        <x:f>'Scoring Model'!$B$4+IF(G19="Yes",'Scoring Model'!$B$5,0)+MIN('Scoring Model'!$B$7,H19/'Scoring Model'!$B$6*'Scoring Model'!$B$7)+MIN('Scoring Model'!$B$8,J19*'Scoring Model'!$B$8)+MIN('Scoring Model'!$B$11,K19*'Scoring Model'!$B$9+L19*'Scoring Model'!$B$10)</x:f>
        <x:v>68.84444444444445</x:v>
      </x:c>
      <x:c r="O19" t="str">
        <x:f>IF(M19="Yes","Internal / Excluded",IF(N19&gt;='Scoring Model'!$B$12,"Hot",IF(N19&gt;='Scoring Model'!$B$13,"Warm","Cold")))</x:f>
        <x:v>Warm</x:v>
      </x:c>
    </x:row>
    <x:row r="20">
      <x:c r="A20" t="n">
        <x:v>19</x:v>
      </x:c>
      <x:c r="B20" t="str">
        <x:v>Danijela</x:v>
      </x:c>
      <x:c r="C20" t="str">
        <x:v>Antov-Bozalo</x:v>
      </x:c>
      <x:c r="D20" t="str">
        <x:v>danijela.antovbozalo@jokey.com</x:v>
      </x:c>
      <x:c r="E20" t="str">
        <x:v>Jokey BG d.o.o.</x:v>
      </x:c>
      <x:c r="F20" t="str">
        <x:v>Serbia</x:v>
      </x:c>
      <x:c r="G20" t="str">
        <x:v>Yes</x:v>
      </x:c>
      <x:c r="H20" t="n">
        <x:v>86.3</x:v>
      </x:c>
      <x:c r="I20" s="26" t="n">
        <x:v>0.9594</x:v>
      </x:c>
      <x:c r="J20" t="n">
        <x:v>0</x:v>
      </x:c>
      <x:c r="K20" t="n">
        <x:v>0</x:v>
      </x:c>
      <x:c r="L20" t="n">
        <x:v>0</x:v>
      </x:c>
      <x:c r="M20" t="str">
        <x:v>No</x:v>
      </x:c>
      <x:c r="N20" s="58" t="n">
        <x:f>'Scoring Model'!$B$4+IF(G20="Yes",'Scoring Model'!$B$5,0)+MIN('Scoring Model'!$B$7,H20/'Scoring Model'!$B$6*'Scoring Model'!$B$7)+MIN('Scoring Model'!$B$8,J20*'Scoring Model'!$B$8)+MIN('Scoring Model'!$B$11,K20*'Scoring Model'!$B$9+L20*'Scoring Model'!$B$10)</x:f>
        <x:v>68.35555555555555</x:v>
      </x:c>
      <x:c r="O20" t="str">
        <x:f>IF(M20="Yes","Internal / Excluded",IF(N20&gt;='Scoring Model'!$B$12,"Hot",IF(N20&gt;='Scoring Model'!$B$13,"Warm","Cold")))</x:f>
        <x:v>Warm</x:v>
      </x:c>
    </x:row>
    <x:row r="21">
      <x:c r="A21" t="n">
        <x:v>20</x:v>
      </x:c>
      <x:c r="B21" t="str">
        <x:v>Sylvana</x:v>
      </x:c>
      <x:c r="C21" t="str">
        <x:v>SCAMPINI</x:v>
      </x:c>
      <x:c r="D21" t="str">
        <x:v>sylvana.scampini@ecocert.com</x:v>
      </x:c>
      <x:c r="E21" t="str">
        <x:v>ECOCERT GREENLIFE</x:v>
      </x:c>
      <x:c r="F21" t="str">
        <x:v>France</x:v>
      </x:c>
      <x:c r="G21" t="str">
        <x:v>Yes</x:v>
      </x:c>
      <x:c r="H21" t="n">
        <x:v>84.8</x:v>
      </x:c>
      <x:c r="I21" s="26" t="n">
        <x:v>0.9428</x:v>
      </x:c>
      <x:c r="J21" t="n">
        <x:v>0</x:v>
      </x:c>
      <x:c r="K21" t="n">
        <x:v>0</x:v>
      </x:c>
      <x:c r="L21" t="n">
        <x:v>0</x:v>
      </x:c>
      <x:c r="M21" t="str">
        <x:v>No</x:v>
      </x:c>
      <x:c r="N21" s="58" t="n">
        <x:f>'Scoring Model'!$B$4+IF(G21="Yes",'Scoring Model'!$B$5,0)+MIN('Scoring Model'!$B$7,H21/'Scoring Model'!$B$6*'Scoring Model'!$B$7)+MIN('Scoring Model'!$B$8,J21*'Scoring Model'!$B$8)+MIN('Scoring Model'!$B$11,K21*'Scoring Model'!$B$9+L21*'Scoring Model'!$B$10)</x:f>
        <x:v>67.6888888888889</x:v>
      </x:c>
      <x:c r="O21" t="str">
        <x:f>IF(M21="Yes","Internal / Excluded",IF(N21&gt;='Scoring Model'!$B$12,"Hot",IF(N21&gt;='Scoring Model'!$B$13,"Warm","Cold")))</x:f>
        <x:v>Warm</x:v>
      </x:c>
    </x:row>
    <x:row r="22">
      <x:c r="A22" t="n">
        <x:v>21</x:v>
      </x:c>
      <x:c r="B22" t="str">
        <x:v>Leena</x:v>
      </x:c>
      <x:c r="C22" t="str">
        <x:v>Taha-Salaime</x:v>
      </x:c>
      <x:c r="D22" t="str">
        <x:v>leena.ta.salaime@gmail.com</x:v>
      </x:c>
      <x:c r="E22" t="str">
        <x:v>Senior International Scientific, Regulatory &amp; Strategic Consultant</x:v>
      </x:c>
      <x:c r="F22" t="str">
        <x:v>Israel</x:v>
      </x:c>
      <x:c r="G22" t="str">
        <x:v>Yes</x:v>
      </x:c>
      <x:c r="H22" t="n">
        <x:v>84.5</x:v>
      </x:c>
      <x:c r="I22" s="26" t="n">
        <x:v>0.9393</x:v>
      </x:c>
      <x:c r="J22" t="n">
        <x:v>0</x:v>
      </x:c>
      <x:c r="K22" t="n">
        <x:v>0</x:v>
      </x:c>
      <x:c r="L22" t="n">
        <x:v>0</x:v>
      </x:c>
      <x:c r="M22" t="str">
        <x:v>No</x:v>
      </x:c>
      <x:c r="N22" s="58" t="n">
        <x:f>'Scoring Model'!$B$4+IF(G22="Yes",'Scoring Model'!$B$5,0)+MIN('Scoring Model'!$B$7,H22/'Scoring Model'!$B$6*'Scoring Model'!$B$7)+MIN('Scoring Model'!$B$8,J22*'Scoring Model'!$B$8)+MIN('Scoring Model'!$B$11,K22*'Scoring Model'!$B$9+L22*'Scoring Model'!$B$10)</x:f>
        <x:v>67.55555555555556</x:v>
      </x:c>
      <x:c r="O22" t="str">
        <x:f>IF(M22="Yes","Internal / Excluded",IF(N22&gt;='Scoring Model'!$B$12,"Hot",IF(N22&gt;='Scoring Model'!$B$13,"Warm","Cold")))</x:f>
        <x:v>Warm</x:v>
      </x:c>
    </x:row>
    <x:row r="23">
      <x:c r="A23" t="n">
        <x:v>22</x:v>
      </x:c>
      <x:c r="B23" t="str">
        <x:v>Oksana</x:v>
      </x:c>
      <x:c r="C23" t="str">
        <x:v>Mironova</x:v>
      </x:c>
      <x:c r="D23" t="str">
        <x:v>qa@rpet.co.il</x:v>
      </x:c>
      <x:c r="E23" t="str">
        <x:v>Rpet</x:v>
      </x:c>
      <x:c r="F23" t="str">
        <x:v>Israel</x:v>
      </x:c>
      <x:c r="G23" t="str">
        <x:v>Yes</x:v>
      </x:c>
      <x:c r="H23" t="n">
        <x:v>83.3</x:v>
      </x:c>
      <x:c r="I23" s="26" t="n">
        <x:v>0.9256</x:v>
      </x:c>
      <x:c r="J23" t="n">
        <x:v>0</x:v>
      </x:c>
      <x:c r="K23" t="n">
        <x:v>0</x:v>
      </x:c>
      <x:c r="L23" t="n">
        <x:v>0</x:v>
      </x:c>
      <x:c r="M23" t="str">
        <x:v>No</x:v>
      </x:c>
      <x:c r="N23" s="58" t="n">
        <x:f>'Scoring Model'!$B$4+IF(G23="Yes",'Scoring Model'!$B$5,0)+MIN('Scoring Model'!$B$7,H23/'Scoring Model'!$B$6*'Scoring Model'!$B$7)+MIN('Scoring Model'!$B$8,J23*'Scoring Model'!$B$8)+MIN('Scoring Model'!$B$11,K23*'Scoring Model'!$B$9+L23*'Scoring Model'!$B$10)</x:f>
        <x:v>67.02222222222223</x:v>
      </x:c>
      <x:c r="O23" t="str">
        <x:f>IF(M23="Yes","Internal / Excluded",IF(N23&gt;='Scoring Model'!$B$12,"Hot",IF(N23&gt;='Scoring Model'!$B$13,"Warm","Cold")))</x:f>
        <x:v>Warm</x:v>
      </x:c>
    </x:row>
    <x:row r="24">
      <x:c r="A24" t="n">
        <x:v>23</x:v>
      </x:c>
      <x:c r="B24" t="str">
        <x:v>Frank</x:v>
      </x:c>
      <x:c r="C24" t="str">
        <x:v>Hattem, van</x:v>
      </x:c>
      <x:c r="D24" t="str">
        <x:v>frank.van.hattem@kiwa.com</x:v>
      </x:c>
      <x:c r="E24" t="str">
        <x:v>Kiwa</x:v>
      </x:c>
      <x:c r="F24" t="str">
        <x:v>Netherlands</x:v>
      </x:c>
      <x:c r="G24" t="str">
        <x:v>Yes</x:v>
      </x:c>
      <x:c r="H24" t="n">
        <x:v>79.8</x:v>
      </x:c>
      <x:c r="I24" s="26" t="n">
        <x:v>0.8861</x:v>
      </x:c>
      <x:c r="J24" t="n">
        <x:v>0</x:v>
      </x:c>
      <x:c r="K24" t="n">
        <x:v>0</x:v>
      </x:c>
      <x:c r="L24" t="n">
        <x:v>0</x:v>
      </x:c>
      <x:c r="M24" t="str">
        <x:v>No</x:v>
      </x:c>
      <x:c r="N24" s="58" t="n">
        <x:f>'Scoring Model'!$B$4+IF(G24="Yes",'Scoring Model'!$B$5,0)+MIN('Scoring Model'!$B$7,H24/'Scoring Model'!$B$6*'Scoring Model'!$B$7)+MIN('Scoring Model'!$B$8,J24*'Scoring Model'!$B$8)+MIN('Scoring Model'!$B$11,K24*'Scoring Model'!$B$9+L24*'Scoring Model'!$B$10)</x:f>
        <x:v>65.46666666666667</x:v>
      </x:c>
      <x:c r="O24" t="str">
        <x:f>IF(M24="Yes","Internal / Excluded",IF(N24&gt;='Scoring Model'!$B$12,"Hot",IF(N24&gt;='Scoring Model'!$B$13,"Warm","Cold")))</x:f>
        <x:v>Warm</x:v>
      </x:c>
    </x:row>
    <x:row r="25">
      <x:c r="A25" t="n">
        <x:v>24</x:v>
      </x:c>
      <x:c r="B25" t="str">
        <x:v>Erin</x:v>
      </x:c>
      <x:c r="C25" t="str">
        <x:v>Semple</x:v>
      </x:c>
      <x:c r="D25" t="str">
        <x:v>erin.semple@averydennison.com</x:v>
      </x:c>
      <x:c r="E25" t="str">
        <x:v>Avery Dennison</x:v>
      </x:c>
      <x:c r="F25" t="str">
        <x:v>United States</x:v>
      </x:c>
      <x:c r="G25" t="str">
        <x:v>Yes</x:v>
      </x:c>
      <x:c r="H25" t="n">
        <x:v>78.9</x:v>
      </x:c>
      <x:c r="I25" s="26" t="n">
        <x:v>0.8767</x:v>
      </x:c>
      <x:c r="J25" t="n">
        <x:v>0</x:v>
      </x:c>
      <x:c r="K25" t="n">
        <x:v>0</x:v>
      </x:c>
      <x:c r="L25" t="n">
        <x:v>0</x:v>
      </x:c>
      <x:c r="M25" t="str">
        <x:v>No</x:v>
      </x:c>
      <x:c r="N25" s="58" t="n">
        <x:f>'Scoring Model'!$B$4+IF(G25="Yes",'Scoring Model'!$B$5,0)+MIN('Scoring Model'!$B$7,H25/'Scoring Model'!$B$6*'Scoring Model'!$B$7)+MIN('Scoring Model'!$B$8,J25*'Scoring Model'!$B$8)+MIN('Scoring Model'!$B$11,K25*'Scoring Model'!$B$9+L25*'Scoring Model'!$B$10)</x:f>
        <x:v>65.06666666666666</x:v>
      </x:c>
      <x:c r="O25" t="str">
        <x:f>IF(M25="Yes","Internal / Excluded",IF(N25&gt;='Scoring Model'!$B$12,"Hot",IF(N25&gt;='Scoring Model'!$B$13,"Warm","Cold")))</x:f>
        <x:v>Warm</x:v>
      </x:c>
    </x:row>
    <x:row r="26">
      <x:c r="A26" t="n">
        <x:v>25</x:v>
      </x:c>
      <x:c r="B26" t="str">
        <x:v>Brecht</x:v>
      </x:c>
      <x:c r="C26" t="str">
        <x:v>Deschuymer</x:v>
      </x:c>
      <x:c r="D26" t="str">
        <x:v>brecht.deschuymer@baltagroup.com</x:v>
      </x:c>
      <x:c r="E26" t="str">
        <x:v>Balta Industries</x:v>
      </x:c>
      <x:c r="F26" t="str">
        <x:v>Belgium</x:v>
      </x:c>
      <x:c r="G26" t="str">
        <x:v>Yes</x:v>
      </x:c>
      <x:c r="H26" t="n">
        <x:v>70.8</x:v>
      </x:c>
      <x:c r="I26" s="26" t="n">
        <x:v>0.787</x:v>
      </x:c>
      <x:c r="J26" t="n">
        <x:v>0</x:v>
      </x:c>
      <x:c r="K26" t="n">
        <x:v>0</x:v>
      </x:c>
      <x:c r="L26" t="n">
        <x:v>0</x:v>
      </x:c>
      <x:c r="M26" t="str">
        <x:v>No</x:v>
      </x:c>
      <x:c r="N26" s="58" t="n">
        <x:f>'Scoring Model'!$B$4+IF(G26="Yes",'Scoring Model'!$B$5,0)+MIN('Scoring Model'!$B$7,H26/'Scoring Model'!$B$6*'Scoring Model'!$B$7)+MIN('Scoring Model'!$B$8,J26*'Scoring Model'!$B$8)+MIN('Scoring Model'!$B$11,K26*'Scoring Model'!$B$9+L26*'Scoring Model'!$B$10)</x:f>
        <x:v>61.46666666666667</x:v>
      </x:c>
      <x:c r="O26" t="str">
        <x:f>IF(M26="Yes","Internal / Excluded",IF(N26&gt;='Scoring Model'!$B$12,"Hot",IF(N26&gt;='Scoring Model'!$B$13,"Warm","Cold")))</x:f>
        <x:v>Warm</x:v>
      </x:c>
    </x:row>
    <x:row r="27">
      <x:c r="A27" t="n">
        <x:v>26</x:v>
      </x:c>
      <x:c r="B27" t="str">
        <x:v>Vitalij</x:v>
      </x:c>
      <x:c r="C27" t="str">
        <x:v>Salikov</x:v>
      </x:c>
      <x:c r="D27" t="str">
        <x:v>salikov@matterr.de</x:v>
      </x:c>
      <x:c r="E27" t="str"/>
      <x:c r="F27" t="str">
        <x:v>Germany</x:v>
      </x:c>
      <x:c r="G27" t="str">
        <x:v>Yes</x:v>
      </x:c>
      <x:c r="H27" t="n">
        <x:v>68.5</x:v>
      </x:c>
      <x:c r="I27" s="26" t="n">
        <x:v>0.7606</x:v>
      </x:c>
      <x:c r="J27" t="n">
        <x:v>0</x:v>
      </x:c>
      <x:c r="K27" t="n">
        <x:v>0</x:v>
      </x:c>
      <x:c r="L27" t="n">
        <x:v>0</x:v>
      </x:c>
      <x:c r="M27" t="str">
        <x:v>No</x:v>
      </x:c>
      <x:c r="N27" s="58" t="n">
        <x:f>'Scoring Model'!$B$4+IF(G27="Yes",'Scoring Model'!$B$5,0)+MIN('Scoring Model'!$B$7,H27/'Scoring Model'!$B$6*'Scoring Model'!$B$7)+MIN('Scoring Model'!$B$8,J27*'Scoring Model'!$B$8)+MIN('Scoring Model'!$B$11,K27*'Scoring Model'!$B$9+L27*'Scoring Model'!$B$10)</x:f>
        <x:v>60.44444444444444</x:v>
      </x:c>
      <x:c r="O27" t="str">
        <x:f>IF(M27="Yes","Internal / Excluded",IF(N27&gt;='Scoring Model'!$B$12,"Hot",IF(N27&gt;='Scoring Model'!$B$13,"Warm","Cold")))</x:f>
        <x:v>Warm</x:v>
      </x:c>
    </x:row>
    <x:row r="28">
      <x:c r="A28" t="n">
        <x:v>27</x:v>
      </x:c>
      <x:c r="B28" t="str">
        <x:v>Norberto</x:v>
      </x:c>
      <x:c r="C28" t="str">
        <x:v>Fernandez Soriano</x:v>
      </x:c>
      <x:c r="D28" t="str">
        <x:v>nsoriano@gategroup.com</x:v>
      </x:c>
      <x:c r="E28" t="str">
        <x:v>deSter </x:v>
      </x:c>
      <x:c r="F28" t="str">
        <x:v>Belgium</x:v>
      </x:c>
      <x:c r="G28" t="str">
        <x:v>Yes</x:v>
      </x:c>
      <x:c r="H28" t="n">
        <x:v>67</x:v>
      </x:c>
      <x:c r="I28" s="26" t="n">
        <x:v>0.7443</x:v>
      </x:c>
      <x:c r="J28" t="n">
        <x:v>0</x:v>
      </x:c>
      <x:c r="K28" t="n">
        <x:v>0</x:v>
      </x:c>
      <x:c r="L28" t="n">
        <x:v>0</x:v>
      </x:c>
      <x:c r="M28" t="str">
        <x:v>No</x:v>
      </x:c>
      <x:c r="N28" s="58" t="n">
        <x:f>'Scoring Model'!$B$4+IF(G28="Yes",'Scoring Model'!$B$5,0)+MIN('Scoring Model'!$B$7,H28/'Scoring Model'!$B$6*'Scoring Model'!$B$7)+MIN('Scoring Model'!$B$8,J28*'Scoring Model'!$B$8)+MIN('Scoring Model'!$B$11,K28*'Scoring Model'!$B$9+L28*'Scoring Model'!$B$10)</x:f>
        <x:v>59.77777777777778</x:v>
      </x:c>
      <x:c r="O28" t="str">
        <x:f>IF(M28="Yes","Internal / Excluded",IF(N28&gt;='Scoring Model'!$B$12,"Hot",IF(N28&gt;='Scoring Model'!$B$13,"Warm","Cold")))</x:f>
        <x:v>Warm</x:v>
      </x:c>
    </x:row>
    <x:row r="29">
      <x:c r="A29" t="n">
        <x:v>28</x:v>
      </x:c>
      <x:c r="B29" t="str">
        <x:v>Darlin</x:v>
      </x:c>
      <x:c r="C29" t="str">
        <x:v>Mejia</x:v>
      </x:c>
      <x:c r="D29" t="str">
        <x:v>dcmejia@pantaleon.com</x:v>
      </x:c>
      <x:c r="E29" t="str">
        <x:v>Pantaleon S.A.</x:v>
      </x:c>
      <x:c r="F29" t="str">
        <x:v>Guatemala </x:v>
      </x:c>
      <x:c r="G29" t="str">
        <x:v>Yes</x:v>
      </x:c>
      <x:c r="H29" t="n">
        <x:v>66.6</x:v>
      </x:c>
      <x:c r="I29" s="26" t="n">
        <x:v>0.7398</x:v>
      </x:c>
      <x:c r="J29" t="n">
        <x:v>0</x:v>
      </x:c>
      <x:c r="K29" t="n">
        <x:v>0</x:v>
      </x:c>
      <x:c r="L29" t="n">
        <x:v>0</x:v>
      </x:c>
      <x:c r="M29" t="str">
        <x:v>No</x:v>
      </x:c>
      <x:c r="N29" s="58" t="n">
        <x:f>'Scoring Model'!$B$4+IF(G29="Yes",'Scoring Model'!$B$5,0)+MIN('Scoring Model'!$B$7,H29/'Scoring Model'!$B$6*'Scoring Model'!$B$7)+MIN('Scoring Model'!$B$8,J29*'Scoring Model'!$B$8)+MIN('Scoring Model'!$B$11,K29*'Scoring Model'!$B$9+L29*'Scoring Model'!$B$10)</x:f>
        <x:v>59.6</x:v>
      </x:c>
      <x:c r="O29" t="str">
        <x:f>IF(M29="Yes","Internal / Excluded",IF(N29&gt;='Scoring Model'!$B$12,"Hot",IF(N29&gt;='Scoring Model'!$B$13,"Warm","Cold")))</x:f>
        <x:v>Warm</x:v>
      </x:c>
    </x:row>
    <x:row r="30">
      <x:c r="A30" t="n">
        <x:v>29</x:v>
      </x:c>
      <x:c r="B30" t="str">
        <x:v>Miguel</x:v>
      </x:c>
      <x:c r="C30" t="str">
        <x:v>Villanueva</x:v>
      </x:c>
      <x:c r="D30" t="str">
        <x:v>miguel.villanueva@nutrisco.com</x:v>
      </x:c>
      <x:c r="E30" t="str">
        <x:v>Nutrisco</x:v>
      </x:c>
      <x:c r="F30" t="str">
        <x:v>Chile</x:v>
      </x:c>
      <x:c r="G30" t="str">
        <x:v>Yes</x:v>
      </x:c>
      <x:c r="H30" t="n">
        <x:v>62.5</x:v>
      </x:c>
      <x:c r="I30" s="26" t="n">
        <x:v>0.6948</x:v>
      </x:c>
      <x:c r="J30" t="n">
        <x:v>0</x:v>
      </x:c>
      <x:c r="K30" t="n">
        <x:v>0</x:v>
      </x:c>
      <x:c r="L30" t="n">
        <x:v>0</x:v>
      </x:c>
      <x:c r="M30" t="str">
        <x:v>No</x:v>
      </x:c>
      <x:c r="N30" s="58" t="n">
        <x:f>'Scoring Model'!$B$4+IF(G30="Yes",'Scoring Model'!$B$5,0)+MIN('Scoring Model'!$B$7,H30/'Scoring Model'!$B$6*'Scoring Model'!$B$7)+MIN('Scoring Model'!$B$8,J30*'Scoring Model'!$B$8)+MIN('Scoring Model'!$B$11,K30*'Scoring Model'!$B$9+L30*'Scoring Model'!$B$10)</x:f>
        <x:v>57.77777777777778</x:v>
      </x:c>
      <x:c r="O30" t="str">
        <x:f>IF(M30="Yes","Internal / Excluded",IF(N30&gt;='Scoring Model'!$B$12,"Hot",IF(N30&gt;='Scoring Model'!$B$13,"Warm","Cold")))</x:f>
        <x:v>Warm</x:v>
      </x:c>
    </x:row>
    <x:row r="31">
      <x:c r="A31" t="n">
        <x:v>30</x:v>
      </x:c>
      <x:c r="B31" t="str">
        <x:v>Milena Parnigoni</x:v>
      </x:c>
      <x:c r="C31" t="str">
        <x:v>Parnigoni</x:v>
      </x:c>
      <x:c r="D31" t="str">
        <x:v>milena.parnigoni@logoplaste.com</x:v>
      </x:c>
      <x:c r="E31" t="str">
        <x:v>Logoplaste Innovation Lab</x:v>
      </x:c>
      <x:c r="F31" t="str">
        <x:v>Portugal</x:v>
      </x:c>
      <x:c r="G31" t="str">
        <x:v>Yes</x:v>
      </x:c>
      <x:c r="H31" t="n">
        <x:v>60</x:v>
      </x:c>
      <x:c r="I31" s="26" t="n">
        <x:v>0.667</x:v>
      </x:c>
      <x:c r="J31" t="n">
        <x:v>0</x:v>
      </x:c>
      <x:c r="K31" t="n">
        <x:v>0</x:v>
      </x:c>
      <x:c r="L31" t="n">
        <x:v>0</x:v>
      </x:c>
      <x:c r="M31" t="str">
        <x:v>No</x:v>
      </x:c>
      <x:c r="N31" s="58" t="n">
        <x:f>'Scoring Model'!$B$4+IF(G31="Yes",'Scoring Model'!$B$5,0)+MIN('Scoring Model'!$B$7,H31/'Scoring Model'!$B$6*'Scoring Model'!$B$7)+MIN('Scoring Model'!$B$8,J31*'Scoring Model'!$B$8)+MIN('Scoring Model'!$B$11,K31*'Scoring Model'!$B$9+L31*'Scoring Model'!$B$10)</x:f>
        <x:v>56.666666666666664</x:v>
      </x:c>
      <x:c r="O31" t="str">
        <x:f>IF(M31="Yes","Internal / Excluded",IF(N31&gt;='Scoring Model'!$B$12,"Hot",IF(N31&gt;='Scoring Model'!$B$13,"Warm","Cold")))</x:f>
        <x:v>Warm</x:v>
      </x:c>
    </x:row>
    <x:row r="32">
      <x:c r="A32" t="n">
        <x:v>31</x:v>
      </x:c>
      <x:c r="B32" t="str">
        <x:v>Philippe</x:v>
      </x:c>
      <x:c r="C32" t="str">
        <x:v>Doliger</x:v>
      </x:c>
      <x:c r="D32" t="str">
        <x:v>pdoliger@recyclingeurope.org</x:v>
      </x:c>
      <x:c r="E32" t="str">
        <x:v>Recycling Europe </x:v>
      </x:c>
      <x:c r="F32" t="str">
        <x:v>Belgium</x:v>
      </x:c>
      <x:c r="G32" t="str">
        <x:v>Yes</x:v>
      </x:c>
      <x:c r="H32" t="n">
        <x:v>56.1</x:v>
      </x:c>
      <x:c r="I32" s="26" t="n">
        <x:v>0.6237</x:v>
      </x:c>
      <x:c r="J32" t="n">
        <x:v>0</x:v>
      </x:c>
      <x:c r="K32" t="n">
        <x:v>0</x:v>
      </x:c>
      <x:c r="L32" t="n">
        <x:v>0</x:v>
      </x:c>
      <x:c r="M32" t="str">
        <x:v>No</x:v>
      </x:c>
      <x:c r="N32" s="58" t="n">
        <x:f>'Scoring Model'!$B$4+IF(G32="Yes",'Scoring Model'!$B$5,0)+MIN('Scoring Model'!$B$7,H32/'Scoring Model'!$B$6*'Scoring Model'!$B$7)+MIN('Scoring Model'!$B$8,J32*'Scoring Model'!$B$8)+MIN('Scoring Model'!$B$11,K32*'Scoring Model'!$B$9+L32*'Scoring Model'!$B$10)</x:f>
        <x:v>54.93333333333333</x:v>
      </x:c>
      <x:c r="O32" t="str">
        <x:f>IF(M32="Yes","Internal / Excluded",IF(N32&gt;='Scoring Model'!$B$12,"Hot",IF(N32&gt;='Scoring Model'!$B$13,"Warm","Cold")))</x:f>
        <x:v>Warm</x:v>
      </x:c>
    </x:row>
    <x:row r="33">
      <x:c r="A33" t="n">
        <x:v>32</x:v>
      </x:c>
      <x:c r="B33" t="str">
        <x:v>andre</x:v>
      </x:c>
      <x:c r="C33" t="str">
        <x:v>Perez alonso</x:v>
      </x:c>
      <x:c r="D33" t="str">
        <x:v>a.perezalonso@kolmargroup.com</x:v>
      </x:c>
      <x:c r="E33" t="str">
        <x:v>Kolmar Group AG</x:v>
      </x:c>
      <x:c r="F33" t="str">
        <x:v>Suiza</x:v>
      </x:c>
      <x:c r="G33" t="str">
        <x:v>Yes</x:v>
      </x:c>
      <x:c r="H33" t="n">
        <x:v>51</x:v>
      </x:c>
      <x:c r="I33" s="26" t="n">
        <x:v>0.5667</x:v>
      </x:c>
      <x:c r="J33" t="n">
        <x:v>0</x:v>
      </x:c>
      <x:c r="K33" t="n">
        <x:v>0</x:v>
      </x:c>
      <x:c r="L33" t="n">
        <x:v>0</x:v>
      </x:c>
      <x:c r="M33" t="str">
        <x:v>No</x:v>
      </x:c>
      <x:c r="N33" s="58" t="n">
        <x:f>'Scoring Model'!$B$4+IF(G33="Yes",'Scoring Model'!$B$5,0)+MIN('Scoring Model'!$B$7,H33/'Scoring Model'!$B$6*'Scoring Model'!$B$7)+MIN('Scoring Model'!$B$8,J33*'Scoring Model'!$B$8)+MIN('Scoring Model'!$B$11,K33*'Scoring Model'!$B$9+L33*'Scoring Model'!$B$10)</x:f>
        <x:v>52.666666666666664</x:v>
      </x:c>
      <x:c r="O33" t="str">
        <x:f>IF(M33="Yes","Internal / Excluded",IF(N33&gt;='Scoring Model'!$B$12,"Hot",IF(N33&gt;='Scoring Model'!$B$13,"Warm","Cold")))</x:f>
        <x:v>Warm</x:v>
      </x:c>
    </x:row>
    <x:row r="34">
      <x:c r="A34" t="n">
        <x:v>33</x:v>
      </x:c>
      <x:c r="B34" t="str">
        <x:v>SHEHBAZ</x:v>
      </x:c>
      <x:c r="C34" t="str">
        <x:v>AHMED</x:v>
      </x:c>
      <x:c r="D34" t="str">
        <x:v>shehbazahmed743@gmail.com</x:v>
      </x:c>
      <x:c r="E34" t="str">
        <x:v>LIBERTY MILLS LIMITED</x:v>
      </x:c>
      <x:c r="F34" t="str">
        <x:v>PAKISTAN</x:v>
      </x:c>
      <x:c r="G34" t="str">
        <x:v>Yes</x:v>
      </x:c>
      <x:c r="H34" t="n">
        <x:v>50.5</x:v>
      </x:c>
      <x:c r="I34" s="26" t="n">
        <x:v>0.5607</x:v>
      </x:c>
      <x:c r="J34" t="n">
        <x:v>0</x:v>
      </x:c>
      <x:c r="K34" t="n">
        <x:v>0</x:v>
      </x:c>
      <x:c r="L34" t="n">
        <x:v>0</x:v>
      </x:c>
      <x:c r="M34" t="str">
        <x:v>No</x:v>
      </x:c>
      <x:c r="N34" s="58" t="n">
        <x:f>'Scoring Model'!$B$4+IF(G34="Yes",'Scoring Model'!$B$5,0)+MIN('Scoring Model'!$B$7,H34/'Scoring Model'!$B$6*'Scoring Model'!$B$7)+MIN('Scoring Model'!$B$8,J34*'Scoring Model'!$B$8)+MIN('Scoring Model'!$B$11,K34*'Scoring Model'!$B$9+L34*'Scoring Model'!$B$10)</x:f>
        <x:v>52.44444444444444</x:v>
      </x:c>
      <x:c r="O34" t="str">
        <x:f>IF(M34="Yes","Internal / Excluded",IF(N34&gt;='Scoring Model'!$B$12,"Hot",IF(N34&gt;='Scoring Model'!$B$13,"Warm","Cold")))</x:f>
        <x:v>Warm</x:v>
      </x:c>
    </x:row>
    <x:row r="35">
      <x:c r="A35" t="n">
        <x:v>34</x:v>
      </x:c>
      <x:c r="B35" t="str">
        <x:v>Juan</x:v>
      </x:c>
      <x:c r="C35" t="str">
        <x:v>Rico Zamorano</x:v>
      </x:c>
      <x:c r="D35" t="str">
        <x:v>juan.rico@alcaliber.com</x:v>
      </x:c>
      <x:c r="E35" t="str">
        <x:v>Alcaliber S.A.</x:v>
      </x:c>
      <x:c r="F35" t="str">
        <x:v>España</x:v>
      </x:c>
      <x:c r="G35" t="str">
        <x:v>Yes</x:v>
      </x:c>
      <x:c r="H35" t="n">
        <x:v>48.7</x:v>
      </x:c>
      <x:c r="I35" s="26" t="n">
        <x:v>0.5409</x:v>
      </x:c>
      <x:c r="J35" t="n">
        <x:v>0</x:v>
      </x:c>
      <x:c r="K35" t="n">
        <x:v>0</x:v>
      </x:c>
      <x:c r="L35" t="n">
        <x:v>0</x:v>
      </x:c>
      <x:c r="M35" t="str">
        <x:v>No</x:v>
      </x:c>
      <x:c r="N35" s="58" t="n">
        <x:f>'Scoring Model'!$B$4+IF(G35="Yes",'Scoring Model'!$B$5,0)+MIN('Scoring Model'!$B$7,H35/'Scoring Model'!$B$6*'Scoring Model'!$B$7)+MIN('Scoring Model'!$B$8,J35*'Scoring Model'!$B$8)+MIN('Scoring Model'!$B$11,K35*'Scoring Model'!$B$9+L35*'Scoring Model'!$B$10)</x:f>
        <x:v>51.644444444444446</x:v>
      </x:c>
      <x:c r="O35" t="str">
        <x:f>IF(M35="Yes","Internal / Excluded",IF(N35&gt;='Scoring Model'!$B$12,"Hot",IF(N35&gt;='Scoring Model'!$B$13,"Warm","Cold")))</x:f>
        <x:v>Warm</x:v>
      </x:c>
    </x:row>
    <x:row r="36">
      <x:c r="A36" t="n">
        <x:v>35</x:v>
      </x:c>
      <x:c r="B36" t="str">
        <x:v>David</x:v>
      </x:c>
      <x:c r="C36" t="str">
        <x:v>Peñarrubia Navarro</x:v>
      </x:c>
      <x:c r="D36" t="str">
        <x:v>dpe@fecc.org</x:v>
      </x:c>
      <x:c r="E36" t="str">
        <x:v>Fecc</x:v>
      </x:c>
      <x:c r="F36" t="str">
        <x:v>Belgium</x:v>
      </x:c>
      <x:c r="G36" t="str">
        <x:v>Yes</x:v>
      </x:c>
      <x:c r="H36" t="n">
        <x:v>46.9</x:v>
      </x:c>
      <x:c r="I36" s="26" t="n">
        <x:v>0.5207</x:v>
      </x:c>
      <x:c r="J36" t="n">
        <x:v>0</x:v>
      </x:c>
      <x:c r="K36" t="n">
        <x:v>0</x:v>
      </x:c>
      <x:c r="L36" t="n">
        <x:v>0</x:v>
      </x:c>
      <x:c r="M36" t="str">
        <x:v>No</x:v>
      </x:c>
      <x:c r="N36" s="58" t="n">
        <x:f>'Scoring Model'!$B$4+IF(G36="Yes",'Scoring Model'!$B$5,0)+MIN('Scoring Model'!$B$7,H36/'Scoring Model'!$B$6*'Scoring Model'!$B$7)+MIN('Scoring Model'!$B$8,J36*'Scoring Model'!$B$8)+MIN('Scoring Model'!$B$11,K36*'Scoring Model'!$B$9+L36*'Scoring Model'!$B$10)</x:f>
        <x:v>50.84444444444444</x:v>
      </x:c>
      <x:c r="O36" t="str">
        <x:f>IF(M36="Yes","Internal / Excluded",IF(N36&gt;='Scoring Model'!$B$12,"Hot",IF(N36&gt;='Scoring Model'!$B$13,"Warm","Cold")))</x:f>
        <x:v>Warm</x:v>
      </x:c>
    </x:row>
    <x:row r="37">
      <x:c r="A37" t="n">
        <x:v>36</x:v>
      </x:c>
      <x:c r="B37" t="str">
        <x:v>Maria de Lourdes Alejandra</x:v>
      </x:c>
      <x:c r="C37" t="str">
        <x:v>Aguilar Solis</x:v>
      </x:c>
      <x:c r="D37" t="str">
        <x:v>mdaaguilarsolis81@gmail.com</x:v>
      </x:c>
      <x:c r="E37" t="str"/>
      <x:c r="F37" t="str">
        <x:v>Italia</x:v>
      </x:c>
      <x:c r="G37" t="str">
        <x:v>Yes</x:v>
      </x:c>
      <x:c r="H37" t="n">
        <x:v>41</x:v>
      </x:c>
      <x:c r="I37" s="26" t="n">
        <x:v>0.4561</x:v>
      </x:c>
      <x:c r="J37" t="n">
        <x:v>0</x:v>
      </x:c>
      <x:c r="K37" t="n">
        <x:v>0</x:v>
      </x:c>
      <x:c r="L37" t="n">
        <x:v>0</x:v>
      </x:c>
      <x:c r="M37" t="str">
        <x:v>No</x:v>
      </x:c>
      <x:c r="N37" s="58" t="n">
        <x:f>'Scoring Model'!$B$4+IF(G37="Yes",'Scoring Model'!$B$5,0)+MIN('Scoring Model'!$B$7,H37/'Scoring Model'!$B$6*'Scoring Model'!$B$7)+MIN('Scoring Model'!$B$8,J37*'Scoring Model'!$B$8)+MIN('Scoring Model'!$B$11,K37*'Scoring Model'!$B$9+L37*'Scoring Model'!$B$10)</x:f>
        <x:v>48.22222222222222</x:v>
      </x:c>
      <x:c r="O37" t="str">
        <x:f>IF(M37="Yes","Internal / Excluded",IF(N37&gt;='Scoring Model'!$B$12,"Hot",IF(N37&gt;='Scoring Model'!$B$13,"Warm","Cold")))</x:f>
        <x:v>Warm</x:v>
      </x:c>
    </x:row>
    <x:row r="38">
      <x:c r="A38" t="n">
        <x:v>37</x:v>
      </x:c>
      <x:c r="B38" t="str">
        <x:v>Shehara</x:v>
      </x:c>
      <x:c r="C38" t="str">
        <x:v>Fernando</x:v>
      </x:c>
      <x:c r="D38" t="str">
        <x:v>sheharamf@gmail.com</x:v>
      </x:c>
      <x:c r="E38" t="str">
        <x:v>Hayleys Aventura Pvt Ltd.</x:v>
      </x:c>
      <x:c r="F38" t="str">
        <x:v>Sri Lanka </x:v>
      </x:c>
      <x:c r="G38" t="str">
        <x:v>Yes</x:v>
      </x:c>
      <x:c r="H38" t="n">
        <x:v>36.9</x:v>
      </x:c>
      <x:c r="I38" s="26" t="n">
        <x:v>0.4094</x:v>
      </x:c>
      <x:c r="J38" t="n">
        <x:v>0</x:v>
      </x:c>
      <x:c r="K38" t="n">
        <x:v>0</x:v>
      </x:c>
      <x:c r="L38" t="n">
        <x:v>0</x:v>
      </x:c>
      <x:c r="M38" t="str">
        <x:v>No</x:v>
      </x:c>
      <x:c r="N38" s="58" t="n">
        <x:f>'Scoring Model'!$B$4+IF(G38="Yes",'Scoring Model'!$B$5,0)+MIN('Scoring Model'!$B$7,H38/'Scoring Model'!$B$6*'Scoring Model'!$B$7)+MIN('Scoring Model'!$B$8,J38*'Scoring Model'!$B$8)+MIN('Scoring Model'!$B$11,K38*'Scoring Model'!$B$9+L38*'Scoring Model'!$B$10)</x:f>
        <x:v>46.4</x:v>
      </x:c>
      <x:c r="O38" t="str">
        <x:f>IF(M38="Yes","Internal / Excluded",IF(N38&gt;='Scoring Model'!$B$12,"Hot",IF(N38&gt;='Scoring Model'!$B$13,"Warm","Cold")))</x:f>
        <x:v>Warm</x:v>
      </x:c>
    </x:row>
    <x:row r="39">
      <x:c r="A39" t="n">
        <x:v>38</x:v>
      </x:c>
      <x:c r="B39" t="str">
        <x:v>Sebastian</x:v>
      </x:c>
      <x:c r="C39" t="str">
        <x:v>Ortega</x:v>
      </x:c>
      <x:c r="D39" t="str">
        <x:v>sortega@silchron.com</x:v>
      </x:c>
      <x:c r="E39" t="str">
        <x:v>Silchron</x:v>
      </x:c>
      <x:c r="F39" t="str">
        <x:v>Chile</x:v>
      </x:c>
      <x:c r="G39" t="str">
        <x:v>Yes</x:v>
      </x:c>
      <x:c r="H39" t="n">
        <x:v>29.6</x:v>
      </x:c>
      <x:c r="I39" s="26" t="n">
        <x:v>0.3291</x:v>
      </x:c>
      <x:c r="J39" t="n">
        <x:v>0</x:v>
      </x:c>
      <x:c r="K39" t="n">
        <x:v>0</x:v>
      </x:c>
      <x:c r="L39" t="n">
        <x:v>0</x:v>
      </x:c>
      <x:c r="M39" t="str">
        <x:v>No</x:v>
      </x:c>
      <x:c r="N39" s="58" t="n">
        <x:f>'Scoring Model'!$B$4+IF(G39="Yes",'Scoring Model'!$B$5,0)+MIN('Scoring Model'!$B$7,H39/'Scoring Model'!$B$6*'Scoring Model'!$B$7)+MIN('Scoring Model'!$B$8,J39*'Scoring Model'!$B$8)+MIN('Scoring Model'!$B$11,K39*'Scoring Model'!$B$9+L39*'Scoring Model'!$B$10)</x:f>
        <x:v>43.15555555555555</x:v>
      </x:c>
      <x:c r="O39" t="str">
        <x:f>IF(M39="Yes","Internal / Excluded",IF(N39&gt;='Scoring Model'!$B$12,"Hot",IF(N39&gt;='Scoring Model'!$B$13,"Warm","Cold")))</x:f>
        <x:v>Warm</x:v>
      </x:c>
    </x:row>
    <x:row r="40">
      <x:c r="A40" t="n">
        <x:v>39</x:v>
      </x:c>
      <x:c r="B40" t="str">
        <x:v>Edita</x:v>
      </x:c>
      <x:c r="C40" t="str">
        <x:v>Kala</x:v>
      </x:c>
      <x:c r="D40" t="str">
        <x:v>e.kala@intersnackgroup.com</x:v>
      </x:c>
      <x:c r="E40" t="str">
        <x:v>Intersnack</x:v>
      </x:c>
      <x:c r="F40" t="str">
        <x:v>Germany</x:v>
      </x:c>
      <x:c r="G40" t="str">
        <x:v>Yes</x:v>
      </x:c>
      <x:c r="H40" t="n">
        <x:v>29.3</x:v>
      </x:c>
      <x:c r="I40" s="26" t="n">
        <x:v>0.3256</x:v>
      </x:c>
      <x:c r="J40" t="n">
        <x:v>0</x:v>
      </x:c>
      <x:c r="K40" t="n">
        <x:v>0</x:v>
      </x:c>
      <x:c r="L40" t="n">
        <x:v>0</x:v>
      </x:c>
      <x:c r="M40" t="str">
        <x:v>No</x:v>
      </x:c>
      <x:c r="N40" s="58" t="n">
        <x:f>'Scoring Model'!$B$4+IF(G40="Yes",'Scoring Model'!$B$5,0)+MIN('Scoring Model'!$B$7,H40/'Scoring Model'!$B$6*'Scoring Model'!$B$7)+MIN('Scoring Model'!$B$8,J40*'Scoring Model'!$B$8)+MIN('Scoring Model'!$B$11,K40*'Scoring Model'!$B$9+L40*'Scoring Model'!$B$10)</x:f>
        <x:v>43.022222222222226</x:v>
      </x:c>
      <x:c r="O40" t="str">
        <x:f>IF(M40="Yes","Internal / Excluded",IF(N40&gt;='Scoring Model'!$B$12,"Hot",IF(N40&gt;='Scoring Model'!$B$13,"Warm","Cold")))</x:f>
        <x:v>Warm</x:v>
      </x:c>
    </x:row>
    <x:row r="41">
      <x:c r="A41" t="n">
        <x:v>40</x:v>
      </x:c>
      <x:c r="B41" t="str">
        <x:v>Snezhana</x:v>
      </x:c>
      <x:c r="C41" t="str">
        <x:v>Terzieva</x:v>
      </x:c>
      <x:c r="D41" t="str">
        <x:v>lovekorn.st@gmail.com</x:v>
      </x:c>
      <x:c r="E41" t="str"/>
      <x:c r="F41" t="str">
        <x:v>United Kingdom</x:v>
      </x:c>
      <x:c r="G41" t="str">
        <x:v>Yes</x:v>
      </x:c>
      <x:c r="H41" t="n">
        <x:v>25.8</x:v>
      </x:c>
      <x:c r="I41" s="26" t="n">
        <x:v>0.287</x:v>
      </x:c>
      <x:c r="J41" t="n">
        <x:v>0</x:v>
      </x:c>
      <x:c r="K41" t="n">
        <x:v>0</x:v>
      </x:c>
      <x:c r="L41" t="n">
        <x:v>0</x:v>
      </x:c>
      <x:c r="M41" t="str">
        <x:v>No</x:v>
      </x:c>
      <x:c r="N41" s="58" t="n">
        <x:f>'Scoring Model'!$B$4+IF(G41="Yes",'Scoring Model'!$B$5,0)+MIN('Scoring Model'!$B$7,H41/'Scoring Model'!$B$6*'Scoring Model'!$B$7)+MIN('Scoring Model'!$B$8,J41*'Scoring Model'!$B$8)+MIN('Scoring Model'!$B$11,K41*'Scoring Model'!$B$9+L41*'Scoring Model'!$B$10)</x:f>
        <x:v>41.46666666666667</x:v>
      </x:c>
      <x:c r="O41" t="str">
        <x:f>IF(M41="Yes","Internal / Excluded",IF(N41&gt;='Scoring Model'!$B$12,"Hot",IF(N41&gt;='Scoring Model'!$B$13,"Warm","Cold")))</x:f>
        <x:v>Warm</x:v>
      </x:c>
    </x:row>
    <x:row r="42">
      <x:c r="A42" t="n">
        <x:v>41</x:v>
      </x:c>
      <x:c r="B42" t="str">
        <x:v>Stefan</x:v>
      </x:c>
      <x:c r="C42" t="str">
        <x:v>Fehringer</x:v>
      </x:c>
      <x:c r="D42" t="str">
        <x:v>s.fehringer@greiner-gpi.com</x:v>
      </x:c>
      <x:c r="E42" t="str"/>
      <x:c r="F42" t="str">
        <x:v>Österreich</x:v>
      </x:c>
      <x:c r="G42" t="str">
        <x:v>Yes</x:v>
      </x:c>
      <x:c r="H42" t="n">
        <x:v>24.7</x:v>
      </x:c>
      <x:c r="I42" s="26" t="n">
        <x:v>0.2746</x:v>
      </x:c>
      <x:c r="J42" t="n">
        <x:v>0</x:v>
      </x:c>
      <x:c r="K42" t="n">
        <x:v>0</x:v>
      </x:c>
      <x:c r="L42" t="n">
        <x:v>0</x:v>
      </x:c>
      <x:c r="M42" t="str">
        <x:v>No</x:v>
      </x:c>
      <x:c r="N42" s="58" t="n">
        <x:f>'Scoring Model'!$B$4+IF(G42="Yes",'Scoring Model'!$B$5,0)+MIN('Scoring Model'!$B$7,H42/'Scoring Model'!$B$6*'Scoring Model'!$B$7)+MIN('Scoring Model'!$B$8,J42*'Scoring Model'!$B$8)+MIN('Scoring Model'!$B$11,K42*'Scoring Model'!$B$9+L42*'Scoring Model'!$B$10)</x:f>
        <x:v>40.977777777777774</x:v>
      </x:c>
      <x:c r="O42" t="str">
        <x:f>IF(M42="Yes","Internal / Excluded",IF(N42&gt;='Scoring Model'!$B$12,"Hot",IF(N42&gt;='Scoring Model'!$B$13,"Warm","Cold")))</x:f>
        <x:v>Warm</x:v>
      </x:c>
    </x:row>
    <x:row r="43">
      <x:c r="A43" t="n">
        <x:v>42</x:v>
      </x:c>
      <x:c r="B43" t="str">
        <x:v>Nidhi</x:v>
      </x:c>
      <x:c r="C43" t="str">
        <x:v>Thakkar</x:v>
      </x:c>
      <x:c r="D43" t="str">
        <x:v>nidhi.thakkar@cyclos.de</x:v>
      </x:c>
      <x:c r="E43" t="str">
        <x:v>cyclos</x:v>
      </x:c>
      <x:c r="F43" t="str">
        <x:v>Germany</x:v>
      </x:c>
      <x:c r="G43" t="str">
        <x:v>Yes</x:v>
      </x:c>
      <x:c r="H43" t="n">
        <x:v>22.1</x:v>
      </x:c>
      <x:c r="I43" s="26" t="n">
        <x:v>0.2456</x:v>
      </x:c>
      <x:c r="J43" t="n">
        <x:v>0</x:v>
      </x:c>
      <x:c r="K43" t="n">
        <x:v>0</x:v>
      </x:c>
      <x:c r="L43" t="n">
        <x:v>0</x:v>
      </x:c>
      <x:c r="M43" t="str">
        <x:v>No</x:v>
      </x:c>
      <x:c r="N43" s="58" t="n">
        <x:f>'Scoring Model'!$B$4+IF(G43="Yes",'Scoring Model'!$B$5,0)+MIN('Scoring Model'!$B$7,H43/'Scoring Model'!$B$6*'Scoring Model'!$B$7)+MIN('Scoring Model'!$B$8,J43*'Scoring Model'!$B$8)+MIN('Scoring Model'!$B$11,K43*'Scoring Model'!$B$9+L43*'Scoring Model'!$B$10)</x:f>
        <x:v>39.82222222222222</x:v>
      </x:c>
      <x:c r="O43" t="str">
        <x:f>IF(M43="Yes","Internal / Excluded",IF(N43&gt;='Scoring Model'!$B$12,"Hot",IF(N43&gt;='Scoring Model'!$B$13,"Warm","Cold")))</x:f>
        <x:v>Cold</x:v>
      </x:c>
    </x:row>
    <x:row r="44">
      <x:c r="A44" t="n">
        <x:v>43</x:v>
      </x:c>
      <x:c r="B44" t="str">
        <x:v>Jacquelina</x:v>
      </x:c>
      <x:c r="C44" t="str">
        <x:v>Metodieva</x:v>
      </x:c>
      <x:c r="D44" t="str">
        <x:v>zhmetodieva@moew.government.bg</x:v>
      </x:c>
      <x:c r="E44" t="str"/>
      <x:c r="F44" t="str">
        <x:v>Bulgaria</x:v>
      </x:c>
      <x:c r="G44" t="str">
        <x:v>Yes</x:v>
      </x:c>
      <x:c r="H44" t="n">
        <x:v>17.6</x:v>
      </x:c>
      <x:c r="I44" s="26" t="n">
        <x:v>0.1961</x:v>
      </x:c>
      <x:c r="J44" t="n">
        <x:v>0</x:v>
      </x:c>
      <x:c r="K44" t="n">
        <x:v>0</x:v>
      </x:c>
      <x:c r="L44" t="n">
        <x:v>0</x:v>
      </x:c>
      <x:c r="M44" t="str">
        <x:v>No</x:v>
      </x:c>
      <x:c r="N44" s="58" t="n">
        <x:f>'Scoring Model'!$B$4+IF(G44="Yes",'Scoring Model'!$B$5,0)+MIN('Scoring Model'!$B$7,H44/'Scoring Model'!$B$6*'Scoring Model'!$B$7)+MIN('Scoring Model'!$B$8,J44*'Scoring Model'!$B$8)+MIN('Scoring Model'!$B$11,K44*'Scoring Model'!$B$9+L44*'Scoring Model'!$B$10)</x:f>
        <x:v>37.82222222222222</x:v>
      </x:c>
      <x:c r="O44" t="str">
        <x:f>IF(M44="Yes","Internal / Excluded",IF(N44&gt;='Scoring Model'!$B$12,"Hot",IF(N44&gt;='Scoring Model'!$B$13,"Warm","Cold")))</x:f>
        <x:v>Cold</x:v>
      </x:c>
    </x:row>
    <x:row r="45">
      <x:c r="A45" t="n">
        <x:v>44</x:v>
      </x:c>
      <x:c r="B45" t="str">
        <x:v>Shehani</x:v>
      </x:c>
      <x:c r="C45" t="str">
        <x:v>Fernando</x:v>
      </x:c>
      <x:c r="D45" t="str">
        <x:v>sfernando9014@gmail.com</x:v>
      </x:c>
      <x:c r="E45" t="str">
        <x:v>Bio Extracts (Pvt) Ltd</x:v>
      </x:c>
      <x:c r="F45" t="str">
        <x:v>Sri Lanka</x:v>
      </x:c>
      <x:c r="G45" t="str">
        <x:v>Yes</x:v>
      </x:c>
      <x:c r="H45" t="n">
        <x:v>15.6</x:v>
      </x:c>
      <x:c r="I45" s="26" t="n">
        <x:v>0.173</x:v>
      </x:c>
      <x:c r="J45" t="n">
        <x:v>0</x:v>
      </x:c>
      <x:c r="K45" t="n">
        <x:v>0</x:v>
      </x:c>
      <x:c r="L45" t="n">
        <x:v>0</x:v>
      </x:c>
      <x:c r="M45" t="str">
        <x:v>No</x:v>
      </x:c>
      <x:c r="N45" s="58" t="n">
        <x:f>'Scoring Model'!$B$4+IF(G45="Yes",'Scoring Model'!$B$5,0)+MIN('Scoring Model'!$B$7,H45/'Scoring Model'!$B$6*'Scoring Model'!$B$7)+MIN('Scoring Model'!$B$8,J45*'Scoring Model'!$B$8)+MIN('Scoring Model'!$B$11,K45*'Scoring Model'!$B$9+L45*'Scoring Model'!$B$10)</x:f>
        <x:v>36.93333333333334</x:v>
      </x:c>
      <x:c r="O45" t="str">
        <x:f>IF(M45="Yes","Internal / Excluded",IF(N45&gt;='Scoring Model'!$B$12,"Hot",IF(N45&gt;='Scoring Model'!$B$13,"Warm","Cold")))</x:f>
        <x:v>Cold</x:v>
      </x:c>
    </x:row>
    <x:row r="46">
      <x:c r="A46" t="n">
        <x:v>45</x:v>
      </x:c>
      <x:c r="B46" t="str">
        <x:v>Ashish</x:v>
      </x:c>
      <x:c r="C46" t="str">
        <x:v>Dev</x:v>
      </x:c>
      <x:c r="D46" t="str">
        <x:v>ashishchoorakkadan@gmail.com</x:v>
      </x:c>
      <x:c r="E46" t="str">
        <x:v>Consultant</x:v>
      </x:c>
      <x:c r="F46" t="str">
        <x:v>India</x:v>
      </x:c>
      <x:c r="G46" t="str">
        <x:v>Yes</x:v>
      </x:c>
      <x:c r="H46" t="n">
        <x:v>15.6</x:v>
      </x:c>
      <x:c r="I46" s="26" t="n">
        <x:v>0.1733</x:v>
      </x:c>
      <x:c r="J46" t="n">
        <x:v>0</x:v>
      </x:c>
      <x:c r="K46" t="n">
        <x:v>0</x:v>
      </x:c>
      <x:c r="L46" t="n">
        <x:v>0</x:v>
      </x:c>
      <x:c r="M46" t="str">
        <x:v>No</x:v>
      </x:c>
      <x:c r="N46" s="58" t="n">
        <x:f>'Scoring Model'!$B$4+IF(G46="Yes",'Scoring Model'!$B$5,0)+MIN('Scoring Model'!$B$7,H46/'Scoring Model'!$B$6*'Scoring Model'!$B$7)+MIN('Scoring Model'!$B$8,J46*'Scoring Model'!$B$8)+MIN('Scoring Model'!$B$11,K46*'Scoring Model'!$B$9+L46*'Scoring Model'!$B$10)</x:f>
        <x:v>36.93333333333334</x:v>
      </x:c>
      <x:c r="O46" t="str">
        <x:f>IF(M46="Yes","Internal / Excluded",IF(N46&gt;='Scoring Model'!$B$12,"Hot",IF(N46&gt;='Scoring Model'!$B$13,"Warm","Cold")))</x:f>
        <x:v>Cold</x:v>
      </x:c>
    </x:row>
    <x:row r="47">
      <x:c r="A47" t="n">
        <x:v>46</x:v>
      </x:c>
      <x:c r="B47" t="str">
        <x:v>Richard van</x:v>
      </x:c>
      <x:c r="C47" t="str">
        <x:v>Huissteden</x:v>
      </x:c>
      <x:c r="D47" t="str">
        <x:v>richard.van.huissteden@shimano-eu.com</x:v>
      </x:c>
      <x:c r="E47" t="str"/>
      <x:c r="F47" t="str"/>
      <x:c r="G47" t="str">
        <x:v>Yes</x:v>
      </x:c>
      <x:c r="H47" t="n">
        <x:v>12.7</x:v>
      </x:c>
      <x:c r="I47" s="26" t="n">
        <x:v>0.1413</x:v>
      </x:c>
      <x:c r="J47" t="n">
        <x:v>0</x:v>
      </x:c>
      <x:c r="K47" t="n">
        <x:v>0</x:v>
      </x:c>
      <x:c r="L47" t="n">
        <x:v>0</x:v>
      </x:c>
      <x:c r="M47" t="str">
        <x:v>No</x:v>
      </x:c>
      <x:c r="N47" s="58" t="n">
        <x:f>'Scoring Model'!$B$4+IF(G47="Yes",'Scoring Model'!$B$5,0)+MIN('Scoring Model'!$B$7,H47/'Scoring Model'!$B$6*'Scoring Model'!$B$7)+MIN('Scoring Model'!$B$8,J47*'Scoring Model'!$B$8)+MIN('Scoring Model'!$B$11,K47*'Scoring Model'!$B$9+L47*'Scoring Model'!$B$10)</x:f>
        <x:v>35.644444444444446</x:v>
      </x:c>
      <x:c r="O47" t="str">
        <x:f>IF(M47="Yes","Internal / Excluded",IF(N47&gt;='Scoring Model'!$B$12,"Hot",IF(N47&gt;='Scoring Model'!$B$13,"Warm","Cold")))</x:f>
        <x:v>Cold</x:v>
      </x:c>
    </x:row>
    <x:row r="48">
      <x:c r="A48" t="n">
        <x:v>47</x:v>
      </x:c>
      <x:c r="B48" t="str">
        <x:v>Hansani</x:v>
      </x:c>
      <x:c r="C48" t="str">
        <x:v>Lakshani</x:v>
      </x:c>
      <x:c r="D48" t="str">
        <x:v>hansanilakshani55@gmail.com</x:v>
      </x:c>
      <x:c r="E48" t="str">
        <x:v>Bio extracts Pvt Ltd</x:v>
      </x:c>
      <x:c r="F48" t="str">
        <x:v>Sri Lanka </x:v>
      </x:c>
      <x:c r="G48" t="str">
        <x:v>Yes</x:v>
      </x:c>
      <x:c r="H48" t="n">
        <x:v>10.8</x:v>
      </x:c>
      <x:c r="I48" s="26" t="n">
        <x:v>0.1206</x:v>
      </x:c>
      <x:c r="J48" t="n">
        <x:v>0</x:v>
      </x:c>
      <x:c r="K48" t="n">
        <x:v>0</x:v>
      </x:c>
      <x:c r="L48" t="n">
        <x:v>0</x:v>
      </x:c>
      <x:c r="M48" t="str">
        <x:v>No</x:v>
      </x:c>
      <x:c r="N48" s="58" t="n">
        <x:f>'Scoring Model'!$B$4+IF(G48="Yes",'Scoring Model'!$B$5,0)+MIN('Scoring Model'!$B$7,H48/'Scoring Model'!$B$6*'Scoring Model'!$B$7)+MIN('Scoring Model'!$B$8,J48*'Scoring Model'!$B$8)+MIN('Scoring Model'!$B$11,K48*'Scoring Model'!$B$9+L48*'Scoring Model'!$B$10)</x:f>
        <x:v>34.8</x:v>
      </x:c>
      <x:c r="O48" t="str">
        <x:f>IF(M48="Yes","Internal / Excluded",IF(N48&gt;='Scoring Model'!$B$12,"Hot",IF(N48&gt;='Scoring Model'!$B$13,"Warm","Cold")))</x:f>
        <x:v>Cold</x:v>
      </x:c>
    </x:row>
    <x:row r="49">
      <x:c r="A49" t="n">
        <x:v>48</x:v>
      </x:c>
      <x:c r="B49" t="str">
        <x:v>Lakmal</x:v>
      </x:c>
      <x:c r="C49" t="str">
        <x:v>Rathnayaka</x:v>
      </x:c>
      <x:c r="D49" t="str">
        <x:v>qa@qualitea.lk</x:v>
      </x:c>
      <x:c r="E49" t="str">
        <x:v>Qualitea Ceylon</x:v>
      </x:c>
      <x:c r="F49" t="str">
        <x:v>Sri Lanka</x:v>
      </x:c>
      <x:c r="G49" t="str">
        <x:v>Yes</x:v>
      </x:c>
      <x:c r="H49" t="n">
        <x:v>8.9</x:v>
      </x:c>
      <x:c r="I49" s="26" t="n">
        <x:v>0.0993</x:v>
      </x:c>
      <x:c r="J49" t="n">
        <x:v>0</x:v>
      </x:c>
      <x:c r="K49" t="n">
        <x:v>0</x:v>
      </x:c>
      <x:c r="L49" t="n">
        <x:v>0</x:v>
      </x:c>
      <x:c r="M49" t="str">
        <x:v>No</x:v>
      </x:c>
      <x:c r="N49" s="58" t="n">
        <x:f>'Scoring Model'!$B$4+IF(G49="Yes",'Scoring Model'!$B$5,0)+MIN('Scoring Model'!$B$7,H49/'Scoring Model'!$B$6*'Scoring Model'!$B$7)+MIN('Scoring Model'!$B$8,J49*'Scoring Model'!$B$8)+MIN('Scoring Model'!$B$11,K49*'Scoring Model'!$B$9+L49*'Scoring Model'!$B$10)</x:f>
        <x:v>33.955555555555556</x:v>
      </x:c>
      <x:c r="O49" t="str">
        <x:f>IF(M49="Yes","Internal / Excluded",IF(N49&gt;='Scoring Model'!$B$12,"Hot",IF(N49&gt;='Scoring Model'!$B$13,"Warm","Cold")))</x:f>
        <x:v>Cold</x:v>
      </x:c>
    </x:row>
    <x:row r="50">
      <x:c r="A50" t="n">
        <x:v>49</x:v>
      </x:c>
      <x:c r="B50" t="str">
        <x:v>M</x:v>
      </x:c>
      <x:c r="C50" t="str">
        <x:v>G</x:v>
      </x:c>
      <x:c r="D50" t="str">
        <x:v>mgonzalez@silchron.com</x:v>
      </x:c>
      <x:c r="E50" t="str">
        <x:v>Silchron</x:v>
      </x:c>
      <x:c r="F50" t="str">
        <x:v>Chile</x:v>
      </x:c>
      <x:c r="G50" t="str">
        <x:v>Yes</x:v>
      </x:c>
      <x:c r="H50" t="n">
        <x:v>7.1</x:v>
      </x:c>
      <x:c r="I50" s="26" t="n">
        <x:v>0.0787</x:v>
      </x:c>
      <x:c r="J50" t="n">
        <x:v>0</x:v>
      </x:c>
      <x:c r="K50" t="n">
        <x:v>0</x:v>
      </x:c>
      <x:c r="L50" t="n">
        <x:v>0</x:v>
      </x:c>
      <x:c r="M50" t="str">
        <x:v>No</x:v>
      </x:c>
      <x:c r="N50" s="58" t="n">
        <x:f>'Scoring Model'!$B$4+IF(G50="Yes",'Scoring Model'!$B$5,0)+MIN('Scoring Model'!$B$7,H50/'Scoring Model'!$B$6*'Scoring Model'!$B$7)+MIN('Scoring Model'!$B$8,J50*'Scoring Model'!$B$8)+MIN('Scoring Model'!$B$11,K50*'Scoring Model'!$B$9+L50*'Scoring Model'!$B$10)</x:f>
        <x:v>33.15555555555556</x:v>
      </x:c>
      <x:c r="O50" t="str">
        <x:f>IF(M50="Yes","Internal / Excluded",IF(N50&gt;='Scoring Model'!$B$12,"Hot",IF(N50&gt;='Scoring Model'!$B$13,"Warm","Cold")))</x:f>
        <x:v>Cold</x:v>
      </x:c>
    </x:row>
    <x:row r="51">
      <x:c r="A51" t="n">
        <x:v>50</x:v>
      </x:c>
      <x:c r="B51" t="str">
        <x:v>Fathima</x:v>
      </x:c>
      <x:c r="C51" t="str">
        <x:v>Sasna</x:v>
      </x:c>
      <x:c r="D51" t="str">
        <x:v>hsasna19@gmail.com</x:v>
      </x:c>
      <x:c r="E51" t="str">
        <x:v>Asian sciences research pvtltd</x:v>
      </x:c>
      <x:c r="F51" t="str">
        <x:v>Sri Lanka </x:v>
      </x:c>
      <x:c r="G51" t="str">
        <x:v>Yes</x:v>
      </x:c>
      <x:c r="H51" t="n">
        <x:v>6.4</x:v>
      </x:c>
      <x:c r="I51" s="26" t="n">
        <x:v>0.0711</x:v>
      </x:c>
      <x:c r="J51" t="n">
        <x:v>0</x:v>
      </x:c>
      <x:c r="K51" t="n">
        <x:v>0</x:v>
      </x:c>
      <x:c r="L51" t="n">
        <x:v>0</x:v>
      </x:c>
      <x:c r="M51" t="str">
        <x:v>No</x:v>
      </x:c>
      <x:c r="N51" s="58" t="n">
        <x:f>'Scoring Model'!$B$4+IF(G51="Yes",'Scoring Model'!$B$5,0)+MIN('Scoring Model'!$B$7,H51/'Scoring Model'!$B$6*'Scoring Model'!$B$7)+MIN('Scoring Model'!$B$8,J51*'Scoring Model'!$B$8)+MIN('Scoring Model'!$B$11,K51*'Scoring Model'!$B$9+L51*'Scoring Model'!$B$10)</x:f>
        <x:v>32.84444444444444</x:v>
      </x:c>
      <x:c r="O51" t="str">
        <x:f>IF(M51="Yes","Internal / Excluded",IF(N51&gt;='Scoring Model'!$B$12,"Hot",IF(N51&gt;='Scoring Model'!$B$13,"Warm","Cold")))</x:f>
        <x:v>Cold</x:v>
      </x:c>
    </x:row>
    <x:row r="52">
      <x:c r="A52" t="n">
        <x:v>51</x:v>
      </x:c>
      <x:c r="B52" t="str">
        <x:v>Ignacia</x:v>
      </x:c>
      <x:c r="C52" t="str">
        <x:v>Novoa</x:v>
      </x:c>
      <x:c r="D52" t="str">
        <x:v>ignacia.novoa@nutrisco.com</x:v>
      </x:c>
      <x:c r="E52" t="str">
        <x:v>Nutrisco </x:v>
      </x:c>
      <x:c r="F52" t="str">
        <x:v>Chile</x:v>
      </x:c>
      <x:c r="G52" t="str">
        <x:v>Yes</x:v>
      </x:c>
      <x:c r="H52" t="n">
        <x:v>6</x:v>
      </x:c>
      <x:c r="I52" s="26" t="n">
        <x:v>0.067</x:v>
      </x:c>
      <x:c r="J52" t="n">
        <x:v>0</x:v>
      </x:c>
      <x:c r="K52" t="n">
        <x:v>0</x:v>
      </x:c>
      <x:c r="L52" t="n">
        <x:v>0</x:v>
      </x:c>
      <x:c r="M52" t="str">
        <x:v>No</x:v>
      </x:c>
      <x:c r="N52" s="58" t="n">
        <x:f>'Scoring Model'!$B$4+IF(G52="Yes",'Scoring Model'!$B$5,0)+MIN('Scoring Model'!$B$7,H52/'Scoring Model'!$B$6*'Scoring Model'!$B$7)+MIN('Scoring Model'!$B$8,J52*'Scoring Model'!$B$8)+MIN('Scoring Model'!$B$11,K52*'Scoring Model'!$B$9+L52*'Scoring Model'!$B$10)</x:f>
        <x:v>32.666666666666664</x:v>
      </x:c>
      <x:c r="O52" t="str">
        <x:f>IF(M52="Yes","Internal / Excluded",IF(N52&gt;='Scoring Model'!$B$12,"Hot",IF(N52&gt;='Scoring Model'!$B$13,"Warm","Cold")))</x:f>
        <x:v>Cold</x:v>
      </x:c>
    </x:row>
    <x:row r="53">
      <x:c r="A53" t="n">
        <x:v>52</x:v>
      </x:c>
      <x:c r="B53" t="str">
        <x:v>Rosa</x:v>
      </x:c>
      <x:c r="C53" t="str">
        <x:v>Cabezudo alvarado</x:v>
      </x:c>
      <x:c r="D53" t="str">
        <x:v>rlca1981@hotmail.com</x:v>
      </x:c>
      <x:c r="E53" t="str"/>
      <x:c r="F53" t="str">
        <x:v>España</x:v>
      </x:c>
      <x:c r="G53" t="str">
        <x:v>Yes</x:v>
      </x:c>
      <x:c r="H53" t="n">
        <x:v>2.5</x:v>
      </x:c>
      <x:c r="I53" s="26" t="n">
        <x:v>0.0276</x:v>
      </x:c>
      <x:c r="J53" t="n">
        <x:v>0</x:v>
      </x:c>
      <x:c r="K53" t="n">
        <x:v>0</x:v>
      </x:c>
      <x:c r="L53" t="n">
        <x:v>0</x:v>
      </x:c>
      <x:c r="M53" t="str">
        <x:v>No</x:v>
      </x:c>
      <x:c r="N53" s="58" t="n">
        <x:f>'Scoring Model'!$B$4+IF(G53="Yes",'Scoring Model'!$B$5,0)+MIN('Scoring Model'!$B$7,H53/'Scoring Model'!$B$6*'Scoring Model'!$B$7)+MIN('Scoring Model'!$B$8,J53*'Scoring Model'!$B$8)+MIN('Scoring Model'!$B$11,K53*'Scoring Model'!$B$9+L53*'Scoring Model'!$B$10)</x:f>
        <x:v>31.11111111111111</x:v>
      </x:c>
      <x:c r="O53" t="str">
        <x:f>IF(M53="Yes","Internal / Excluded",IF(N53&gt;='Scoring Model'!$B$12,"Hot",IF(N53&gt;='Scoring Model'!$B$13,"Warm","Cold")))</x:f>
        <x:v>Cold</x:v>
      </x:c>
    </x:row>
    <x:row r="54">
      <x:c r="A54" t="n">
        <x:v>53</x:v>
      </x:c>
      <x:c r="B54" t="str">
        <x:v>Hailyn</x:v>
      </x:c>
      <x:c r="C54" t="str">
        <x:v>Gutierrez</x:v>
      </x:c>
      <x:c r="D54" t="str">
        <x:v>hgutierrez@silchron.com</x:v>
      </x:c>
      <x:c r="E54" t="str">
        <x:v>Silchron</x:v>
      </x:c>
      <x:c r="F54" t="str">
        <x:v>chile</x:v>
      </x:c>
      <x:c r="G54" t="str">
        <x:v>Yes</x:v>
      </x:c>
      <x:c r="H54" t="n">
        <x:v>2.1</x:v>
      </x:c>
      <x:c r="I54" s="26" t="n">
        <x:v>0.0231</x:v>
      </x:c>
      <x:c r="J54" t="n">
        <x:v>0</x:v>
      </x:c>
      <x:c r="K54" t="n">
        <x:v>0</x:v>
      </x:c>
      <x:c r="L54" t="n">
        <x:v>0</x:v>
      </x:c>
      <x:c r="M54" t="str">
        <x:v>No</x:v>
      </x:c>
      <x:c r="N54" s="58" t="n">
        <x:f>'Scoring Model'!$B$4+IF(G54="Yes",'Scoring Model'!$B$5,0)+MIN('Scoring Model'!$B$7,H54/'Scoring Model'!$B$6*'Scoring Model'!$B$7)+MIN('Scoring Model'!$B$8,J54*'Scoring Model'!$B$8)+MIN('Scoring Model'!$B$11,K54*'Scoring Model'!$B$9+L54*'Scoring Model'!$B$10)</x:f>
        <x:v>30.933333333333334</x:v>
      </x:c>
      <x:c r="O54" t="str">
        <x:f>IF(M54="Yes","Internal / Excluded",IF(N54&gt;='Scoring Model'!$B$12,"Hot",IF(N54&gt;='Scoring Model'!$B$13,"Warm","Cold")))</x:f>
        <x:v>Cold</x:v>
      </x:c>
    </x:row>
    <x:row r="55">
      <x:c r="A55" t="n">
        <x:v>54</x:v>
      </x:c>
      <x:c r="B55" t="str">
        <x:v>Akbar</x:v>
      </x:c>
      <x:c r="C55" t="str">
        <x:v>Ali</x:v>
      </x:c>
      <x:c r="D55" t="str">
        <x:v>aali189886@gmail.com</x:v>
      </x:c>
      <x:c r="E55" t="str"/>
      <x:c r="F55" t="str"/>
      <x:c r="G55" t="str">
        <x:v>No</x:v>
      </x:c>
      <x:c r="H55" t="n">
        <x:v>0</x:v>
      </x:c>
      <x:c r="I55" s="26" t="n">
        <x:v>0</x:v>
      </x:c>
      <x:c r="J55" t="n">
        <x:v>0</x:v>
      </x:c>
      <x:c r="K55" t="n">
        <x:v>0</x:v>
      </x:c>
      <x:c r="L55" t="n">
        <x:v>0</x:v>
      </x:c>
      <x:c r="M55" t="str">
        <x:v>No</x:v>
      </x:c>
      <x:c r="N55" s="58" t="n">
        <x:f>'Scoring Model'!$B$4+IF(G55="Yes",'Scoring Model'!$B$5,0)+MIN('Scoring Model'!$B$7,H55/'Scoring Model'!$B$6*'Scoring Model'!$B$7)+MIN('Scoring Model'!$B$8,J55*'Scoring Model'!$B$8)+MIN('Scoring Model'!$B$11,K55*'Scoring Model'!$B$9+L55*'Scoring Model'!$B$10)</x:f>
        <x:v>10</x:v>
      </x:c>
      <x:c r="O55" t="str">
        <x:f>IF(M55="Yes","Internal / Excluded",IF(N55&gt;='Scoring Model'!$B$12,"Hot",IF(N55&gt;='Scoring Model'!$B$13,"Warm","Cold")))</x:f>
        <x:v>Cold</x:v>
      </x:c>
    </x:row>
    <x:row r="56">
      <x:c r="A56" t="n">
        <x:v>55</x:v>
      </x:c>
      <x:c r="B56" t="str">
        <x:v>Alina-Diana</x:v>
      </x:c>
      <x:c r="C56" t="str">
        <x:v>Bencze</x:v>
      </x:c>
      <x:c r="D56" t="str">
        <x:v>alina-diana.bencze@decocenter.ro</x:v>
      </x:c>
      <x:c r="E56" t="str"/>
      <x:c r="F56" t="str">
        <x:v>Romania</x:v>
      </x:c>
      <x:c r="G56" t="str">
        <x:v>No</x:v>
      </x:c>
      <x:c r="H56" t="n">
        <x:v>0</x:v>
      </x:c>
      <x:c r="I56" s="26" t="n">
        <x:v>0</x:v>
      </x:c>
      <x:c r="J56" t="n">
        <x:v>0</x:v>
      </x:c>
      <x:c r="K56" t="n">
        <x:v>0</x:v>
      </x:c>
      <x:c r="L56" t="n">
        <x:v>0</x:v>
      </x:c>
      <x:c r="M56" t="str">
        <x:v>No</x:v>
      </x:c>
      <x:c r="N56" s="58" t="n">
        <x:f>'Scoring Model'!$B$4+IF(G56="Yes",'Scoring Model'!$B$5,0)+MIN('Scoring Model'!$B$7,H56/'Scoring Model'!$B$6*'Scoring Model'!$B$7)+MIN('Scoring Model'!$B$8,J56*'Scoring Model'!$B$8)+MIN('Scoring Model'!$B$11,K56*'Scoring Model'!$B$9+L56*'Scoring Model'!$B$10)</x:f>
        <x:v>10</x:v>
      </x:c>
      <x:c r="O56" t="str">
        <x:f>IF(M56="Yes","Internal / Excluded",IF(N56&gt;='Scoring Model'!$B$12,"Hot",IF(N56&gt;='Scoring Model'!$B$13,"Warm","Cold")))</x:f>
        <x:v>Cold</x:v>
      </x:c>
    </x:row>
    <x:row r="57">
      <x:c r="A57" t="n">
        <x:v>56</x:v>
      </x:c>
      <x:c r="B57" t="str">
        <x:v>Dilum</x:v>
      </x:c>
      <x:c r="C57" t="str">
        <x:v>Hasanka</x:v>
      </x:c>
      <x:c r="D57" t="str">
        <x:v>dilumhasankadreamz@gmail.com</x:v>
      </x:c>
      <x:c r="E57" t="str"/>
      <x:c r="F57" t="str">
        <x:v>Sri Lanka</x:v>
      </x:c>
      <x:c r="G57" t="str">
        <x:v>No</x:v>
      </x:c>
      <x:c r="H57" t="n">
        <x:v>0</x:v>
      </x:c>
      <x:c r="I57" s="26" t="n">
        <x:v>0</x:v>
      </x:c>
      <x:c r="J57" t="n">
        <x:v>0</x:v>
      </x:c>
      <x:c r="K57" t="n">
        <x:v>0</x:v>
      </x:c>
      <x:c r="L57" t="n">
        <x:v>0</x:v>
      </x:c>
      <x:c r="M57" t="str">
        <x:v>No</x:v>
      </x:c>
      <x:c r="N57" s="58" t="n">
        <x:f>'Scoring Model'!$B$4+IF(G57="Yes",'Scoring Model'!$B$5,0)+MIN('Scoring Model'!$B$7,H57/'Scoring Model'!$B$6*'Scoring Model'!$B$7)+MIN('Scoring Model'!$B$8,J57*'Scoring Model'!$B$8)+MIN('Scoring Model'!$B$11,K57*'Scoring Model'!$B$9+L57*'Scoring Model'!$B$10)</x:f>
        <x:v>10</x:v>
      </x:c>
      <x:c r="O57" t="str">
        <x:f>IF(M57="Yes","Internal / Excluded",IF(N57&gt;='Scoring Model'!$B$12,"Hot",IF(N57&gt;='Scoring Model'!$B$13,"Warm","Cold")))</x:f>
        <x:v>Cold</x:v>
      </x:c>
    </x:row>
    <x:row r="58">
      <x:c r="A58" t="n">
        <x:v>57</x:v>
      </x:c>
      <x:c r="B58" t="str">
        <x:v>Johann</x:v>
      </x:c>
      <x:c r="C58" t="str">
        <x:v>Tranchell</x:v>
      </x:c>
      <x:c r="D58" t="str">
        <x:v>johann@polydime.com</x:v>
      </x:c>
      <x:c r="E58" t="str"/>
      <x:c r="F58" t="str"/>
      <x:c r="G58" t="str">
        <x:v>No</x:v>
      </x:c>
      <x:c r="H58" t="n">
        <x:v>0</x:v>
      </x:c>
      <x:c r="I58" s="26" t="n">
        <x:v>0</x:v>
      </x:c>
      <x:c r="J58" t="n">
        <x:v>0</x:v>
      </x:c>
      <x:c r="K58" t="n">
        <x:v>0</x:v>
      </x:c>
      <x:c r="L58" t="n">
        <x:v>0</x:v>
      </x:c>
      <x:c r="M58" t="str">
        <x:v>No</x:v>
      </x:c>
      <x:c r="N58" s="58" t="n">
        <x:f>'Scoring Model'!$B$4+IF(G58="Yes",'Scoring Model'!$B$5,0)+MIN('Scoring Model'!$B$7,H58/'Scoring Model'!$B$6*'Scoring Model'!$B$7)+MIN('Scoring Model'!$B$8,J58*'Scoring Model'!$B$8)+MIN('Scoring Model'!$B$11,K58*'Scoring Model'!$B$9+L58*'Scoring Model'!$B$10)</x:f>
        <x:v>10</x:v>
      </x:c>
      <x:c r="O58" t="str">
        <x:f>IF(M58="Yes","Internal / Excluded",IF(N58&gt;='Scoring Model'!$B$12,"Hot",IF(N58&gt;='Scoring Model'!$B$13,"Warm","Cold")))</x:f>
        <x:v>Cold</x:v>
      </x:c>
    </x:row>
    <x:row r="59">
      <x:c r="A59" t="n">
        <x:v>58</x:v>
      </x:c>
      <x:c r="B59" t="str">
        <x:v>Matheus</x:v>
      </x:c>
      <x:c r="C59" t="str">
        <x:v>Siqueira</x:v>
      </x:c>
      <x:c r="D59" t="str">
        <x:v>mcarpoviki@gmail.com</x:v>
      </x:c>
      <x:c r="E59" t="str"/>
      <x:c r="F59" t="str">
        <x:v>Brasil/São Paulo</x:v>
      </x:c>
      <x:c r="G59" t="str">
        <x:v>No</x:v>
      </x:c>
      <x:c r="H59" t="n">
        <x:v>0</x:v>
      </x:c>
      <x:c r="I59" s="26" t="n">
        <x:v>0</x:v>
      </x:c>
      <x:c r="J59" t="n">
        <x:v>0</x:v>
      </x:c>
      <x:c r="K59" t="n">
        <x:v>0</x:v>
      </x:c>
      <x:c r="L59" t="n">
        <x:v>0</x:v>
      </x:c>
      <x:c r="M59" t="str">
        <x:v>No</x:v>
      </x:c>
      <x:c r="N59" s="58" t="n">
        <x:f>'Scoring Model'!$B$4+IF(G59="Yes",'Scoring Model'!$B$5,0)+MIN('Scoring Model'!$B$7,H59/'Scoring Model'!$B$6*'Scoring Model'!$B$7)+MIN('Scoring Model'!$B$8,J59*'Scoring Model'!$B$8)+MIN('Scoring Model'!$B$11,K59*'Scoring Model'!$B$9+L59*'Scoring Model'!$B$10)</x:f>
        <x:v>10</x:v>
      </x:c>
      <x:c r="O59" t="str">
        <x:f>IF(M59="Yes","Internal / Excluded",IF(N59&gt;='Scoring Model'!$B$12,"Hot",IF(N59&gt;='Scoring Model'!$B$13,"Warm","Cold")))</x:f>
        <x:v>Cold</x:v>
      </x:c>
    </x:row>
    <x:row r="60">
      <x:c r="A60" t="n">
        <x:v>59</x:v>
      </x:c>
      <x:c r="B60" t="str">
        <x:v>Francisco Manuel</x:v>
      </x:c>
      <x:c r="C60" t="str">
        <x:v>Vazquez Salar</x:v>
      </x:c>
      <x:c r="D60" t="str">
        <x:v>pacovsalar@hotmail.com</x:v>
      </x:c>
      <x:c r="E60" t="str"/>
      <x:c r="F60" t="str">
        <x:v>España</x:v>
      </x:c>
      <x:c r="G60" t="str">
        <x:v>No</x:v>
      </x:c>
      <x:c r="H60" t="n">
        <x:v>0</x:v>
      </x:c>
      <x:c r="I60" s="26" t="n">
        <x:v>0</x:v>
      </x:c>
      <x:c r="J60" t="n">
        <x:v>0</x:v>
      </x:c>
      <x:c r="K60" t="n">
        <x:v>0</x:v>
      </x:c>
      <x:c r="L60" t="n">
        <x:v>0</x:v>
      </x:c>
      <x:c r="M60" t="str">
        <x:v>No</x:v>
      </x:c>
      <x:c r="N60" s="58" t="n">
        <x:f>'Scoring Model'!$B$4+IF(G60="Yes",'Scoring Model'!$B$5,0)+MIN('Scoring Model'!$B$7,H60/'Scoring Model'!$B$6*'Scoring Model'!$B$7)+MIN('Scoring Model'!$B$8,J60*'Scoring Model'!$B$8)+MIN('Scoring Model'!$B$11,K60*'Scoring Model'!$B$9+L60*'Scoring Model'!$B$10)</x:f>
        <x:v>10</x:v>
      </x:c>
      <x:c r="O60" t="str">
        <x:f>IF(M60="Yes","Internal / Excluded",IF(N60&gt;='Scoring Model'!$B$12,"Hot",IF(N60&gt;='Scoring Model'!$B$13,"Warm","Cold")))</x:f>
        <x:v>Cold</x:v>
      </x:c>
    </x:row>
    <x:row r="61">
      <x:c r="A61" t="n">
        <x:v>60</x:v>
      </x:c>
      <x:c r="B61" t="str">
        <x:v>Sharareh</x:v>
      </x:c>
      <x:c r="C61" t="str">
        <x:v>de Kruif</x:v>
      </x:c>
      <x:c r="D61" t="str">
        <x:v>sdekruif@green-industry.nl</x:v>
      </x:c>
      <x:c r="E61" t="str"/>
      <x:c r="F61" t="str">
        <x:v>Netherlands</x:v>
      </x:c>
      <x:c r="G61" t="str">
        <x:v>No</x:v>
      </x:c>
      <x:c r="H61" t="n">
        <x:v>0</x:v>
      </x:c>
      <x:c r="I61" s="26" t="n">
        <x:v>0</x:v>
      </x:c>
      <x:c r="J61" t="n">
        <x:v>0</x:v>
      </x:c>
      <x:c r="K61" t="n">
        <x:v>0</x:v>
      </x:c>
      <x:c r="L61" t="n">
        <x:v>0</x:v>
      </x:c>
      <x:c r="M61" t="str">
        <x:v>No</x:v>
      </x:c>
      <x:c r="N61" s="58" t="n">
        <x:f>'Scoring Model'!$B$4+IF(G61="Yes",'Scoring Model'!$B$5,0)+MIN('Scoring Model'!$B$7,H61/'Scoring Model'!$B$6*'Scoring Model'!$B$7)+MIN('Scoring Model'!$B$8,J61*'Scoring Model'!$B$8)+MIN('Scoring Model'!$B$11,K61*'Scoring Model'!$B$9+L61*'Scoring Model'!$B$10)</x:f>
        <x:v>10</x:v>
      </x:c>
      <x:c r="O61" t="str">
        <x:f>IF(M61="Yes","Internal / Excluded",IF(N61&gt;='Scoring Model'!$B$12,"Hot",IF(N61&gt;='Scoring Model'!$B$13,"Warm","Cold")))</x:f>
        <x:v>Cold</x:v>
      </x:c>
    </x:row>
    <x:row r="62">
      <x:c r="A62" t="n">
        <x:v>61</x:v>
      </x:c>
      <x:c r="B62" t="str">
        <x:v>sharon</x:v>
      </x:c>
      <x:c r="C62" t="str">
        <x:v>Raymond</x:v>
      </x:c>
      <x:c r="D62" t="str">
        <x:v>sharonr@rpet.co.il</x:v>
      </x:c>
      <x:c r="E62" t="str"/>
      <x:c r="F62" t="str">
        <x:v>Israel </x:v>
      </x:c>
      <x:c r="G62" t="str">
        <x:v>No</x:v>
      </x:c>
      <x:c r="H62" t="n">
        <x:v>0</x:v>
      </x:c>
      <x:c r="I62" s="26" t="n">
        <x:v>0</x:v>
      </x:c>
      <x:c r="J62" t="n">
        <x:v>0</x:v>
      </x:c>
      <x:c r="K62" t="n">
        <x:v>0</x:v>
      </x:c>
      <x:c r="L62" t="n">
        <x:v>0</x:v>
      </x:c>
      <x:c r="M62" t="str">
        <x:v>No</x:v>
      </x:c>
      <x:c r="N62" s="58" t="n">
        <x:f>'Scoring Model'!$B$4+IF(G62="Yes",'Scoring Model'!$B$5,0)+MIN('Scoring Model'!$B$7,H62/'Scoring Model'!$B$6*'Scoring Model'!$B$7)+MIN('Scoring Model'!$B$8,J62*'Scoring Model'!$B$8)+MIN('Scoring Model'!$B$11,K62*'Scoring Model'!$B$9+L62*'Scoring Model'!$B$10)</x:f>
        <x:v>10</x:v>
      </x:c>
      <x:c r="O62" t="str">
        <x:f>IF(M62="Yes","Internal / Excluded",IF(N62&gt;='Scoring Model'!$B$12,"Hot",IF(N62&gt;='Scoring Model'!$B$13,"Warm","Cold")))</x:f>
        <x:v>Cold</x:v>
      </x:c>
    </x:row>
    <x:row r="63">
      <x:c r="A63" t="n">
        <x:v>62</x:v>
      </x:c>
      <x:c r="B63" t="str">
        <x:v>Rasika</x:v>
      </x:c>
      <x:c r="C63" t="str">
        <x:v>Weerasooriya</x:v>
      </x:c>
      <x:c r="D63" t="str">
        <x:v>rasikaweerasooriya82@gmail.com</x:v>
      </x:c>
      <x:c r="E63" t="str">
        <x:v>'-</x:v>
      </x:c>
      <x:c r="F63" t="str">
        <x:v>United Kingdom</x:v>
      </x:c>
      <x:c r="G63" t="str">
        <x:v>No</x:v>
      </x:c>
      <x:c r="H63" t="n">
        <x:v>0</x:v>
      </x:c>
      <x:c r="I63" s="26" t="n">
        <x:v>0</x:v>
      </x:c>
      <x:c r="J63" t="n">
        <x:v>0</x:v>
      </x:c>
      <x:c r="K63" t="n">
        <x:v>0</x:v>
      </x:c>
      <x:c r="L63" t="n">
        <x:v>0</x:v>
      </x:c>
      <x:c r="M63" t="str">
        <x:v>No</x:v>
      </x:c>
      <x:c r="N63" s="58" t="n">
        <x:f>'Scoring Model'!$B$4+IF(G63="Yes",'Scoring Model'!$B$5,0)+MIN('Scoring Model'!$B$7,H63/'Scoring Model'!$B$6*'Scoring Model'!$B$7)+MIN('Scoring Model'!$B$8,J63*'Scoring Model'!$B$8)+MIN('Scoring Model'!$B$11,K63*'Scoring Model'!$B$9+L63*'Scoring Model'!$B$10)</x:f>
        <x:v>10</x:v>
      </x:c>
      <x:c r="O63" t="str">
        <x:f>IF(M63="Yes","Internal / Excluded",IF(N63&gt;='Scoring Model'!$B$12,"Hot",IF(N63&gt;='Scoring Model'!$B$13,"Warm","Cold")))</x:f>
        <x:v>Cold</x:v>
      </x:c>
    </x:row>
    <x:row r="64">
      <x:c r="A64" t="n">
        <x:v>63</x:v>
      </x:c>
      <x:c r="B64" t="str">
        <x:v>Mashan</x:v>
      </x:c>
      <x:c r="C64" t="str">
        <x:v>Murshid</x:v>
      </x:c>
      <x:c r="D64" t="str">
        <x:v>exports@ajpackaging.lk</x:v>
      </x:c>
      <x:c r="E64" t="str">
        <x:v>AJ Packaging (Pvt ) Ltd</x:v>
      </x:c>
      <x:c r="F64" t="str">
        <x:v>Sri Lanka</x:v>
      </x:c>
      <x:c r="G64" t="str">
        <x:v>No</x:v>
      </x:c>
      <x:c r="H64" t="n">
        <x:v>0</x:v>
      </x:c>
      <x:c r="I64" s="26" t="n">
        <x:v>0</x:v>
      </x:c>
      <x:c r="J64" t="n">
        <x:v>0</x:v>
      </x:c>
      <x:c r="K64" t="n">
        <x:v>0</x:v>
      </x:c>
      <x:c r="L64" t="n">
        <x:v>0</x:v>
      </x:c>
      <x:c r="M64" t="str">
        <x:v>No</x:v>
      </x:c>
      <x:c r="N64" s="58" t="n">
        <x:f>'Scoring Model'!$B$4+IF(G64="Yes",'Scoring Model'!$B$5,0)+MIN('Scoring Model'!$B$7,H64/'Scoring Model'!$B$6*'Scoring Model'!$B$7)+MIN('Scoring Model'!$B$8,J64*'Scoring Model'!$B$8)+MIN('Scoring Model'!$B$11,K64*'Scoring Model'!$B$9+L64*'Scoring Model'!$B$10)</x:f>
        <x:v>10</x:v>
      </x:c>
      <x:c r="O64" t="str">
        <x:f>IF(M64="Yes","Internal / Excluded",IF(N64&gt;='Scoring Model'!$B$12,"Hot",IF(N64&gt;='Scoring Model'!$B$13,"Warm","Cold")))</x:f>
        <x:v>Cold</x:v>
      </x:c>
    </x:row>
    <x:row r="65">
      <x:c r="A65" t="n">
        <x:v>64</x:v>
      </x:c>
      <x:c r="B65" t="str">
        <x:v>Daniela Marilin</x:v>
      </x:c>
      <x:c r="C65" t="str">
        <x:v>Albornoz Garrido</x:v>
      </x:c>
      <x:c r="D65" t="str">
        <x:v>dalbornoz@almakila.com</x:v>
      </x:c>
      <x:c r="E65" t="str">
        <x:v>almakila</x:v>
      </x:c>
      <x:c r="F65" t="str">
        <x:v>Chile</x:v>
      </x:c>
      <x:c r="G65" t="str">
        <x:v>No</x:v>
      </x:c>
      <x:c r="H65" t="n">
        <x:v>0</x:v>
      </x:c>
      <x:c r="I65" s="26" t="n">
        <x:v>0</x:v>
      </x:c>
      <x:c r="J65" t="n">
        <x:v>0</x:v>
      </x:c>
      <x:c r="K65" t="n">
        <x:v>0</x:v>
      </x:c>
      <x:c r="L65" t="n">
        <x:v>0</x:v>
      </x:c>
      <x:c r="M65" t="str">
        <x:v>No</x:v>
      </x:c>
      <x:c r="N65" s="58" t="n">
        <x:f>'Scoring Model'!$B$4+IF(G65="Yes",'Scoring Model'!$B$5,0)+MIN('Scoring Model'!$B$7,H65/'Scoring Model'!$B$6*'Scoring Model'!$B$7)+MIN('Scoring Model'!$B$8,J65*'Scoring Model'!$B$8)+MIN('Scoring Model'!$B$11,K65*'Scoring Model'!$B$9+L65*'Scoring Model'!$B$10)</x:f>
        <x:v>10</x:v>
      </x:c>
      <x:c r="O65" t="str">
        <x:f>IF(M65="Yes","Internal / Excluded",IF(N65&gt;='Scoring Model'!$B$12,"Hot",IF(N65&gt;='Scoring Model'!$B$13,"Warm","Cold")))</x:f>
        <x:v>Cold</x:v>
      </x:c>
    </x:row>
    <x:row r="66">
      <x:c r="A66" t="n">
        <x:v>65</x:v>
      </x:c>
      <x:c r="B66" t="str">
        <x:v>Javiera</x:v>
      </x:c>
      <x:c r="C66" t="str">
        <x:v>Cubillos</x:v>
      </x:c>
      <x:c r="D66" t="str">
        <x:v>operaciones@altahpp.com</x:v>
      </x:c>
      <x:c r="E66" t="str">
        <x:v>ALTA HPP</x:v>
      </x:c>
      <x:c r="F66" t="str">
        <x:v>Chile</x:v>
      </x:c>
      <x:c r="G66" t="str">
        <x:v>No</x:v>
      </x:c>
      <x:c r="H66" t="n">
        <x:v>0</x:v>
      </x:c>
      <x:c r="I66" s="26" t="n">
        <x:v>0</x:v>
      </x:c>
      <x:c r="J66" t="n">
        <x:v>0</x:v>
      </x:c>
      <x:c r="K66" t="n">
        <x:v>0</x:v>
      </x:c>
      <x:c r="L66" t="n">
        <x:v>0</x:v>
      </x:c>
      <x:c r="M66" t="str">
        <x:v>No</x:v>
      </x:c>
      <x:c r="N66" s="58" t="n">
        <x:f>'Scoring Model'!$B$4+IF(G66="Yes",'Scoring Model'!$B$5,0)+MIN('Scoring Model'!$B$7,H66/'Scoring Model'!$B$6*'Scoring Model'!$B$7)+MIN('Scoring Model'!$B$8,J66*'Scoring Model'!$B$8)+MIN('Scoring Model'!$B$11,K66*'Scoring Model'!$B$9+L66*'Scoring Model'!$B$10)</x:f>
        <x:v>10</x:v>
      </x:c>
      <x:c r="O66" t="str">
        <x:f>IF(M66="Yes","Internal / Excluded",IF(N66&gt;='Scoring Model'!$B$12,"Hot",IF(N66&gt;='Scoring Model'!$B$13,"Warm","Cold")))</x:f>
        <x:v>Cold</x:v>
      </x:c>
    </x:row>
    <x:row r="67">
      <x:c r="A67" t="n">
        <x:v>66</x:v>
      </x:c>
      <x:c r="B67" t="str">
        <x:v>SAYANTAN</x:v>
      </x:c>
      <x:c r="C67" t="str">
        <x:v>BASAK</x:v>
      </x:c>
      <x:c r="D67" t="str">
        <x:v>sayantan.basak@sinarindah.co.in</x:v>
      </x:c>
      <x:c r="E67" t="str">
        <x:v>APP SINARMAS</x:v>
      </x:c>
      <x:c r="F67" t="str">
        <x:v>India</x:v>
      </x:c>
      <x:c r="G67" t="str">
        <x:v>No</x:v>
      </x:c>
      <x:c r="H67" t="n">
        <x:v>0</x:v>
      </x:c>
      <x:c r="I67" s="26" t="n">
        <x:v>0</x:v>
      </x:c>
      <x:c r="J67" t="n">
        <x:v>0</x:v>
      </x:c>
      <x:c r="K67" t="n">
        <x:v>0</x:v>
      </x:c>
      <x:c r="L67" t="n">
        <x:v>0</x:v>
      </x:c>
      <x:c r="M67" t="str">
        <x:v>No</x:v>
      </x:c>
      <x:c r="N67" s="58" t="n">
        <x:f>'Scoring Model'!$B$4+IF(G67="Yes",'Scoring Model'!$B$5,0)+MIN('Scoring Model'!$B$7,H67/'Scoring Model'!$B$6*'Scoring Model'!$B$7)+MIN('Scoring Model'!$B$8,J67*'Scoring Model'!$B$8)+MIN('Scoring Model'!$B$11,K67*'Scoring Model'!$B$9+L67*'Scoring Model'!$B$10)</x:f>
        <x:v>10</x:v>
      </x:c>
      <x:c r="O67" t="str">
        <x:f>IF(M67="Yes","Internal / Excluded",IF(N67&gt;='Scoring Model'!$B$12,"Hot",IF(N67&gt;='Scoring Model'!$B$13,"Warm","Cold")))</x:f>
        <x:v>Cold</x:v>
      </x:c>
    </x:row>
    <x:row r="68">
      <x:c r="A68" t="n">
        <x:v>67</x:v>
      </x:c>
      <x:c r="B68" t="str">
        <x:v>Romulo</x:v>
      </x:c>
      <x:c r="C68" t="str">
        <x:v>Pereira</x:v>
      </x:c>
      <x:c r="D68" t="str">
        <x:v>romulo.pereira@archroma.com</x:v>
      </x:c>
      <x:c r="E68" t="str">
        <x:v>Archroma</x:v>
      </x:c>
      <x:c r="F68" t="str">
        <x:v>Brazil</x:v>
      </x:c>
      <x:c r="G68" t="str">
        <x:v>No</x:v>
      </x:c>
      <x:c r="H68" t="n">
        <x:v>0</x:v>
      </x:c>
      <x:c r="I68" s="26" t="n">
        <x:v>0</x:v>
      </x:c>
      <x:c r="J68" t="n">
        <x:v>0</x:v>
      </x:c>
      <x:c r="K68" t="n">
        <x:v>0</x:v>
      </x:c>
      <x:c r="L68" t="n">
        <x:v>0</x:v>
      </x:c>
      <x:c r="M68" t="str">
        <x:v>No</x:v>
      </x:c>
      <x:c r="N68" s="58" t="n">
        <x:f>'Scoring Model'!$B$4+IF(G68="Yes",'Scoring Model'!$B$5,0)+MIN('Scoring Model'!$B$7,H68/'Scoring Model'!$B$6*'Scoring Model'!$B$7)+MIN('Scoring Model'!$B$8,J68*'Scoring Model'!$B$8)+MIN('Scoring Model'!$B$11,K68*'Scoring Model'!$B$9+L68*'Scoring Model'!$B$10)</x:f>
        <x:v>10</x:v>
      </x:c>
      <x:c r="O68" t="str">
        <x:f>IF(M68="Yes","Internal / Excluded",IF(N68&gt;='Scoring Model'!$B$12,"Hot",IF(N68&gt;='Scoring Model'!$B$13,"Warm","Cold")))</x:f>
        <x:v>Cold</x:v>
      </x:c>
    </x:row>
    <x:row r="69">
      <x:c r="A69" t="n">
        <x:v>68</x:v>
      </x:c>
      <x:c r="B69" t="str">
        <x:v>Diego</x:v>
      </x:c>
      <x:c r="C69" t="str">
        <x:v>Salgado</x:v>
      </x:c>
      <x:c r="D69" t="str">
        <x:v>dsalgado@artesco.com.pe</x:v>
      </x:c>
      <x:c r="E69" t="str">
        <x:v>Artesco-Staedtler DE</x:v>
      </x:c>
      <x:c r="F69" t="str">
        <x:v>Peru</x:v>
      </x:c>
      <x:c r="G69" t="str">
        <x:v>No</x:v>
      </x:c>
      <x:c r="H69" t="n">
        <x:v>0</x:v>
      </x:c>
      <x:c r="I69" s="26" t="n">
        <x:v>0</x:v>
      </x:c>
      <x:c r="J69" t="n">
        <x:v>0</x:v>
      </x:c>
      <x:c r="K69" t="n">
        <x:v>0</x:v>
      </x:c>
      <x:c r="L69" t="n">
        <x:v>0</x:v>
      </x:c>
      <x:c r="M69" t="str">
        <x:v>No</x:v>
      </x:c>
      <x:c r="N69" s="58" t="n">
        <x:f>'Scoring Model'!$B$4+IF(G69="Yes",'Scoring Model'!$B$5,0)+MIN('Scoring Model'!$B$7,H69/'Scoring Model'!$B$6*'Scoring Model'!$B$7)+MIN('Scoring Model'!$B$8,J69*'Scoring Model'!$B$8)+MIN('Scoring Model'!$B$11,K69*'Scoring Model'!$B$9+L69*'Scoring Model'!$B$10)</x:f>
        <x:v>10</x:v>
      </x:c>
      <x:c r="O69" t="str">
        <x:f>IF(M69="Yes","Internal / Excluded",IF(N69&gt;='Scoring Model'!$B$12,"Hot",IF(N69&gt;='Scoring Model'!$B$13,"Warm","Cold")))</x:f>
        <x:v>Cold</x:v>
      </x:c>
    </x:row>
    <x:row r="70">
      <x:c r="A70" t="n">
        <x:v>69</x:v>
      </x:c>
      <x:c r="B70" t="str">
        <x:v>Taha</x:v>
      </x:c>
      <x:c r="C70" t="str">
        <x:v>Sulaiman</x:v>
      </x:c>
      <x:c r="D70" t="str">
        <x:v>taha_sulaiman@yahoo.com</x:v>
      </x:c>
      <x:c r="E70" t="str">
        <x:v>Aspin Pharma   </x:v>
      </x:c>
      <x:c r="F70" t="str">
        <x:v>Pakistan </x:v>
      </x:c>
      <x:c r="G70" t="str">
        <x:v>No</x:v>
      </x:c>
      <x:c r="H70" t="n">
        <x:v>0</x:v>
      </x:c>
      <x:c r="I70" s="26" t="n">
        <x:v>0</x:v>
      </x:c>
      <x:c r="J70" t="n">
        <x:v>0</x:v>
      </x:c>
      <x:c r="K70" t="n">
        <x:v>0</x:v>
      </x:c>
      <x:c r="L70" t="n">
        <x:v>0</x:v>
      </x:c>
      <x:c r="M70" t="str">
        <x:v>No</x:v>
      </x:c>
      <x:c r="N70" s="58" t="n">
        <x:f>'Scoring Model'!$B$4+IF(G70="Yes",'Scoring Model'!$B$5,0)+MIN('Scoring Model'!$B$7,H70/'Scoring Model'!$B$6*'Scoring Model'!$B$7)+MIN('Scoring Model'!$B$8,J70*'Scoring Model'!$B$8)+MIN('Scoring Model'!$B$11,K70*'Scoring Model'!$B$9+L70*'Scoring Model'!$B$10)</x:f>
        <x:v>10</x:v>
      </x:c>
      <x:c r="O70" t="str">
        <x:f>IF(M70="Yes","Internal / Excluded",IF(N70&gt;='Scoring Model'!$B$12,"Hot",IF(N70&gt;='Scoring Model'!$B$13,"Warm","Cold")))</x:f>
        <x:v>Cold</x:v>
      </x:c>
    </x:row>
    <x:row r="71">
      <x:c r="A71" t="n">
        <x:v>70</x:v>
      </x:c>
      <x:c r="B71" t="str">
        <x:v>DM</x:v>
      </x:c>
      <x:c r="C71" t="str">
        <x:v>Certification</x:v>
      </x:c>
      <x:c r="D71" t="str">
        <x:v>dm.certification@aviagri.com</x:v>
      </x:c>
      <x:c r="E71" t="str">
        <x:v>Avi Agri Business Pvt. Ltd.</x:v>
      </x:c>
      <x:c r="F71" t="str">
        <x:v>India</x:v>
      </x:c>
      <x:c r="G71" t="str">
        <x:v>No</x:v>
      </x:c>
      <x:c r="H71" t="n">
        <x:v>0</x:v>
      </x:c>
      <x:c r="I71" s="26" t="n">
        <x:v>0</x:v>
      </x:c>
      <x:c r="J71" t="n">
        <x:v>0</x:v>
      </x:c>
      <x:c r="K71" t="n">
        <x:v>0</x:v>
      </x:c>
      <x:c r="L71" t="n">
        <x:v>0</x:v>
      </x:c>
      <x:c r="M71" t="str">
        <x:v>No</x:v>
      </x:c>
      <x:c r="N71" s="58" t="n">
        <x:f>'Scoring Model'!$B$4+IF(G71="Yes",'Scoring Model'!$B$5,0)+MIN('Scoring Model'!$B$7,H71/'Scoring Model'!$B$6*'Scoring Model'!$B$7)+MIN('Scoring Model'!$B$8,J71*'Scoring Model'!$B$8)+MIN('Scoring Model'!$B$11,K71*'Scoring Model'!$B$9+L71*'Scoring Model'!$B$10)</x:f>
        <x:v>10</x:v>
      </x:c>
      <x:c r="O71" t="str">
        <x:f>IF(M71="Yes","Internal / Excluded",IF(N71&gt;='Scoring Model'!$B$12,"Hot",IF(N71&gt;='Scoring Model'!$B$13,"Warm","Cold")))</x:f>
        <x:v>Cold</x:v>
      </x:c>
    </x:row>
    <x:row r="72">
      <x:c r="A72" t="n">
        <x:v>71</x:v>
      </x:c>
      <x:c r="B72" t="str">
        <x:v>Asraful</x:v>
      </x:c>
      <x:c r="C72" t="str">
        <x:v>Islam</x:v>
      </x:c>
      <x:c r="D72" t="str">
        <x:v>commercial@badshatex.com</x:v>
      </x:c>
      <x:c r="E72" t="str">
        <x:v>Badsha Textiles Ltd.</x:v>
      </x:c>
      <x:c r="F72" t="str">
        <x:v>Bangladesh </x:v>
      </x:c>
      <x:c r="G72" t="str">
        <x:v>No</x:v>
      </x:c>
      <x:c r="H72" t="n">
        <x:v>0</x:v>
      </x:c>
      <x:c r="I72" s="26" t="n">
        <x:v>0</x:v>
      </x:c>
      <x:c r="J72" t="n">
        <x:v>0</x:v>
      </x:c>
      <x:c r="K72" t="n">
        <x:v>0</x:v>
      </x:c>
      <x:c r="L72" t="n">
        <x:v>0</x:v>
      </x:c>
      <x:c r="M72" t="str">
        <x:v>No</x:v>
      </x:c>
      <x:c r="N72" s="58" t="n">
        <x:f>'Scoring Model'!$B$4+IF(G72="Yes",'Scoring Model'!$B$5,0)+MIN('Scoring Model'!$B$7,H72/'Scoring Model'!$B$6*'Scoring Model'!$B$7)+MIN('Scoring Model'!$B$8,J72*'Scoring Model'!$B$8)+MIN('Scoring Model'!$B$11,K72*'Scoring Model'!$B$9+L72*'Scoring Model'!$B$10)</x:f>
        <x:v>10</x:v>
      </x:c>
      <x:c r="O72" t="str">
        <x:f>IF(M72="Yes","Internal / Excluded",IF(N72&gt;='Scoring Model'!$B$12,"Hot",IF(N72&gt;='Scoring Model'!$B$13,"Warm","Cold")))</x:f>
        <x:v>Cold</x:v>
      </x:c>
    </x:row>
    <x:row r="73">
      <x:c r="A73" t="n">
        <x:v>72</x:v>
      </x:c>
      <x:c r="B73" t="str">
        <x:v>Marta</x:v>
      </x:c>
      <x:c r="C73" t="str">
        <x:v>Soto</x:v>
      </x:c>
      <x:c r="D73" t="str">
        <x:v>msoto@cefetra.es</x:v>
      </x:c>
      <x:c r="E73" t="str">
        <x:v>Cefetra ibérica </x:v>
      </x:c>
      <x:c r="F73" t="str">
        <x:v>Spain </x:v>
      </x:c>
      <x:c r="G73" t="str">
        <x:v>No</x:v>
      </x:c>
      <x:c r="H73" t="n">
        <x:v>0</x:v>
      </x:c>
      <x:c r="I73" s="26" t="n">
        <x:v>0</x:v>
      </x:c>
      <x:c r="J73" t="n">
        <x:v>0</x:v>
      </x:c>
      <x:c r="K73" t="n">
        <x:v>0</x:v>
      </x:c>
      <x:c r="L73" t="n">
        <x:v>0</x:v>
      </x:c>
      <x:c r="M73" t="str">
        <x:v>No</x:v>
      </x:c>
      <x:c r="N73" s="58" t="n">
        <x:f>'Scoring Model'!$B$4+IF(G73="Yes",'Scoring Model'!$B$5,0)+MIN('Scoring Model'!$B$7,H73/'Scoring Model'!$B$6*'Scoring Model'!$B$7)+MIN('Scoring Model'!$B$8,J73*'Scoring Model'!$B$8)+MIN('Scoring Model'!$B$11,K73*'Scoring Model'!$B$9+L73*'Scoring Model'!$B$10)</x:f>
        <x:v>10</x:v>
      </x:c>
      <x:c r="O73" t="str">
        <x:f>IF(M73="Yes","Internal / Excluded",IF(N73&gt;='Scoring Model'!$B$12,"Hot",IF(N73&gt;='Scoring Model'!$B$13,"Warm","Cold")))</x:f>
        <x:v>Cold</x:v>
      </x:c>
    </x:row>
    <x:row r="74">
      <x:c r="A74" t="n">
        <x:v>73</x:v>
      </x:c>
      <x:c r="B74" t="str">
        <x:v>Ziga</x:v>
      </x:c>
      <x:c r="C74" t="str">
        <x:v>Vidic</x:v>
      </x:c>
      <x:c r="D74" t="str">
        <x:v>ziga_vidic@hotmail.com</x:v>
      </x:c>
      <x:c r="E74" t="str">
        <x:v>Consultancy</x:v>
      </x:c>
      <x:c r="F74" t="str">
        <x:v>Österreich</x:v>
      </x:c>
      <x:c r="G74" t="str">
        <x:v>No</x:v>
      </x:c>
      <x:c r="H74" t="n">
        <x:v>0</x:v>
      </x:c>
      <x:c r="I74" s="26" t="n">
        <x:v>0</x:v>
      </x:c>
      <x:c r="J74" t="n">
        <x:v>0</x:v>
      </x:c>
      <x:c r="K74" t="n">
        <x:v>0</x:v>
      </x:c>
      <x:c r="L74" t="n">
        <x:v>0</x:v>
      </x:c>
      <x:c r="M74" t="str">
        <x:v>No</x:v>
      </x:c>
      <x:c r="N74" s="58" t="n">
        <x:f>'Scoring Model'!$B$4+IF(G74="Yes",'Scoring Model'!$B$5,0)+MIN('Scoring Model'!$B$7,H74/'Scoring Model'!$B$6*'Scoring Model'!$B$7)+MIN('Scoring Model'!$B$8,J74*'Scoring Model'!$B$8)+MIN('Scoring Model'!$B$11,K74*'Scoring Model'!$B$9+L74*'Scoring Model'!$B$10)</x:f>
        <x:v>10</x:v>
      </x:c>
      <x:c r="O74" t="str">
        <x:f>IF(M74="Yes","Internal / Excluded",IF(N74&gt;='Scoring Model'!$B$12,"Hot",IF(N74&gt;='Scoring Model'!$B$13,"Warm","Cold")))</x:f>
        <x:v>Cold</x:v>
      </x:c>
    </x:row>
    <x:row r="75">
      <x:c r="A75" t="n">
        <x:v>74</x:v>
      </x:c>
      <x:c r="B75" t="str">
        <x:v>Priscilla</x:v>
      </x:c>
      <x:c r="C75" t="str">
        <x:v>Fuentes</x:v>
      </x:c>
      <x:c r="D75" t="str">
        <x:v>pfuentes@delisur.cl</x:v>
      </x:c>
      <x:c r="E75" t="str">
        <x:v>DELISUR S.A.</x:v>
      </x:c>
      <x:c r="F75" t="str">
        <x:v>Chile</x:v>
      </x:c>
      <x:c r="G75" t="str">
        <x:v>No</x:v>
      </x:c>
      <x:c r="H75" t="n">
        <x:v>0</x:v>
      </x:c>
      <x:c r="I75" s="26" t="n">
        <x:v>0</x:v>
      </x:c>
      <x:c r="J75" t="n">
        <x:v>0</x:v>
      </x:c>
      <x:c r="K75" t="n">
        <x:v>0</x:v>
      </x:c>
      <x:c r="L75" t="n">
        <x:v>0</x:v>
      </x:c>
      <x:c r="M75" t="str">
        <x:v>No</x:v>
      </x:c>
      <x:c r="N75" s="58" t="n">
        <x:f>'Scoring Model'!$B$4+IF(G75="Yes",'Scoring Model'!$B$5,0)+MIN('Scoring Model'!$B$7,H75/'Scoring Model'!$B$6*'Scoring Model'!$B$7)+MIN('Scoring Model'!$B$8,J75*'Scoring Model'!$B$8)+MIN('Scoring Model'!$B$11,K75*'Scoring Model'!$B$9+L75*'Scoring Model'!$B$10)</x:f>
        <x:v>10</x:v>
      </x:c>
      <x:c r="O75" t="str">
        <x:f>IF(M75="Yes","Internal / Excluded",IF(N75&gt;='Scoring Model'!$B$12,"Hot",IF(N75&gt;='Scoring Model'!$B$13,"Warm","Cold")))</x:f>
        <x:v>Cold</x:v>
      </x:c>
    </x:row>
    <x:row r="76">
      <x:c r="A76" t="n">
        <x:v>75</x:v>
      </x:c>
      <x:c r="B76" t="str">
        <x:v>Alexander</x:v>
      </x:c>
      <x:c r="C76" t="str">
        <x:v>Schmelzer</x:v>
      </x:c>
      <x:c r="D76" t="str">
        <x:v>schmelzer@verpackung.org</x:v>
      </x:c>
      <x:c r="E76" t="str">
        <x:v>Deutsches Verpackungsinstitut e.V.</x:v>
      </x:c>
      <x:c r="F76" t="str">
        <x:v>Deutschland</x:v>
      </x:c>
      <x:c r="G76" t="str">
        <x:v>No</x:v>
      </x:c>
      <x:c r="H76" t="n">
        <x:v>0</x:v>
      </x:c>
      <x:c r="I76" s="26" t="n">
        <x:v>0</x:v>
      </x:c>
      <x:c r="J76" t="n">
        <x:v>0</x:v>
      </x:c>
      <x:c r="K76" t="n">
        <x:v>0</x:v>
      </x:c>
      <x:c r="L76" t="n">
        <x:v>0</x:v>
      </x:c>
      <x:c r="M76" t="str">
        <x:v>No</x:v>
      </x:c>
      <x:c r="N76" s="58" t="n">
        <x:f>'Scoring Model'!$B$4+IF(G76="Yes",'Scoring Model'!$B$5,0)+MIN('Scoring Model'!$B$7,H76/'Scoring Model'!$B$6*'Scoring Model'!$B$7)+MIN('Scoring Model'!$B$8,J76*'Scoring Model'!$B$8)+MIN('Scoring Model'!$B$11,K76*'Scoring Model'!$B$9+L76*'Scoring Model'!$B$10)</x:f>
        <x:v>10</x:v>
      </x:c>
      <x:c r="O76" t="str">
        <x:f>IF(M76="Yes","Internal / Excluded",IF(N76&gt;='Scoring Model'!$B$12,"Hot",IF(N76&gt;='Scoring Model'!$B$13,"Warm","Cold")))</x:f>
        <x:v>Cold</x:v>
      </x:c>
    </x:row>
    <x:row r="77">
      <x:c r="A77" t="n">
        <x:v>76</x:v>
      </x:c>
      <x:c r="B77" t="str">
        <x:v>Fatin Athilia</x:v>
      </x:c>
      <x:c r="C77" t="str">
        <x:v>Aidi Zameri</x:v>
      </x:c>
      <x:c r="D77" t="str">
        <x:v>fatinathilia@dcm-dic.com.my</x:v>
      </x:c>
      <x:c r="E77" t="str">
        <x:v>DIC COMPOUNDS (MALAYSIA)</x:v>
      </x:c>
      <x:c r="F77" t="str">
        <x:v>Malaysia</x:v>
      </x:c>
      <x:c r="G77" t="str">
        <x:v>No</x:v>
      </x:c>
      <x:c r="H77" t="n">
        <x:v>0</x:v>
      </x:c>
      <x:c r="I77" s="26" t="n">
        <x:v>0</x:v>
      </x:c>
      <x:c r="J77" t="n">
        <x:v>0</x:v>
      </x:c>
      <x:c r="K77" t="n">
        <x:v>0</x:v>
      </x:c>
      <x:c r="L77" t="n">
        <x:v>0</x:v>
      </x:c>
      <x:c r="M77" t="str">
        <x:v>No</x:v>
      </x:c>
      <x:c r="N77" s="58" t="n">
        <x:f>'Scoring Model'!$B$4+IF(G77="Yes",'Scoring Model'!$B$5,0)+MIN('Scoring Model'!$B$7,H77/'Scoring Model'!$B$6*'Scoring Model'!$B$7)+MIN('Scoring Model'!$B$8,J77*'Scoring Model'!$B$8)+MIN('Scoring Model'!$B$11,K77*'Scoring Model'!$B$9+L77*'Scoring Model'!$B$10)</x:f>
        <x:v>10</x:v>
      </x:c>
      <x:c r="O77" t="str">
        <x:f>IF(M77="Yes","Internal / Excluded",IF(N77&gt;='Scoring Model'!$B$12,"Hot",IF(N77&gt;='Scoring Model'!$B$13,"Warm","Cold")))</x:f>
        <x:v>Cold</x:v>
      </x:c>
    </x:row>
    <x:row r="78">
      <x:c r="A78" t="n">
        <x:v>77</x:v>
      </x:c>
      <x:c r="B78" t="str">
        <x:v>Jeffrey</x:v>
      </x:c>
      <x:c r="C78" t="str">
        <x:v>Magayano</x:v>
      </x:c>
      <x:c r="D78" t="str">
        <x:v>jeffrey.magayano@doleintl.com</x:v>
      </x:c>
      <x:c r="E78" t="str">
        <x:v>Dole Philippines Inc.</x:v>
      </x:c>
      <x:c r="F78" t="str">
        <x:v>Philippines</x:v>
      </x:c>
      <x:c r="G78" t="str">
        <x:v>No</x:v>
      </x:c>
      <x:c r="H78" t="n">
        <x:v>0</x:v>
      </x:c>
      <x:c r="I78" s="26" t="n">
        <x:v>0</x:v>
      </x:c>
      <x:c r="J78" t="n">
        <x:v>0</x:v>
      </x:c>
      <x:c r="K78" t="n">
        <x:v>0</x:v>
      </x:c>
      <x:c r="L78" t="n">
        <x:v>0</x:v>
      </x:c>
      <x:c r="M78" t="str">
        <x:v>No</x:v>
      </x:c>
      <x:c r="N78" s="58" t="n">
        <x:f>'Scoring Model'!$B$4+IF(G78="Yes",'Scoring Model'!$B$5,0)+MIN('Scoring Model'!$B$7,H78/'Scoring Model'!$B$6*'Scoring Model'!$B$7)+MIN('Scoring Model'!$B$8,J78*'Scoring Model'!$B$8)+MIN('Scoring Model'!$B$11,K78*'Scoring Model'!$B$9+L78*'Scoring Model'!$B$10)</x:f>
        <x:v>10</x:v>
      </x:c>
      <x:c r="O78" t="str">
        <x:f>IF(M78="Yes","Internal / Excluded",IF(N78&gt;='Scoring Model'!$B$12,"Hot",IF(N78&gt;='Scoring Model'!$B$13,"Warm","Cold")))</x:f>
        <x:v>Cold</x:v>
      </x:c>
    </x:row>
    <x:row r="79">
      <x:c r="A79" t="n">
        <x:v>78</x:v>
      </x:c>
      <x:c r="B79" t="str">
        <x:v>Elenko</x:v>
      </x:c>
      <x:c r="C79" t="str">
        <x:v>Stoyanov</x:v>
      </x:c>
      <x:c r="D79" t="str">
        <x:v>elenko_s@hotmail.com</x:v>
      </x:c>
      <x:c r="E79" t="str">
        <x:v>Elenko Stoyanov</x:v>
      </x:c>
      <x:c r="F79" t="str">
        <x:v>Bulgaria</x:v>
      </x:c>
      <x:c r="G79" t="str">
        <x:v>No</x:v>
      </x:c>
      <x:c r="H79" t="n">
        <x:v>0</x:v>
      </x:c>
      <x:c r="I79" s="26" t="n">
        <x:v>0</x:v>
      </x:c>
      <x:c r="J79" t="n">
        <x:v>0</x:v>
      </x:c>
      <x:c r="K79" t="n">
        <x:v>0</x:v>
      </x:c>
      <x:c r="L79" t="n">
        <x:v>0</x:v>
      </x:c>
      <x:c r="M79" t="str">
        <x:v>No</x:v>
      </x:c>
      <x:c r="N79" s="58" t="n">
        <x:f>'Scoring Model'!$B$4+IF(G79="Yes",'Scoring Model'!$B$5,0)+MIN('Scoring Model'!$B$7,H79/'Scoring Model'!$B$6*'Scoring Model'!$B$7)+MIN('Scoring Model'!$B$8,J79*'Scoring Model'!$B$8)+MIN('Scoring Model'!$B$11,K79*'Scoring Model'!$B$9+L79*'Scoring Model'!$B$10)</x:f>
        <x:v>10</x:v>
      </x:c>
      <x:c r="O79" t="str">
        <x:f>IF(M79="Yes","Internal / Excluded",IF(N79&gt;='Scoring Model'!$B$12,"Hot",IF(N79&gt;='Scoring Model'!$B$13,"Warm","Cold")))</x:f>
        <x:v>Cold</x:v>
      </x:c>
    </x:row>
    <x:row r="80">
      <x:c r="A80" t="n">
        <x:v>79</x:v>
      </x:c>
      <x:c r="B80" t="str">
        <x:v>Line</x:v>
      </x:c>
      <x:c r="C80" t="str">
        <x:v>Kerbech</x:v>
      </x:c>
      <x:c r="D80" t="str">
        <x:v>line.kerbech@everrest.com</x:v>
      </x:c>
      <x:c r="E80" t="str">
        <x:v>EverRest ApS</x:v>
      </x:c>
      <x:c r="F80" t="str">
        <x:v>Danmark</x:v>
      </x:c>
      <x:c r="G80" t="str">
        <x:v>No</x:v>
      </x:c>
      <x:c r="H80" t="n">
        <x:v>0</x:v>
      </x:c>
      <x:c r="I80" s="26" t="n">
        <x:v>0</x:v>
      </x:c>
      <x:c r="J80" t="n">
        <x:v>0</x:v>
      </x:c>
      <x:c r="K80" t="n">
        <x:v>0</x:v>
      </x:c>
      <x:c r="L80" t="n">
        <x:v>0</x:v>
      </x:c>
      <x:c r="M80" t="str">
        <x:v>No</x:v>
      </x:c>
      <x:c r="N80" s="58" t="n">
        <x:f>'Scoring Model'!$B$4+IF(G80="Yes",'Scoring Model'!$B$5,0)+MIN('Scoring Model'!$B$7,H80/'Scoring Model'!$B$6*'Scoring Model'!$B$7)+MIN('Scoring Model'!$B$8,J80*'Scoring Model'!$B$8)+MIN('Scoring Model'!$B$11,K80*'Scoring Model'!$B$9+L80*'Scoring Model'!$B$10)</x:f>
        <x:v>10</x:v>
      </x:c>
      <x:c r="O80" t="str">
        <x:f>IF(M80="Yes","Internal / Excluded",IF(N80&gt;='Scoring Model'!$B$12,"Hot",IF(N80&gt;='Scoring Model'!$B$13,"Warm","Cold")))</x:f>
        <x:v>Cold</x:v>
      </x:c>
    </x:row>
    <x:row r="81">
      <x:c r="A81" t="n">
        <x:v>80</x:v>
      </x:c>
      <x:c r="B81" t="str">
        <x:v>Veneta</x:v>
      </x:c>
      <x:c r="C81" t="str">
        <x:v>Yordanova-Grigorova</x:v>
      </x:c>
      <x:c r="D81" t="str">
        <x:v>veneta.grigorova@ficosota.com</x:v>
      </x:c>
      <x:c r="E81" t="str">
        <x:v>Ficosota</x:v>
      </x:c>
      <x:c r="F81" t="str">
        <x:v>Bulgaria</x:v>
      </x:c>
      <x:c r="G81" t="str">
        <x:v>No</x:v>
      </x:c>
      <x:c r="H81" t="n">
        <x:v>0</x:v>
      </x:c>
      <x:c r="I81" s="26" t="n">
        <x:v>0</x:v>
      </x:c>
      <x:c r="J81" t="n">
        <x:v>0</x:v>
      </x:c>
      <x:c r="K81" t="n">
        <x:v>0</x:v>
      </x:c>
      <x:c r="L81" t="n">
        <x:v>0</x:v>
      </x:c>
      <x:c r="M81" t="str">
        <x:v>No</x:v>
      </x:c>
      <x:c r="N81" s="58" t="n">
        <x:f>'Scoring Model'!$B$4+IF(G81="Yes",'Scoring Model'!$B$5,0)+MIN('Scoring Model'!$B$7,H81/'Scoring Model'!$B$6*'Scoring Model'!$B$7)+MIN('Scoring Model'!$B$8,J81*'Scoring Model'!$B$8)+MIN('Scoring Model'!$B$11,K81*'Scoring Model'!$B$9+L81*'Scoring Model'!$B$10)</x:f>
        <x:v>10</x:v>
      </x:c>
      <x:c r="O81" t="str">
        <x:f>IF(M81="Yes","Internal / Excluded",IF(N81&gt;='Scoring Model'!$B$12,"Hot",IF(N81&gt;='Scoring Model'!$B$13,"Warm","Cold")))</x:f>
        <x:v>Cold</x:v>
      </x:c>
    </x:row>
    <x:row r="82">
      <x:c r="A82" t="n">
        <x:v>81</x:v>
      </x:c>
      <x:c r="B82" t="str">
        <x:v>Octavio</x:v>
      </x:c>
      <x:c r="C82" t="str">
        <x:v>Mallea</x:v>
      </x:c>
      <x:c r="D82" t="str">
        <x:v>octavioignaciomallea@gmail.com</x:v>
      </x:c>
      <x:c r="E82" t="str">
        <x:v>Fiordo Austral</x:v>
      </x:c>
      <x:c r="F82" t="str">
        <x:v>Chile</x:v>
      </x:c>
      <x:c r="G82" t="str">
        <x:v>No</x:v>
      </x:c>
      <x:c r="H82" t="n">
        <x:v>0</x:v>
      </x:c>
      <x:c r="I82" s="26" t="n">
        <x:v>0</x:v>
      </x:c>
      <x:c r="J82" t="n">
        <x:v>0</x:v>
      </x:c>
      <x:c r="K82" t="n">
        <x:v>0</x:v>
      </x:c>
      <x:c r="L82" t="n">
        <x:v>0</x:v>
      </x:c>
      <x:c r="M82" t="str">
        <x:v>No</x:v>
      </x:c>
      <x:c r="N82" s="58" t="n">
        <x:f>'Scoring Model'!$B$4+IF(G82="Yes",'Scoring Model'!$B$5,0)+MIN('Scoring Model'!$B$7,H82/'Scoring Model'!$B$6*'Scoring Model'!$B$7)+MIN('Scoring Model'!$B$8,J82*'Scoring Model'!$B$8)+MIN('Scoring Model'!$B$11,K82*'Scoring Model'!$B$9+L82*'Scoring Model'!$B$10)</x:f>
        <x:v>10</x:v>
      </x:c>
      <x:c r="O82" t="str">
        <x:f>IF(M82="Yes","Internal / Excluded",IF(N82&gt;='Scoring Model'!$B$12,"Hot",IF(N82&gt;='Scoring Model'!$B$13,"Warm","Cold")))</x:f>
        <x:v>Cold</x:v>
      </x:c>
    </x:row>
    <x:row r="83">
      <x:c r="A83" t="n">
        <x:v>82</x:v>
      </x:c>
      <x:c r="B83" t="str">
        <x:v>Manuel</x:v>
      </x:c>
      <x:c r="C83" t="str">
        <x:v>Nochez</x:v>
      </x:c>
      <x:c r="D83" t="str">
        <x:v>mnochez@flexpack.consulting</x:v>
      </x:c>
      <x:c r="E83" t="str">
        <x:v>Flexpack &amp; Consulting</x:v>
      </x:c>
      <x:c r="F83" t="str">
        <x:v>El Salvador</x:v>
      </x:c>
      <x:c r="G83" t="str">
        <x:v>No</x:v>
      </x:c>
      <x:c r="H83" t="n">
        <x:v>0</x:v>
      </x:c>
      <x:c r="I83" s="26" t="n">
        <x:v>0</x:v>
      </x:c>
      <x:c r="J83" t="n">
        <x:v>0</x:v>
      </x:c>
      <x:c r="K83" t="n">
        <x:v>0</x:v>
      </x:c>
      <x:c r="L83" t="n">
        <x:v>0</x:v>
      </x:c>
      <x:c r="M83" t="str">
        <x:v>No</x:v>
      </x:c>
      <x:c r="N83" s="58" t="n">
        <x:f>'Scoring Model'!$B$4+IF(G83="Yes",'Scoring Model'!$B$5,0)+MIN('Scoring Model'!$B$7,H83/'Scoring Model'!$B$6*'Scoring Model'!$B$7)+MIN('Scoring Model'!$B$8,J83*'Scoring Model'!$B$8)+MIN('Scoring Model'!$B$11,K83*'Scoring Model'!$B$9+L83*'Scoring Model'!$B$10)</x:f>
        <x:v>10</x:v>
      </x:c>
      <x:c r="O83" t="str">
        <x:f>IF(M83="Yes","Internal / Excluded",IF(N83&gt;='Scoring Model'!$B$12,"Hot",IF(N83&gt;='Scoring Model'!$B$13,"Warm","Cold")))</x:f>
        <x:v>Cold</x:v>
      </x:c>
    </x:row>
    <x:row r="84">
      <x:c r="A84" t="n">
        <x:v>83</x:v>
      </x:c>
      <x:c r="B84" t="str">
        <x:v>Joppe</x:v>
      </x:c>
      <x:c r="C84" t="str">
        <x:v>Ireland</x:v>
      </x:c>
      <x:c r="D84" t="str">
        <x:v>joppiejoppiejoppie@gmail.com</x:v>
      </x:c>
      <x:c r="E84" t="str">
        <x:v>Goodplanet belgie</x:v>
      </x:c>
      <x:c r="F84" t="str">
        <x:v>Belgium</x:v>
      </x:c>
      <x:c r="G84" t="str">
        <x:v>No</x:v>
      </x:c>
      <x:c r="H84" t="n">
        <x:v>0</x:v>
      </x:c>
      <x:c r="I84" s="26" t="n">
        <x:v>0</x:v>
      </x:c>
      <x:c r="J84" t="n">
        <x:v>0</x:v>
      </x:c>
      <x:c r="K84" t="n">
        <x:v>0</x:v>
      </x:c>
      <x:c r="L84" t="n">
        <x:v>0</x:v>
      </x:c>
      <x:c r="M84" t="str">
        <x:v>No</x:v>
      </x:c>
      <x:c r="N84" s="58" t="n">
        <x:f>'Scoring Model'!$B$4+IF(G84="Yes",'Scoring Model'!$B$5,0)+MIN('Scoring Model'!$B$7,H84/'Scoring Model'!$B$6*'Scoring Model'!$B$7)+MIN('Scoring Model'!$B$8,J84*'Scoring Model'!$B$8)+MIN('Scoring Model'!$B$11,K84*'Scoring Model'!$B$9+L84*'Scoring Model'!$B$10)</x:f>
        <x:v>10</x:v>
      </x:c>
      <x:c r="O84" t="str">
        <x:f>IF(M84="Yes","Internal / Excluded",IF(N84&gt;='Scoring Model'!$B$12,"Hot",IF(N84&gt;='Scoring Model'!$B$13,"Warm","Cold")))</x:f>
        <x:v>Cold</x:v>
      </x:c>
    </x:row>
    <x:row r="85">
      <x:c r="A85" t="n">
        <x:v>84</x:v>
      </x:c>
      <x:c r="B85" t="str">
        <x:v>Mohd Rizal</x:v>
      </x:c>
      <x:c r="C85" t="str">
        <x:v>Johari</x:v>
      </x:c>
      <x:c r="D85" t="str">
        <x:v>rizalkassim@gmail.com</x:v>
      </x:c>
      <x:c r="E85" t="str">
        <x:v>Green Sustainability Resources</x:v>
      </x:c>
      <x:c r="F85" t="str">
        <x:v>malaysia</x:v>
      </x:c>
      <x:c r="G85" t="str">
        <x:v>No</x:v>
      </x:c>
      <x:c r="H85" t="n">
        <x:v>0</x:v>
      </x:c>
      <x:c r="I85" s="26" t="n">
        <x:v>0</x:v>
      </x:c>
      <x:c r="J85" t="n">
        <x:v>0</x:v>
      </x:c>
      <x:c r="K85" t="n">
        <x:v>0</x:v>
      </x:c>
      <x:c r="L85" t="n">
        <x:v>0</x:v>
      </x:c>
      <x:c r="M85" t="str">
        <x:v>No</x:v>
      </x:c>
      <x:c r="N85" s="58" t="n">
        <x:f>'Scoring Model'!$B$4+IF(G85="Yes",'Scoring Model'!$B$5,0)+MIN('Scoring Model'!$B$7,H85/'Scoring Model'!$B$6*'Scoring Model'!$B$7)+MIN('Scoring Model'!$B$8,J85*'Scoring Model'!$B$8)+MIN('Scoring Model'!$B$11,K85*'Scoring Model'!$B$9+L85*'Scoring Model'!$B$10)</x:f>
        <x:v>10</x:v>
      </x:c>
      <x:c r="O85" t="str">
        <x:f>IF(M85="Yes","Internal / Excluded",IF(N85&gt;='Scoring Model'!$B$12,"Hot",IF(N85&gt;='Scoring Model'!$B$13,"Warm","Cold")))</x:f>
        <x:v>Cold</x:v>
      </x:c>
    </x:row>
    <x:row r="86">
      <x:c r="A86" t="n">
        <x:v>85</x:v>
      </x:c>
      <x:c r="B86" t="str">
        <x:v>Chloé</x:v>
      </x:c>
      <x:c r="C86" t="str">
        <x:v>COINON</x:v>
      </x:c>
      <x:c r="D86" t="str">
        <x:v>cc@hanova.com</x:v>
      </x:c>
      <x:c r="E86" t="str">
        <x:v>Hanova</x:v>
      </x:c>
      <x:c r="F86" t="str">
        <x:v>France</x:v>
      </x:c>
      <x:c r="G86" t="str">
        <x:v>No</x:v>
      </x:c>
      <x:c r="H86" t="n">
        <x:v>0</x:v>
      </x:c>
      <x:c r="I86" s="26" t="n">
        <x:v>0</x:v>
      </x:c>
      <x:c r="J86" t="n">
        <x:v>0</x:v>
      </x:c>
      <x:c r="K86" t="n">
        <x:v>0</x:v>
      </x:c>
      <x:c r="L86" t="n">
        <x:v>0</x:v>
      </x:c>
      <x:c r="M86" t="str">
        <x:v>No</x:v>
      </x:c>
      <x:c r="N86" s="58" t="n">
        <x:f>'Scoring Model'!$B$4+IF(G86="Yes",'Scoring Model'!$B$5,0)+MIN('Scoring Model'!$B$7,H86/'Scoring Model'!$B$6*'Scoring Model'!$B$7)+MIN('Scoring Model'!$B$8,J86*'Scoring Model'!$B$8)+MIN('Scoring Model'!$B$11,K86*'Scoring Model'!$B$9+L86*'Scoring Model'!$B$10)</x:f>
        <x:v>10</x:v>
      </x:c>
      <x:c r="O86" t="str">
        <x:f>IF(M86="Yes","Internal / Excluded",IF(N86&gt;='Scoring Model'!$B$12,"Hot",IF(N86&gt;='Scoring Model'!$B$13,"Warm","Cold")))</x:f>
        <x:v>Cold</x:v>
      </x:c>
    </x:row>
    <x:row r="87">
      <x:c r="A87" t="n">
        <x:v>86</x:v>
      </x:c>
      <x:c r="B87" t="str">
        <x:v>Carolina</x:v>
      </x:c>
      <x:c r="C87" t="str">
        <x:v>Egaña</x:v>
      </x:c>
      <x:c r="D87" t="str">
        <x:v>cegana@altahpp.com</x:v>
      </x:c>
      <x:c r="E87" t="str">
        <x:v>HPP SERVICES CHILE SPA</x:v>
      </x:c>
      <x:c r="F87" t="str">
        <x:v>chile</x:v>
      </x:c>
      <x:c r="G87" t="str">
        <x:v>No</x:v>
      </x:c>
      <x:c r="H87" t="n">
        <x:v>0</x:v>
      </x:c>
      <x:c r="I87" s="26" t="n">
        <x:v>0</x:v>
      </x:c>
      <x:c r="J87" t="n">
        <x:v>0</x:v>
      </x:c>
      <x:c r="K87" t="n">
        <x:v>0</x:v>
      </x:c>
      <x:c r="L87" t="n">
        <x:v>0</x:v>
      </x:c>
      <x:c r="M87" t="str">
        <x:v>No</x:v>
      </x:c>
      <x:c r="N87" s="58" t="n">
        <x:f>'Scoring Model'!$B$4+IF(G87="Yes",'Scoring Model'!$B$5,0)+MIN('Scoring Model'!$B$7,H87/'Scoring Model'!$B$6*'Scoring Model'!$B$7)+MIN('Scoring Model'!$B$8,J87*'Scoring Model'!$B$8)+MIN('Scoring Model'!$B$11,K87*'Scoring Model'!$B$9+L87*'Scoring Model'!$B$10)</x:f>
        <x:v>10</x:v>
      </x:c>
      <x:c r="O87" t="str">
        <x:f>IF(M87="Yes","Internal / Excluded",IF(N87&gt;='Scoring Model'!$B$12,"Hot",IF(N87&gt;='Scoring Model'!$B$13,"Warm","Cold")))</x:f>
        <x:v>Cold</x:v>
      </x:c>
    </x:row>
    <x:row r="88">
      <x:c r="A88" t="n">
        <x:v>87</x:v>
      </x:c>
      <x:c r="B88" t="str">
        <x:v>Saba</x:v>
      </x:c>
      <x:c r="C88" t="str">
        <x:v>Noreen</x:v>
      </x:c>
      <x:c r="D88" t="str">
        <x:v>noreensaba370@gmail.com</x:v>
      </x:c>
      <x:c r="E88" t="str">
        <x:v>Ihsan cotton products </x:v>
      </x:c>
      <x:c r="F88" t="str">
        <x:v>Pakistan</x:v>
      </x:c>
      <x:c r="G88" t="str">
        <x:v>No</x:v>
      </x:c>
      <x:c r="H88" t="n">
        <x:v>0</x:v>
      </x:c>
      <x:c r="I88" s="26" t="n">
        <x:v>0</x:v>
      </x:c>
      <x:c r="J88" t="n">
        <x:v>0</x:v>
      </x:c>
      <x:c r="K88" t="n">
        <x:v>0</x:v>
      </x:c>
      <x:c r="L88" t="n">
        <x:v>0</x:v>
      </x:c>
      <x:c r="M88" t="str">
        <x:v>No</x:v>
      </x:c>
      <x:c r="N88" s="58" t="n">
        <x:f>'Scoring Model'!$B$4+IF(G88="Yes",'Scoring Model'!$B$5,0)+MIN('Scoring Model'!$B$7,H88/'Scoring Model'!$B$6*'Scoring Model'!$B$7)+MIN('Scoring Model'!$B$8,J88*'Scoring Model'!$B$8)+MIN('Scoring Model'!$B$11,K88*'Scoring Model'!$B$9+L88*'Scoring Model'!$B$10)</x:f>
        <x:v>10</x:v>
      </x:c>
      <x:c r="O88" t="str">
        <x:f>IF(M88="Yes","Internal / Excluded",IF(N88&gt;='Scoring Model'!$B$12,"Hot",IF(N88&gt;='Scoring Model'!$B$13,"Warm","Cold")))</x:f>
        <x:v>Cold</x:v>
      </x:c>
    </x:row>
    <x:row r="89">
      <x:c r="A89" t="n">
        <x:v>88</x:v>
      </x:c>
      <x:c r="B89" t="str">
        <x:v>Rajiv Singh</x:v>
      </x:c>
      <x:c r="C89" t="str">
        <x:v>Choudhary</x:v>
      </x:c>
      <x:c r="D89" t="str">
        <x:v>rajivsingh.choudhary@indiska.se</x:v>
      </x:c>
      <x:c r="E89" t="str">
        <x:v>Indiska 1901</x:v>
      </x:c>
      <x:c r="F89" t="str">
        <x:v>India</x:v>
      </x:c>
      <x:c r="G89" t="str">
        <x:v>No</x:v>
      </x:c>
      <x:c r="H89" t="n">
        <x:v>0</x:v>
      </x:c>
      <x:c r="I89" s="26" t="n">
        <x:v>0</x:v>
      </x:c>
      <x:c r="J89" t="n">
        <x:v>0</x:v>
      </x:c>
      <x:c r="K89" t="n">
        <x:v>0</x:v>
      </x:c>
      <x:c r="L89" t="n">
        <x:v>0</x:v>
      </x:c>
      <x:c r="M89" t="str">
        <x:v>No</x:v>
      </x:c>
      <x:c r="N89" s="58" t="n">
        <x:f>'Scoring Model'!$B$4+IF(G89="Yes",'Scoring Model'!$B$5,0)+MIN('Scoring Model'!$B$7,H89/'Scoring Model'!$B$6*'Scoring Model'!$B$7)+MIN('Scoring Model'!$B$8,J89*'Scoring Model'!$B$8)+MIN('Scoring Model'!$B$11,K89*'Scoring Model'!$B$9+L89*'Scoring Model'!$B$10)</x:f>
        <x:v>10</x:v>
      </x:c>
      <x:c r="O89" t="str">
        <x:f>IF(M89="Yes","Internal / Excluded",IF(N89&gt;='Scoring Model'!$B$12,"Hot",IF(N89&gt;='Scoring Model'!$B$13,"Warm","Cold")))</x:f>
        <x:v>Cold</x:v>
      </x:c>
    </x:row>
    <x:row r="90">
      <x:c r="A90" t="n">
        <x:v>89</x:v>
      </x:c>
      <x:c r="B90" t="str">
        <x:v>PÍA</x:v>
      </x:c>
      <x:c r="C90" t="str">
        <x:v>SOTO</x:v>
      </x:c>
      <x:c r="D90" t="str">
        <x:v>pia.soto@fsake.cl</x:v>
      </x:c>
      <x:c r="E90" t="str">
        <x:v>INMOBILIARIA SAKE SPA</x:v>
      </x:c>
      <x:c r="F90" t="str">
        <x:v>CHILE</x:v>
      </x:c>
      <x:c r="G90" t="str">
        <x:v>No</x:v>
      </x:c>
      <x:c r="H90" t="n">
        <x:v>0</x:v>
      </x:c>
      <x:c r="I90" s="26" t="n">
        <x:v>0</x:v>
      </x:c>
      <x:c r="J90" t="n">
        <x:v>0</x:v>
      </x:c>
      <x:c r="K90" t="n">
        <x:v>0</x:v>
      </x:c>
      <x:c r="L90" t="n">
        <x:v>0</x:v>
      </x:c>
      <x:c r="M90" t="str">
        <x:v>No</x:v>
      </x:c>
      <x:c r="N90" s="58" t="n">
        <x:f>'Scoring Model'!$B$4+IF(G90="Yes",'Scoring Model'!$B$5,0)+MIN('Scoring Model'!$B$7,H90/'Scoring Model'!$B$6*'Scoring Model'!$B$7)+MIN('Scoring Model'!$B$8,J90*'Scoring Model'!$B$8)+MIN('Scoring Model'!$B$11,K90*'Scoring Model'!$B$9+L90*'Scoring Model'!$B$10)</x:f>
        <x:v>10</x:v>
      </x:c>
      <x:c r="O90" t="str">
        <x:f>IF(M90="Yes","Internal / Excluded",IF(N90&gt;='Scoring Model'!$B$12,"Hot",IF(N90&gt;='Scoring Model'!$B$13,"Warm","Cold")))</x:f>
        <x:v>Cold</x:v>
      </x:c>
    </x:row>
    <x:row r="91">
      <x:c r="A91" t="n">
        <x:v>90</x:v>
      </x:c>
      <x:c r="B91" t="str">
        <x:v>Bas</x:v>
      </x:c>
      <x:c r="C91" t="str">
        <x:v>van den Brink</x:v>
      </x:c>
      <x:c r="D91" t="str">
        <x:v>b.vandenbrink@intersnackgroup.com</x:v>
      </x:c>
      <x:c r="E91" t="str">
        <x:v>Intersnack</x:v>
      </x:c>
      <x:c r="F91" t="str">
        <x:v>Germany</x:v>
      </x:c>
      <x:c r="G91" t="str">
        <x:v>No</x:v>
      </x:c>
      <x:c r="H91" t="n">
        <x:v>0</x:v>
      </x:c>
      <x:c r="I91" s="26" t="n">
        <x:v>0</x:v>
      </x:c>
      <x:c r="J91" t="n">
        <x:v>0</x:v>
      </x:c>
      <x:c r="K91" t="n">
        <x:v>0</x:v>
      </x:c>
      <x:c r="L91" t="n">
        <x:v>0</x:v>
      </x:c>
      <x:c r="M91" t="str">
        <x:v>No</x:v>
      </x:c>
      <x:c r="N91" s="58" t="n">
        <x:f>'Scoring Model'!$B$4+IF(G91="Yes",'Scoring Model'!$B$5,0)+MIN('Scoring Model'!$B$7,H91/'Scoring Model'!$B$6*'Scoring Model'!$B$7)+MIN('Scoring Model'!$B$8,J91*'Scoring Model'!$B$8)+MIN('Scoring Model'!$B$11,K91*'Scoring Model'!$B$9+L91*'Scoring Model'!$B$10)</x:f>
        <x:v>10</x:v>
      </x:c>
      <x:c r="O91" t="str">
        <x:f>IF(M91="Yes","Internal / Excluded",IF(N91&gt;='Scoring Model'!$B$12,"Hot",IF(N91&gt;='Scoring Model'!$B$13,"Warm","Cold")))</x:f>
        <x:v>Cold</x:v>
      </x:c>
    </x:row>
    <x:row r="92">
      <x:c r="A92" t="n">
        <x:v>91</x:v>
      </x:c>
      <x:c r="B92" t="str">
        <x:v>Minjung</x:v>
      </x:c>
      <x:c r="C92" t="str">
        <x:v>Joo</x:v>
      </x:c>
      <x:c r="D92" t="str">
        <x:v>mjjoo@kcl.re.kr</x:v>
      </x:c>
      <x:c r="E92" t="str">
        <x:v>KCL</x:v>
      </x:c>
      <x:c r="F92" t="str">
        <x:v>Repulic of Korea</x:v>
      </x:c>
      <x:c r="G92" t="str">
        <x:v>No</x:v>
      </x:c>
      <x:c r="H92" t="n">
        <x:v>0</x:v>
      </x:c>
      <x:c r="I92" s="26" t="n">
        <x:v>0</x:v>
      </x:c>
      <x:c r="J92" t="n">
        <x:v>0</x:v>
      </x:c>
      <x:c r="K92" t="n">
        <x:v>0</x:v>
      </x:c>
      <x:c r="L92" t="n">
        <x:v>0</x:v>
      </x:c>
      <x:c r="M92" t="str">
        <x:v>No</x:v>
      </x:c>
      <x:c r="N92" s="58" t="n">
        <x:f>'Scoring Model'!$B$4+IF(G92="Yes",'Scoring Model'!$B$5,0)+MIN('Scoring Model'!$B$7,H92/'Scoring Model'!$B$6*'Scoring Model'!$B$7)+MIN('Scoring Model'!$B$8,J92*'Scoring Model'!$B$8)+MIN('Scoring Model'!$B$11,K92*'Scoring Model'!$B$9+L92*'Scoring Model'!$B$10)</x:f>
        <x:v>10</x:v>
      </x:c>
      <x:c r="O92" t="str">
        <x:f>IF(M92="Yes","Internal / Excluded",IF(N92&gt;='Scoring Model'!$B$12,"Hot",IF(N92&gt;='Scoring Model'!$B$13,"Warm","Cold")))</x:f>
        <x:v>Cold</x:v>
      </x:c>
    </x:row>
    <x:row r="93">
      <x:c r="A93" t="n">
        <x:v>92</x:v>
      </x:c>
      <x:c r="B93" t="str">
        <x:v>Magda</x:v>
      </x:c>
      <x:c r="C93" t="str">
        <x:v>Galeano</x:v>
      </x:c>
      <x:c r="D93" t="str">
        <x:v>mgaleano@koppert.es</x:v>
      </x:c>
      <x:c r="E93" t="str">
        <x:v>Koppert España, S.L.</x:v>
      </x:c>
      <x:c r="F93" t="str">
        <x:v>España</x:v>
      </x:c>
      <x:c r="G93" t="str">
        <x:v>No</x:v>
      </x:c>
      <x:c r="H93" t="n">
        <x:v>0</x:v>
      </x:c>
      <x:c r="I93" s="26" t="n">
        <x:v>0</x:v>
      </x:c>
      <x:c r="J93" t="n">
        <x:v>0</x:v>
      </x:c>
      <x:c r="K93" t="n">
        <x:v>0</x:v>
      </x:c>
      <x:c r="L93" t="n">
        <x:v>0</x:v>
      </x:c>
      <x:c r="M93" t="str">
        <x:v>No</x:v>
      </x:c>
      <x:c r="N93" s="58" t="n">
        <x:f>'Scoring Model'!$B$4+IF(G93="Yes",'Scoring Model'!$B$5,0)+MIN('Scoring Model'!$B$7,H93/'Scoring Model'!$B$6*'Scoring Model'!$B$7)+MIN('Scoring Model'!$B$8,J93*'Scoring Model'!$B$8)+MIN('Scoring Model'!$B$11,K93*'Scoring Model'!$B$9+L93*'Scoring Model'!$B$10)</x:f>
        <x:v>10</x:v>
      </x:c>
      <x:c r="O93" t="str">
        <x:f>IF(M93="Yes","Internal / Excluded",IF(N93&gt;='Scoring Model'!$B$12,"Hot",IF(N93&gt;='Scoring Model'!$B$13,"Warm","Cold")))</x:f>
        <x:v>Cold</x:v>
      </x:c>
    </x:row>
    <x:row r="94">
      <x:c r="A94" t="n">
        <x:v>93</x:v>
      </x:c>
      <x:c r="B94" t="str">
        <x:v>Maleesha</x:v>
      </x:c>
      <x:c r="C94" t="str">
        <x:v>Denuwan</x:v>
      </x:c>
      <x:c r="D94" t="str">
        <x:v>maleeshalrcc@gmail.com</x:v>
      </x:c>
      <x:c r="E94" t="str">
        <x:v>Lanka Responsible Care Council </x:v>
      </x:c>
      <x:c r="F94" t="str">
        <x:v>Sri Lanka</x:v>
      </x:c>
      <x:c r="G94" t="str">
        <x:v>No</x:v>
      </x:c>
      <x:c r="H94" t="n">
        <x:v>0</x:v>
      </x:c>
      <x:c r="I94" s="26" t="n">
        <x:v>0</x:v>
      </x:c>
      <x:c r="J94" t="n">
        <x:v>0</x:v>
      </x:c>
      <x:c r="K94" t="n">
        <x:v>0</x:v>
      </x:c>
      <x:c r="L94" t="n">
        <x:v>0</x:v>
      </x:c>
      <x:c r="M94" t="str">
        <x:v>No</x:v>
      </x:c>
      <x:c r="N94" s="58" t="n">
        <x:f>'Scoring Model'!$B$4+IF(G94="Yes",'Scoring Model'!$B$5,0)+MIN('Scoring Model'!$B$7,H94/'Scoring Model'!$B$6*'Scoring Model'!$B$7)+MIN('Scoring Model'!$B$8,J94*'Scoring Model'!$B$8)+MIN('Scoring Model'!$B$11,K94*'Scoring Model'!$B$9+L94*'Scoring Model'!$B$10)</x:f>
        <x:v>10</x:v>
      </x:c>
      <x:c r="O94" t="str">
        <x:f>IF(M94="Yes","Internal / Excluded",IF(N94&gt;='Scoring Model'!$B$12,"Hot",IF(N94&gt;='Scoring Model'!$B$13,"Warm","Cold")))</x:f>
        <x:v>Cold</x:v>
      </x:c>
    </x:row>
    <x:row r="95">
      <x:c r="A95" t="n">
        <x:v>94</x:v>
      </x:c>
      <x:c r="B95" t="str">
        <x:v>Aviv</x:v>
      </x:c>
      <x:c r="C95" t="str">
        <x:v>Cohen Sela</x:v>
      </x:c>
      <x:c r="D95" t="str">
        <x:v>aviv.cohen@logpac.com</x:v>
      </x:c>
      <x:c r="E95" t="str">
        <x:v>LOG Pharma Plastic Packaging</x:v>
      </x:c>
      <x:c r="F95" t="str">
        <x:v>Israel</x:v>
      </x:c>
      <x:c r="G95" t="str">
        <x:v>No</x:v>
      </x:c>
      <x:c r="H95" t="n">
        <x:v>0</x:v>
      </x:c>
      <x:c r="I95" s="26" t="n">
        <x:v>0</x:v>
      </x:c>
      <x:c r="J95" t="n">
        <x:v>0</x:v>
      </x:c>
      <x:c r="K95" t="n">
        <x:v>0</x:v>
      </x:c>
      <x:c r="L95" t="n">
        <x:v>0</x:v>
      </x:c>
      <x:c r="M95" t="str">
        <x:v>No</x:v>
      </x:c>
      <x:c r="N95" s="58" t="n">
        <x:f>'Scoring Model'!$B$4+IF(G95="Yes",'Scoring Model'!$B$5,0)+MIN('Scoring Model'!$B$7,H95/'Scoring Model'!$B$6*'Scoring Model'!$B$7)+MIN('Scoring Model'!$B$8,J95*'Scoring Model'!$B$8)+MIN('Scoring Model'!$B$11,K95*'Scoring Model'!$B$9+L95*'Scoring Model'!$B$10)</x:f>
        <x:v>10</x:v>
      </x:c>
      <x:c r="O95" t="str">
        <x:f>IF(M95="Yes","Internal / Excluded",IF(N95&gt;='Scoring Model'!$B$12,"Hot",IF(N95&gt;='Scoring Model'!$B$13,"Warm","Cold")))</x:f>
        <x:v>Cold</x:v>
      </x:c>
    </x:row>
    <x:row r="96">
      <x:c r="A96" t="n">
        <x:v>95</x:v>
      </x:c>
      <x:c r="B96" t="str">
        <x:v>Paulo Canuto</x:v>
      </x:c>
      <x:c r="C96" t="str">
        <x:v>Barbosa Filho</x:v>
      </x:c>
      <x:c r="D96" t="str">
        <x:v>paulo.canuto@yahoo.com.br</x:v>
      </x:c>
      <x:c r="E96" t="str">
        <x:v>N/A</x:v>
      </x:c>
      <x:c r="F96" t="str">
        <x:v>Brasil</x:v>
      </x:c>
      <x:c r="G96" t="str">
        <x:v>No</x:v>
      </x:c>
      <x:c r="H96" t="n">
        <x:v>0</x:v>
      </x:c>
      <x:c r="I96" s="26" t="n">
        <x:v>0</x:v>
      </x:c>
      <x:c r="J96" t="n">
        <x:v>0</x:v>
      </x:c>
      <x:c r="K96" t="n">
        <x:v>0</x:v>
      </x:c>
      <x:c r="L96" t="n">
        <x:v>0</x:v>
      </x:c>
      <x:c r="M96" t="str">
        <x:v>No</x:v>
      </x:c>
      <x:c r="N96" s="58" t="n">
        <x:f>'Scoring Model'!$B$4+IF(G96="Yes",'Scoring Model'!$B$5,0)+MIN('Scoring Model'!$B$7,H96/'Scoring Model'!$B$6*'Scoring Model'!$B$7)+MIN('Scoring Model'!$B$8,J96*'Scoring Model'!$B$8)+MIN('Scoring Model'!$B$11,K96*'Scoring Model'!$B$9+L96*'Scoring Model'!$B$10)</x:f>
        <x:v>10</x:v>
      </x:c>
      <x:c r="O96" t="str">
        <x:f>IF(M96="Yes","Internal / Excluded",IF(N96&gt;='Scoring Model'!$B$12,"Hot",IF(N96&gt;='Scoring Model'!$B$13,"Warm","Cold")))</x:f>
        <x:v>Cold</x:v>
      </x:c>
    </x:row>
    <x:row r="97">
      <x:c r="A97" t="n">
        <x:v>96</x:v>
      </x:c>
      <x:c r="B97" t="str">
        <x:v>Abira</x:v>
      </x:c>
      <x:c r="C97" t="str">
        <x:v>Sivakumaran</x:v>
      </x:c>
      <x:c r="D97" t="str">
        <x:v>abira91siva@gmail.com</x:v>
      </x:c>
      <x:c r="E97" t="str">
        <x:v>Northern cooperative development bank </x:v>
      </x:c>
      <x:c r="F97" t="str">
        <x:v>Sri Lanka</x:v>
      </x:c>
      <x:c r="G97" t="str">
        <x:v>No</x:v>
      </x:c>
      <x:c r="H97" t="n">
        <x:v>0</x:v>
      </x:c>
      <x:c r="I97" s="26" t="n">
        <x:v>0</x:v>
      </x:c>
      <x:c r="J97" t="n">
        <x:v>0</x:v>
      </x:c>
      <x:c r="K97" t="n">
        <x:v>0</x:v>
      </x:c>
      <x:c r="L97" t="n">
        <x:v>0</x:v>
      </x:c>
      <x:c r="M97" t="str">
        <x:v>No</x:v>
      </x:c>
      <x:c r="N97" s="58" t="n">
        <x:f>'Scoring Model'!$B$4+IF(G97="Yes",'Scoring Model'!$B$5,0)+MIN('Scoring Model'!$B$7,H97/'Scoring Model'!$B$6*'Scoring Model'!$B$7)+MIN('Scoring Model'!$B$8,J97*'Scoring Model'!$B$8)+MIN('Scoring Model'!$B$11,K97*'Scoring Model'!$B$9+L97*'Scoring Model'!$B$10)</x:f>
        <x:v>10</x:v>
      </x:c>
      <x:c r="O97" t="str">
        <x:f>IF(M97="Yes","Internal / Excluded",IF(N97&gt;='Scoring Model'!$B$12,"Hot",IF(N97&gt;='Scoring Model'!$B$13,"Warm","Cold")))</x:f>
        <x:v>Cold</x:v>
      </x:c>
    </x:row>
    <x:row r="98">
      <x:c r="A98" t="n">
        <x:v>97</x:v>
      </x:c>
      <x:c r="B98" t="str">
        <x:v>Eliza</x:v>
      </x:c>
      <x:c r="C98" t="str">
        <x:v>Morais Santos</x:v>
      </x:c>
      <x:c r="D98" t="str">
        <x:v>eliza.moraissantos@ofi.com</x:v>
      </x:c>
      <x:c r="E98" t="str">
        <x:v>ofi - Olam Food Ingredients</x:v>
      </x:c>
      <x:c r="F98" t="str">
        <x:v>Netherlands</x:v>
      </x:c>
      <x:c r="G98" t="str">
        <x:v>No</x:v>
      </x:c>
      <x:c r="H98" t="n">
        <x:v>0</x:v>
      </x:c>
      <x:c r="I98" s="26" t="n">
        <x:v>0</x:v>
      </x:c>
      <x:c r="J98" t="n">
        <x:v>0</x:v>
      </x:c>
      <x:c r="K98" t="n">
        <x:v>0</x:v>
      </x:c>
      <x:c r="L98" t="n">
        <x:v>0</x:v>
      </x:c>
      <x:c r="M98" t="str">
        <x:v>No</x:v>
      </x:c>
      <x:c r="N98" s="58" t="n">
        <x:f>'Scoring Model'!$B$4+IF(G98="Yes",'Scoring Model'!$B$5,0)+MIN('Scoring Model'!$B$7,H98/'Scoring Model'!$B$6*'Scoring Model'!$B$7)+MIN('Scoring Model'!$B$8,J98*'Scoring Model'!$B$8)+MIN('Scoring Model'!$B$11,K98*'Scoring Model'!$B$9+L98*'Scoring Model'!$B$10)</x:f>
        <x:v>10</x:v>
      </x:c>
      <x:c r="O98" t="str">
        <x:f>IF(M98="Yes","Internal / Excluded",IF(N98&gt;='Scoring Model'!$B$12,"Hot",IF(N98&gt;='Scoring Model'!$B$13,"Warm","Cold")))</x:f>
        <x:v>Cold</x:v>
      </x:c>
    </x:row>
    <x:row r="99">
      <x:c r="A99" t="n">
        <x:v>98</x:v>
      </x:c>
      <x:c r="B99" t="str">
        <x:v>Michiel</x:v>
      </x:c>
      <x:c r="C99" t="str">
        <x:v>Kokken</x:v>
      </x:c>
      <x:c r="D99" t="str">
        <x:v>michiel.kokken@ofi.com</x:v>
      </x:c>
      <x:c r="E99" t="str">
        <x:v>Olam Cocoa BV</x:v>
      </x:c>
      <x:c r="F99" t="str">
        <x:v>Netherlands</x:v>
      </x:c>
      <x:c r="G99" t="str">
        <x:v>No</x:v>
      </x:c>
      <x:c r="H99" t="n">
        <x:v>0</x:v>
      </x:c>
      <x:c r="I99" s="26" t="n">
        <x:v>0</x:v>
      </x:c>
      <x:c r="J99" t="n">
        <x:v>0</x:v>
      </x:c>
      <x:c r="K99" t="n">
        <x:v>0</x:v>
      </x:c>
      <x:c r="L99" t="n">
        <x:v>0</x:v>
      </x:c>
      <x:c r="M99" t="str">
        <x:v>No</x:v>
      </x:c>
      <x:c r="N99" s="58" t="n">
        <x:f>'Scoring Model'!$B$4+IF(G99="Yes",'Scoring Model'!$B$5,0)+MIN('Scoring Model'!$B$7,H99/'Scoring Model'!$B$6*'Scoring Model'!$B$7)+MIN('Scoring Model'!$B$8,J99*'Scoring Model'!$B$8)+MIN('Scoring Model'!$B$11,K99*'Scoring Model'!$B$9+L99*'Scoring Model'!$B$10)</x:f>
        <x:v>10</x:v>
      </x:c>
      <x:c r="O99" t="str">
        <x:f>IF(M99="Yes","Internal / Excluded",IF(N99&gt;='Scoring Model'!$B$12,"Hot",IF(N99&gt;='Scoring Model'!$B$13,"Warm","Cold")))</x:f>
        <x:v>Cold</x:v>
      </x:c>
    </x:row>
    <x:row r="100">
      <x:c r="A100" t="n">
        <x:v>99</x:v>
      </x:c>
      <x:c r="B100" t="str">
        <x:v>Darlin</x:v>
      </x:c>
      <x:c r="C100" t="str">
        <x:v>Mejia</x:v>
      </x:c>
      <x:c r="D100" t="str">
        <x:v>dcmejia@hotmail.com</x:v>
      </x:c>
      <x:c r="E100" t="str">
        <x:v>Pantaleon S.A. </x:v>
      </x:c>
      <x:c r="F100" t="str">
        <x:v>Guatemala</x:v>
      </x:c>
      <x:c r="G100" t="str">
        <x:v>No</x:v>
      </x:c>
      <x:c r="H100" t="n">
        <x:v>0</x:v>
      </x:c>
      <x:c r="I100" s="26" t="n">
        <x:v>0</x:v>
      </x:c>
      <x:c r="J100" t="n">
        <x:v>0</x:v>
      </x:c>
      <x:c r="K100" t="n">
        <x:v>0</x:v>
      </x:c>
      <x:c r="L100" t="n">
        <x:v>0</x:v>
      </x:c>
      <x:c r="M100" t="str">
        <x:v>No</x:v>
      </x:c>
      <x:c r="N100" s="58" t="n">
        <x:f>'Scoring Model'!$B$4+IF(G100="Yes",'Scoring Model'!$B$5,0)+MIN('Scoring Model'!$B$7,H100/'Scoring Model'!$B$6*'Scoring Model'!$B$7)+MIN('Scoring Model'!$B$8,J100*'Scoring Model'!$B$8)+MIN('Scoring Model'!$B$11,K100*'Scoring Model'!$B$9+L100*'Scoring Model'!$B$10)</x:f>
        <x:v>10</x:v>
      </x:c>
      <x:c r="O100" t="str">
        <x:f>IF(M100="Yes","Internal / Excluded",IF(N100&gt;='Scoring Model'!$B$12,"Hot",IF(N100&gt;='Scoring Model'!$B$13,"Warm","Cold")))</x:f>
        <x:v>Cold</x:v>
      </x:c>
    </x:row>
    <x:row r="101">
      <x:c r="A101" t="n">
        <x:v>100</x:v>
      </x:c>
      <x:c r="B101" t="str">
        <x:v>Denitsa</x:v>
      </x:c>
      <x:c r="C101" t="str">
        <x:v>Hvarchilkova</x:v>
      </x:c>
      <x:c r="D101" t="str">
        <x:v>d.hvarchilkova@pelintex.bg</x:v>
      </x:c>
      <x:c r="E101" t="str">
        <x:v>Pelintex Bulgaria</x:v>
      </x:c>
      <x:c r="F101" t="str">
        <x:v>Bulgaria</x:v>
      </x:c>
      <x:c r="G101" t="str">
        <x:v>No</x:v>
      </x:c>
      <x:c r="H101" t="n">
        <x:v>0</x:v>
      </x:c>
      <x:c r="I101" s="26" t="n">
        <x:v>0</x:v>
      </x:c>
      <x:c r="J101" t="n">
        <x:v>0</x:v>
      </x:c>
      <x:c r="K101" t="n">
        <x:v>0</x:v>
      </x:c>
      <x:c r="L101" t="n">
        <x:v>0</x:v>
      </x:c>
      <x:c r="M101" t="str">
        <x:v>No</x:v>
      </x:c>
      <x:c r="N101" s="58" t="n">
        <x:f>'Scoring Model'!$B$4+IF(G101="Yes",'Scoring Model'!$B$5,0)+MIN('Scoring Model'!$B$7,H101/'Scoring Model'!$B$6*'Scoring Model'!$B$7)+MIN('Scoring Model'!$B$8,J101*'Scoring Model'!$B$8)+MIN('Scoring Model'!$B$11,K101*'Scoring Model'!$B$9+L101*'Scoring Model'!$B$10)</x:f>
        <x:v>10</x:v>
      </x:c>
      <x:c r="O101" t="str">
        <x:f>IF(M101="Yes","Internal / Excluded",IF(N101&gt;='Scoring Model'!$B$12,"Hot",IF(N101&gt;='Scoring Model'!$B$13,"Warm","Cold")))</x:f>
        <x:v>Cold</x:v>
      </x:c>
    </x:row>
    <x:row r="102">
      <x:c r="A102" t="n">
        <x:v>101</x:v>
      </x:c>
      <x:c r="B102" t="str">
        <x:v>Mahnoor</x:v>
      </x:c>
      <x:c r="C102" t="str">
        <x:v>Alam</x:v>
      </x:c>
      <x:c r="D102" t="str">
        <x:v>mahnooralam749@gmail.com</x:v>
      </x:c>
      <x:c r="E102" t="str">
        <x:v>Peterson Solutions </x:v>
      </x:c>
      <x:c r="F102" t="str">
        <x:v>Pakistan</x:v>
      </x:c>
      <x:c r="G102" t="str">
        <x:v>No</x:v>
      </x:c>
      <x:c r="H102" t="n">
        <x:v>0</x:v>
      </x:c>
      <x:c r="I102" s="26" t="n">
        <x:v>0</x:v>
      </x:c>
      <x:c r="J102" t="n">
        <x:v>0</x:v>
      </x:c>
      <x:c r="K102" t="n">
        <x:v>0</x:v>
      </x:c>
      <x:c r="L102" t="n">
        <x:v>0</x:v>
      </x:c>
      <x:c r="M102" t="str">
        <x:v>No</x:v>
      </x:c>
      <x:c r="N102" s="58" t="n">
        <x:f>'Scoring Model'!$B$4+IF(G102="Yes",'Scoring Model'!$B$5,0)+MIN('Scoring Model'!$B$7,H102/'Scoring Model'!$B$6*'Scoring Model'!$B$7)+MIN('Scoring Model'!$B$8,J102*'Scoring Model'!$B$8)+MIN('Scoring Model'!$B$11,K102*'Scoring Model'!$B$9+L102*'Scoring Model'!$B$10)</x:f>
        <x:v>10</x:v>
      </x:c>
      <x:c r="O102" t="str">
        <x:f>IF(M102="Yes","Internal / Excluded",IF(N102&gt;='Scoring Model'!$B$12,"Hot",IF(N102&gt;='Scoring Model'!$B$13,"Warm","Cold")))</x:f>
        <x:v>Cold</x:v>
      </x:c>
    </x:row>
    <x:row r="103">
      <x:c r="A103" t="n">
        <x:v>102</x:v>
      </x:c>
      <x:c r="B103" t="str">
        <x:v>Venelin</x:v>
      </x:c>
      <x:c r="C103" t="str">
        <x:v>Vasilev</x:v>
      </x:c>
      <x:c r="D103" t="str">
        <x:v>vasilev@pikant.bg</x:v>
      </x:c>
      <x:c r="E103" t="str">
        <x:v>Pikant Trade Ltd.</x:v>
      </x:c>
      <x:c r="F103" t="str">
        <x:v>Bulgaria</x:v>
      </x:c>
      <x:c r="G103" t="str">
        <x:v>No</x:v>
      </x:c>
      <x:c r="H103" t="n">
        <x:v>0</x:v>
      </x:c>
      <x:c r="I103" s="26" t="n">
        <x:v>0</x:v>
      </x:c>
      <x:c r="J103" t="n">
        <x:v>0</x:v>
      </x:c>
      <x:c r="K103" t="n">
        <x:v>0</x:v>
      </x:c>
      <x:c r="L103" t="n">
        <x:v>0</x:v>
      </x:c>
      <x:c r="M103" t="str">
        <x:v>No</x:v>
      </x:c>
      <x:c r="N103" s="58" t="n">
        <x:f>'Scoring Model'!$B$4+IF(G103="Yes",'Scoring Model'!$B$5,0)+MIN('Scoring Model'!$B$7,H103/'Scoring Model'!$B$6*'Scoring Model'!$B$7)+MIN('Scoring Model'!$B$8,J103*'Scoring Model'!$B$8)+MIN('Scoring Model'!$B$11,K103*'Scoring Model'!$B$9+L103*'Scoring Model'!$B$10)</x:f>
        <x:v>10</x:v>
      </x:c>
      <x:c r="O103" t="str">
        <x:f>IF(M103="Yes","Internal / Excluded",IF(N103&gt;='Scoring Model'!$B$12,"Hot",IF(N103&gt;='Scoring Model'!$B$13,"Warm","Cold")))</x:f>
        <x:v>Cold</x:v>
      </x:c>
    </x:row>
    <x:row r="104">
      <x:c r="A104" t="n">
        <x:v>103</x:v>
      </x:c>
      <x:c r="B104" t="str">
        <x:v>Amenda</x:v>
      </x:c>
      <x:c r="C104" t="str">
        <x:v>Wong</x:v>
      </x:c>
      <x:c r="D104" t="str">
        <x:v>prakkunthea3@gmail.com</x:v>
      </x:c>
      <x:c r="E104" t="str">
        <x:v>Plastic recycling </x:v>
      </x:c>
      <x:c r="F104" t="str">
        <x:v>China</x:v>
      </x:c>
      <x:c r="G104" t="str">
        <x:v>No</x:v>
      </x:c>
      <x:c r="H104" t="n">
        <x:v>0</x:v>
      </x:c>
      <x:c r="I104" s="26" t="n">
        <x:v>0</x:v>
      </x:c>
      <x:c r="J104" t="n">
        <x:v>0</x:v>
      </x:c>
      <x:c r="K104" t="n">
        <x:v>0</x:v>
      </x:c>
      <x:c r="L104" t="n">
        <x:v>0</x:v>
      </x:c>
      <x:c r="M104" t="str">
        <x:v>No</x:v>
      </x:c>
      <x:c r="N104" s="58" t="n">
        <x:f>'Scoring Model'!$B$4+IF(G104="Yes",'Scoring Model'!$B$5,0)+MIN('Scoring Model'!$B$7,H104/'Scoring Model'!$B$6*'Scoring Model'!$B$7)+MIN('Scoring Model'!$B$8,J104*'Scoring Model'!$B$8)+MIN('Scoring Model'!$B$11,K104*'Scoring Model'!$B$9+L104*'Scoring Model'!$B$10)</x:f>
        <x:v>10</x:v>
      </x:c>
      <x:c r="O104" t="str">
        <x:f>IF(M104="Yes","Internal / Excluded",IF(N104&gt;='Scoring Model'!$B$12,"Hot",IF(N104&gt;='Scoring Model'!$B$13,"Warm","Cold")))</x:f>
        <x:v>Cold</x:v>
      </x:c>
    </x:row>
    <x:row r="105">
      <x:c r="A105" t="n">
        <x:v>104</x:v>
      </x:c>
      <x:c r="B105" t="str">
        <x:v>Beatrice</x:v>
      </x:c>
      <x:c r="C105" t="str">
        <x:v>Koci</x:v>
      </x:c>
      <x:c r="D105" t="str">
        <x:v>beatrice.koci@plasticsrecyclers.eu</x:v>
      </x:c>
      <x:c r="E105" t="str">
        <x:v>Plastics Recyclers Europe</x:v>
      </x:c>
      <x:c r="F105" t="str">
        <x:v>Belgium</x:v>
      </x:c>
      <x:c r="G105" t="str">
        <x:v>No</x:v>
      </x:c>
      <x:c r="H105" t="n">
        <x:v>0</x:v>
      </x:c>
      <x:c r="I105" s="26" t="n">
        <x:v>0</x:v>
      </x:c>
      <x:c r="J105" t="n">
        <x:v>0</x:v>
      </x:c>
      <x:c r="K105" t="n">
        <x:v>0</x:v>
      </x:c>
      <x:c r="L105" t="n">
        <x:v>0</x:v>
      </x:c>
      <x:c r="M105" t="str">
        <x:v>No</x:v>
      </x:c>
      <x:c r="N105" s="58" t="n">
        <x:f>'Scoring Model'!$B$4+IF(G105="Yes",'Scoring Model'!$B$5,0)+MIN('Scoring Model'!$B$7,H105/'Scoring Model'!$B$6*'Scoring Model'!$B$7)+MIN('Scoring Model'!$B$8,J105*'Scoring Model'!$B$8)+MIN('Scoring Model'!$B$11,K105*'Scoring Model'!$B$9+L105*'Scoring Model'!$B$10)</x:f>
        <x:v>10</x:v>
      </x:c>
      <x:c r="O105" t="str">
        <x:f>IF(M105="Yes","Internal / Excluded",IF(N105&gt;='Scoring Model'!$B$12,"Hot",IF(N105&gt;='Scoring Model'!$B$13,"Warm","Cold")))</x:f>
        <x:v>Cold</x:v>
      </x:c>
    </x:row>
    <x:row r="106">
      <x:c r="A106" t="n">
        <x:v>105</x:v>
      </x:c>
      <x:c r="B106" t="str">
        <x:v>Fernando</x:v>
      </x:c>
      <x:c r="C106" t="str">
        <x:v>Giménez Lázaro</x:v>
      </x:c>
      <x:c r="D106" t="str">
        <x:v>exportregulatory@plymag.com</x:v>
      </x:c>
      <x:c r="E106" t="str">
        <x:v>PLYMAG S.L.</x:v>
      </x:c>
      <x:c r="F106" t="str">
        <x:v>España</x:v>
      </x:c>
      <x:c r="G106" t="str">
        <x:v>No</x:v>
      </x:c>
      <x:c r="H106" t="n">
        <x:v>0</x:v>
      </x:c>
      <x:c r="I106" s="26" t="n">
        <x:v>0</x:v>
      </x:c>
      <x:c r="J106" t="n">
        <x:v>0</x:v>
      </x:c>
      <x:c r="K106" t="n">
        <x:v>0</x:v>
      </x:c>
      <x:c r="L106" t="n">
        <x:v>0</x:v>
      </x:c>
      <x:c r="M106" t="str">
        <x:v>No</x:v>
      </x:c>
      <x:c r="N106" s="58" t="n">
        <x:f>'Scoring Model'!$B$4+IF(G106="Yes",'Scoring Model'!$B$5,0)+MIN('Scoring Model'!$B$7,H106/'Scoring Model'!$B$6*'Scoring Model'!$B$7)+MIN('Scoring Model'!$B$8,J106*'Scoring Model'!$B$8)+MIN('Scoring Model'!$B$11,K106*'Scoring Model'!$B$9+L106*'Scoring Model'!$B$10)</x:f>
        <x:v>10</x:v>
      </x:c>
      <x:c r="O106" t="str">
        <x:f>IF(M106="Yes","Internal / Excluded",IF(N106&gt;='Scoring Model'!$B$12,"Hot",IF(N106&gt;='Scoring Model'!$B$13,"Warm","Cold")))</x:f>
        <x:v>Cold</x:v>
      </x:c>
    </x:row>
    <x:row r="107">
      <x:c r="A107" t="n">
        <x:v>106</x:v>
      </x:c>
      <x:c r="B107" t="str">
        <x:v>Syed Raghib Ali</x:v>
      </x:c>
      <x:c r="C107" t="str">
        <x:v>Raza</x:v>
      </x:c>
      <x:c r="D107" t="str">
        <x:v>ali.raza@printechpackages.com</x:v>
      </x:c>
      <x:c r="E107" t="str">
        <x:v>Printech Packages Pvt Ltd</x:v>
      </x:c>
      <x:c r="F107" t="str">
        <x:v>Pakiatsan</x:v>
      </x:c>
      <x:c r="G107" t="str">
        <x:v>No</x:v>
      </x:c>
      <x:c r="H107" t="n">
        <x:v>0</x:v>
      </x:c>
      <x:c r="I107" s="26" t="n">
        <x:v>0</x:v>
      </x:c>
      <x:c r="J107" t="n">
        <x:v>0</x:v>
      </x:c>
      <x:c r="K107" t="n">
        <x:v>0</x:v>
      </x:c>
      <x:c r="L107" t="n">
        <x:v>0</x:v>
      </x:c>
      <x:c r="M107" t="str">
        <x:v>No</x:v>
      </x:c>
      <x:c r="N107" s="58" t="n">
        <x:f>'Scoring Model'!$B$4+IF(G107="Yes",'Scoring Model'!$B$5,0)+MIN('Scoring Model'!$B$7,H107/'Scoring Model'!$B$6*'Scoring Model'!$B$7)+MIN('Scoring Model'!$B$8,J107*'Scoring Model'!$B$8)+MIN('Scoring Model'!$B$11,K107*'Scoring Model'!$B$9+L107*'Scoring Model'!$B$10)</x:f>
        <x:v>10</x:v>
      </x:c>
      <x:c r="O107" t="str">
        <x:f>IF(M107="Yes","Internal / Excluded",IF(N107&gt;='Scoring Model'!$B$12,"Hot",IF(N107&gt;='Scoring Model'!$B$13,"Warm","Cold")))</x:f>
        <x:v>Cold</x:v>
      </x:c>
    </x:row>
    <x:row r="108">
      <x:c r="A108" t="n">
        <x:v>107</x:v>
      </x:c>
      <x:c r="B108" t="str">
        <x:v>Azmat</x:v>
      </x:c>
      <x:c r="C108" t="str">
        <x:v>Malik</x:v>
      </x:c>
      <x:c r="D108" t="str">
        <x:v>azmatkmalik@gmail.com</x:v>
      </x:c>
      <x:c r="E108" t="str">
        <x:v>Printech packages(Pvt.)Ltd</x:v>
      </x:c>
      <x:c r="F108" t="str">
        <x:v>Pakistan</x:v>
      </x:c>
      <x:c r="G108" t="str">
        <x:v>No</x:v>
      </x:c>
      <x:c r="H108" t="n">
        <x:v>0</x:v>
      </x:c>
      <x:c r="I108" s="26" t="n">
        <x:v>0</x:v>
      </x:c>
      <x:c r="J108" t="n">
        <x:v>0</x:v>
      </x:c>
      <x:c r="K108" t="n">
        <x:v>0</x:v>
      </x:c>
      <x:c r="L108" t="n">
        <x:v>0</x:v>
      </x:c>
      <x:c r="M108" t="str">
        <x:v>No</x:v>
      </x:c>
      <x:c r="N108" s="58" t="n">
        <x:f>'Scoring Model'!$B$4+IF(G108="Yes",'Scoring Model'!$B$5,0)+MIN('Scoring Model'!$B$7,H108/'Scoring Model'!$B$6*'Scoring Model'!$B$7)+MIN('Scoring Model'!$B$8,J108*'Scoring Model'!$B$8)+MIN('Scoring Model'!$B$11,K108*'Scoring Model'!$B$9+L108*'Scoring Model'!$B$10)</x:f>
        <x:v>10</x:v>
      </x:c>
      <x:c r="O108" t="str">
        <x:f>IF(M108="Yes","Internal / Excluded",IF(N108&gt;='Scoring Model'!$B$12,"Hot",IF(N108&gt;='Scoring Model'!$B$13,"Warm","Cold")))</x:f>
        <x:v>Cold</x:v>
      </x:c>
    </x:row>
    <x:row r="109">
      <x:c r="A109" t="n">
        <x:v>108</x:v>
      </x:c>
      <x:c r="B109" t="str">
        <x:v>Mikiyas</x:v>
      </x:c>
      <x:c r="C109" t="str">
        <x:v>kassaye</x:v>
      </x:c>
      <x:c r="D109" t="str">
        <x:v>mikiyaskassaye878@gmail.com</x:v>
      </x:c>
      <x:c r="E109" t="str">
        <x:v>Proma Partners Plc</x:v>
      </x:c>
      <x:c r="F109" t="str">
        <x:v>Ethiopia</x:v>
      </x:c>
      <x:c r="G109" t="str">
        <x:v>No</x:v>
      </x:c>
      <x:c r="H109" t="n">
        <x:v>0</x:v>
      </x:c>
      <x:c r="I109" s="26" t="n">
        <x:v>0</x:v>
      </x:c>
      <x:c r="J109" t="n">
        <x:v>0</x:v>
      </x:c>
      <x:c r="K109" t="n">
        <x:v>0</x:v>
      </x:c>
      <x:c r="L109" t="n">
        <x:v>0</x:v>
      </x:c>
      <x:c r="M109" t="str">
        <x:v>No</x:v>
      </x:c>
      <x:c r="N109" s="58" t="n">
        <x:f>'Scoring Model'!$B$4+IF(G109="Yes",'Scoring Model'!$B$5,0)+MIN('Scoring Model'!$B$7,H109/'Scoring Model'!$B$6*'Scoring Model'!$B$7)+MIN('Scoring Model'!$B$8,J109*'Scoring Model'!$B$8)+MIN('Scoring Model'!$B$11,K109*'Scoring Model'!$B$9+L109*'Scoring Model'!$B$10)</x:f>
        <x:v>10</x:v>
      </x:c>
      <x:c r="O109" t="str">
        <x:f>IF(M109="Yes","Internal / Excluded",IF(N109&gt;='Scoring Model'!$B$12,"Hot",IF(N109&gt;='Scoring Model'!$B$13,"Warm","Cold")))</x:f>
        <x:v>Cold</x:v>
      </x:c>
    </x:row>
    <x:row r="110">
      <x:c r="A110" t="n">
        <x:v>109</x:v>
      </x:c>
      <x:c r="B110" t="str">
        <x:v>Ben</x:v>
      </x:c>
      <x:c r="C110" t="str">
        <x:v>Anderson</x:v>
      </x:c>
      <x:c r="D110" t="str">
        <x:v>ben.anderson@ralcoagriculture.com</x:v>
      </x:c>
      <x:c r="E110" t="str">
        <x:v>Ralco Nutrition, Inc.</x:v>
      </x:c>
      <x:c r="F110" t="str"/>
      <x:c r="G110" t="str">
        <x:v>No</x:v>
      </x:c>
      <x:c r="H110" t="n">
        <x:v>0</x:v>
      </x:c>
      <x:c r="I110" s="26" t="n">
        <x:v>0</x:v>
      </x:c>
      <x:c r="J110" t="n">
        <x:v>0</x:v>
      </x:c>
      <x:c r="K110" t="n">
        <x:v>0</x:v>
      </x:c>
      <x:c r="L110" t="n">
        <x:v>0</x:v>
      </x:c>
      <x:c r="M110" t="str">
        <x:v>No</x:v>
      </x:c>
      <x:c r="N110" s="58" t="n">
        <x:f>'Scoring Model'!$B$4+IF(G110="Yes",'Scoring Model'!$B$5,0)+MIN('Scoring Model'!$B$7,H110/'Scoring Model'!$B$6*'Scoring Model'!$B$7)+MIN('Scoring Model'!$B$8,J110*'Scoring Model'!$B$8)+MIN('Scoring Model'!$B$11,K110*'Scoring Model'!$B$9+L110*'Scoring Model'!$B$10)</x:f>
        <x:v>10</x:v>
      </x:c>
      <x:c r="O110" t="str">
        <x:f>IF(M110="Yes","Internal / Excluded",IF(N110&gt;='Scoring Model'!$B$12,"Hot",IF(N110&gt;='Scoring Model'!$B$13,"Warm","Cold")))</x:f>
        <x:v>Cold</x:v>
      </x:c>
    </x:row>
    <x:row r="111">
      <x:c r="A111" t="n">
        <x:v>110</x:v>
      </x:c>
      <x:c r="B111" t="str">
        <x:v>Muhammad Shahid</x:v>
      </x:c>
      <x:c r="C111" t="str">
        <x:v>Kamran</x:v>
      </x:c>
      <x:c r="D111" t="str">
        <x:v>shahid.kamran@fatima-group.com</x:v>
      </x:c>
      <x:c r="E111" t="str">
        <x:v>Reliance Weaving Mills Ltd. (Fatima Group)</x:v>
      </x:c>
      <x:c r="F111" t="str">
        <x:v>Pakistan </x:v>
      </x:c>
      <x:c r="G111" t="str">
        <x:v>No</x:v>
      </x:c>
      <x:c r="H111" t="n">
        <x:v>0</x:v>
      </x:c>
      <x:c r="I111" s="26" t="n">
        <x:v>0</x:v>
      </x:c>
      <x:c r="J111" t="n">
        <x:v>0</x:v>
      </x:c>
      <x:c r="K111" t="n">
        <x:v>0</x:v>
      </x:c>
      <x:c r="L111" t="n">
        <x:v>0</x:v>
      </x:c>
      <x:c r="M111" t="str">
        <x:v>No</x:v>
      </x:c>
      <x:c r="N111" s="58" t="n">
        <x:f>'Scoring Model'!$B$4+IF(G111="Yes",'Scoring Model'!$B$5,0)+MIN('Scoring Model'!$B$7,H111/'Scoring Model'!$B$6*'Scoring Model'!$B$7)+MIN('Scoring Model'!$B$8,J111*'Scoring Model'!$B$8)+MIN('Scoring Model'!$B$11,K111*'Scoring Model'!$B$9+L111*'Scoring Model'!$B$10)</x:f>
        <x:v>10</x:v>
      </x:c>
      <x:c r="O111" t="str">
        <x:f>IF(M111="Yes","Internal / Excluded",IF(N111&gt;='Scoring Model'!$B$12,"Hot",IF(N111&gt;='Scoring Model'!$B$13,"Warm","Cold")))</x:f>
        <x:v>Cold</x:v>
      </x:c>
    </x:row>
    <x:row r="112">
      <x:c r="A112" t="n">
        <x:v>111</x:v>
      </x:c>
      <x:c r="B112" t="str">
        <x:v>Netanel</x:v>
      </x:c>
      <x:c r="C112" t="str">
        <x:v>Cohen</x:v>
      </x:c>
      <x:c r="D112" t="str">
        <x:v>netanel@rpet.co.il</x:v>
      </x:c>
      <x:c r="E112" t="str">
        <x:v>rPET</x:v>
      </x:c>
      <x:c r="F112" t="str">
        <x:v>ישראל</x:v>
      </x:c>
      <x:c r="G112" t="str">
        <x:v>No</x:v>
      </x:c>
      <x:c r="H112" t="n">
        <x:v>0</x:v>
      </x:c>
      <x:c r="I112" s="26" t="n">
        <x:v>0</x:v>
      </x:c>
      <x:c r="J112" t="n">
        <x:v>0</x:v>
      </x:c>
      <x:c r="K112" t="n">
        <x:v>0</x:v>
      </x:c>
      <x:c r="L112" t="n">
        <x:v>0</x:v>
      </x:c>
      <x:c r="M112" t="str">
        <x:v>No</x:v>
      </x:c>
      <x:c r="N112" s="58" t="n">
        <x:f>'Scoring Model'!$B$4+IF(G112="Yes",'Scoring Model'!$B$5,0)+MIN('Scoring Model'!$B$7,H112/'Scoring Model'!$B$6*'Scoring Model'!$B$7)+MIN('Scoring Model'!$B$8,J112*'Scoring Model'!$B$8)+MIN('Scoring Model'!$B$11,K112*'Scoring Model'!$B$9+L112*'Scoring Model'!$B$10)</x:f>
        <x:v>10</x:v>
      </x:c>
      <x:c r="O112" t="str">
        <x:f>IF(M112="Yes","Internal / Excluded",IF(N112&gt;='Scoring Model'!$B$12,"Hot",IF(N112&gt;='Scoring Model'!$B$13,"Warm","Cold")))</x:f>
        <x:v>Cold</x:v>
      </x:c>
    </x:row>
    <x:row r="113">
      <x:c r="A113" t="n">
        <x:v>112</x:v>
      </x:c>
      <x:c r="B113" t="str">
        <x:v>Zaman</x:v>
      </x:c>
      <x:c r="C113" t="str">
        <x:v>Ali</x:v>
      </x:c>
      <x:c r="D113" t="str">
        <x:v>zaman@samatextiles.com</x:v>
      </x:c>
      <x:c r="E113" t="str">
        <x:v>SAMA Textiles (Pvt) Ltd.</x:v>
      </x:c>
      <x:c r="F113" t="str">
        <x:v>Lahore, Pakistan </x:v>
      </x:c>
      <x:c r="G113" t="str">
        <x:v>No</x:v>
      </x:c>
      <x:c r="H113" t="n">
        <x:v>0</x:v>
      </x:c>
      <x:c r="I113" s="26" t="n">
        <x:v>0</x:v>
      </x:c>
      <x:c r="J113" t="n">
        <x:v>0</x:v>
      </x:c>
      <x:c r="K113" t="n">
        <x:v>0</x:v>
      </x:c>
      <x:c r="L113" t="n">
        <x:v>0</x:v>
      </x:c>
      <x:c r="M113" t="str">
        <x:v>No</x:v>
      </x:c>
      <x:c r="N113" s="58" t="n">
        <x:f>'Scoring Model'!$B$4+IF(G113="Yes",'Scoring Model'!$B$5,0)+MIN('Scoring Model'!$B$7,H113/'Scoring Model'!$B$6*'Scoring Model'!$B$7)+MIN('Scoring Model'!$B$8,J113*'Scoring Model'!$B$8)+MIN('Scoring Model'!$B$11,K113*'Scoring Model'!$B$9+L113*'Scoring Model'!$B$10)</x:f>
        <x:v>10</x:v>
      </x:c>
      <x:c r="O113" t="str">
        <x:f>IF(M113="Yes","Internal / Excluded",IF(N113&gt;='Scoring Model'!$B$12,"Hot",IF(N113&gt;='Scoring Model'!$B$13,"Warm","Cold")))</x:f>
        <x:v>Cold</x:v>
      </x:c>
    </x:row>
    <x:row r="114">
      <x:c r="A114" t="n">
        <x:v>113</x:v>
      </x:c>
      <x:c r="B114" t="str">
        <x:v>Cole</x:v>
      </x:c>
      <x:c r="C114" t="str">
        <x:v>Hairston</x:v>
      </x:c>
      <x:c r="D114" t="str">
        <x:v>c.hairston@scsstandards.org</x:v>
      </x:c>
      <x:c r="E114" t="str">
        <x:v>SCS Standards and Assurance Systems</x:v>
      </x:c>
      <x:c r="F114" t="str"/>
      <x:c r="G114" t="str">
        <x:v>No</x:v>
      </x:c>
      <x:c r="H114" t="n">
        <x:v>0</x:v>
      </x:c>
      <x:c r="I114" s="26" t="n">
        <x:v>0</x:v>
      </x:c>
      <x:c r="J114" t="n">
        <x:v>0</x:v>
      </x:c>
      <x:c r="K114" t="n">
        <x:v>0</x:v>
      </x:c>
      <x:c r="L114" t="n">
        <x:v>0</x:v>
      </x:c>
      <x:c r="M114" t="str">
        <x:v>No</x:v>
      </x:c>
      <x:c r="N114" s="58" t="n">
        <x:f>'Scoring Model'!$B$4+IF(G114="Yes",'Scoring Model'!$B$5,0)+MIN('Scoring Model'!$B$7,H114/'Scoring Model'!$B$6*'Scoring Model'!$B$7)+MIN('Scoring Model'!$B$8,J114*'Scoring Model'!$B$8)+MIN('Scoring Model'!$B$11,K114*'Scoring Model'!$B$9+L114*'Scoring Model'!$B$10)</x:f>
        <x:v>10</x:v>
      </x:c>
      <x:c r="O114" t="str">
        <x:f>IF(M114="Yes","Internal / Excluded",IF(N114&gt;='Scoring Model'!$B$12,"Hot",IF(N114&gt;='Scoring Model'!$B$13,"Warm","Cold")))</x:f>
        <x:v>Cold</x:v>
      </x:c>
    </x:row>
    <x:row r="115">
      <x:c r="A115" t="n">
        <x:v>114</x:v>
      </x:c>
      <x:c r="B115" t="str">
        <x:v>Maria Macarena</x:v>
      </x:c>
      <x:c r="C115" t="str">
        <x:v>Melilli</x:v>
      </x:c>
      <x:c r="D115" t="str">
        <x:v>mmelilli@magyp.gob.ar</x:v>
      </x:c>
      <x:c r="E115" t="str">
        <x:v>Secretaria de Agricultura</x:v>
      </x:c>
      <x:c r="F115" t="str">
        <x:v>Argentina</x:v>
      </x:c>
      <x:c r="G115" t="str">
        <x:v>No</x:v>
      </x:c>
      <x:c r="H115" t="n">
        <x:v>0</x:v>
      </x:c>
      <x:c r="I115" s="26" t="n">
        <x:v>0</x:v>
      </x:c>
      <x:c r="J115" t="n">
        <x:v>0</x:v>
      </x:c>
      <x:c r="K115" t="n">
        <x:v>0</x:v>
      </x:c>
      <x:c r="L115" t="n">
        <x:v>0</x:v>
      </x:c>
      <x:c r="M115" t="str">
        <x:v>No</x:v>
      </x:c>
      <x:c r="N115" s="58" t="n">
        <x:f>'Scoring Model'!$B$4+IF(G115="Yes",'Scoring Model'!$B$5,0)+MIN('Scoring Model'!$B$7,H115/'Scoring Model'!$B$6*'Scoring Model'!$B$7)+MIN('Scoring Model'!$B$8,J115*'Scoring Model'!$B$8)+MIN('Scoring Model'!$B$11,K115*'Scoring Model'!$B$9+L115*'Scoring Model'!$B$10)</x:f>
        <x:v>10</x:v>
      </x:c>
      <x:c r="O115" t="str">
        <x:f>IF(M115="Yes","Internal / Excluded",IF(N115&gt;='Scoring Model'!$B$12,"Hot",IF(N115&gt;='Scoring Model'!$B$13,"Warm","Cold")))</x:f>
        <x:v>Cold</x:v>
      </x:c>
    </x:row>
    <x:row r="116">
      <x:c r="A116" t="n">
        <x:v>115</x:v>
      </x:c>
      <x:c r="B116" t="str">
        <x:v>Веселка</x:v>
      </x:c>
      <x:c r="C116" t="str">
        <x:v>Христово</x:v>
      </x:c>
      <x:c r="D116" t="str">
        <x:v>v.bashtavelova@insainvest.bg</x:v>
      </x:c>
      <x:c r="E116" t="str">
        <x:v>SEVI OIL Ltd</x:v>
      </x:c>
      <x:c r="F116" t="str">
        <x:v>България</x:v>
      </x:c>
      <x:c r="G116" t="str">
        <x:v>No</x:v>
      </x:c>
      <x:c r="H116" t="n">
        <x:v>0</x:v>
      </x:c>
      <x:c r="I116" s="26" t="n">
        <x:v>0</x:v>
      </x:c>
      <x:c r="J116" t="n">
        <x:v>0</x:v>
      </x:c>
      <x:c r="K116" t="n">
        <x:v>0</x:v>
      </x:c>
      <x:c r="L116" t="n">
        <x:v>0</x:v>
      </x:c>
      <x:c r="M116" t="str">
        <x:v>No</x:v>
      </x:c>
      <x:c r="N116" s="58" t="n">
        <x:f>'Scoring Model'!$B$4+IF(G116="Yes",'Scoring Model'!$B$5,0)+MIN('Scoring Model'!$B$7,H116/'Scoring Model'!$B$6*'Scoring Model'!$B$7)+MIN('Scoring Model'!$B$8,J116*'Scoring Model'!$B$8)+MIN('Scoring Model'!$B$11,K116*'Scoring Model'!$B$9+L116*'Scoring Model'!$B$10)</x:f>
        <x:v>10</x:v>
      </x:c>
      <x:c r="O116" t="str">
        <x:f>IF(M116="Yes","Internal / Excluded",IF(N116&gt;='Scoring Model'!$B$12,"Hot",IF(N116&gt;='Scoring Model'!$B$13,"Warm","Cold")))</x:f>
        <x:v>Cold</x:v>
      </x:c>
    </x:row>
    <x:row r="117">
      <x:c r="A117" t="n">
        <x:v>116</x:v>
      </x:c>
      <x:c r="B117" t="str">
        <x:v>Весела</x:v>
      </x:c>
      <x:c r="C117" t="str">
        <x:v>Стоева</x:v>
      </x:c>
      <x:c r="D117" t="str">
        <x:v>vesela.stoeva@sidorenko.net</x:v>
      </x:c>
      <x:c r="E117" t="str">
        <x:v>Sidorenko Foodech</x:v>
      </x:c>
      <x:c r="F117" t="str">
        <x:v>Bulgaria</x:v>
      </x:c>
      <x:c r="G117" t="str">
        <x:v>No</x:v>
      </x:c>
      <x:c r="H117" t="n">
        <x:v>0</x:v>
      </x:c>
      <x:c r="I117" s="26" t="n">
        <x:v>0</x:v>
      </x:c>
      <x:c r="J117" t="n">
        <x:v>0</x:v>
      </x:c>
      <x:c r="K117" t="n">
        <x:v>0</x:v>
      </x:c>
      <x:c r="L117" t="n">
        <x:v>0</x:v>
      </x:c>
      <x:c r="M117" t="str">
        <x:v>No</x:v>
      </x:c>
      <x:c r="N117" s="58" t="n">
        <x:f>'Scoring Model'!$B$4+IF(G117="Yes",'Scoring Model'!$B$5,0)+MIN('Scoring Model'!$B$7,H117/'Scoring Model'!$B$6*'Scoring Model'!$B$7)+MIN('Scoring Model'!$B$8,J117*'Scoring Model'!$B$8)+MIN('Scoring Model'!$B$11,K117*'Scoring Model'!$B$9+L117*'Scoring Model'!$B$10)</x:f>
        <x:v>10</x:v>
      </x:c>
      <x:c r="O117" t="str">
        <x:f>IF(M117="Yes","Internal / Excluded",IF(N117&gt;='Scoring Model'!$B$12,"Hot",IF(N117&gt;='Scoring Model'!$B$13,"Warm","Cold")))</x:f>
        <x:v>Cold</x:v>
      </x:c>
    </x:row>
    <x:row r="118">
      <x:c r="A118" t="n">
        <x:v>117</x:v>
      </x:c>
      <x:c r="B118" t="str">
        <x:v>Chathura</x:v>
      </x:c>
      <x:c r="C118" t="str">
        <x:v>RATHNASEKARAGE</x:v>
      </x:c>
      <x:c r="D118" t="str">
        <x:v>chathura@silvermillgroup.com</x:v>
      </x:c>
      <x:c r="E118" t="str">
        <x:v>Silvermill Natural Beverages Pvt Ltd</x:v>
      </x:c>
      <x:c r="F118" t="str">
        <x:v>Srilanka </x:v>
      </x:c>
      <x:c r="G118" t="str">
        <x:v>No</x:v>
      </x:c>
      <x:c r="H118" t="n">
        <x:v>0</x:v>
      </x:c>
      <x:c r="I118" s="26" t="n">
        <x:v>0</x:v>
      </x:c>
      <x:c r="J118" t="n">
        <x:v>0</x:v>
      </x:c>
      <x:c r="K118" t="n">
        <x:v>0</x:v>
      </x:c>
      <x:c r="L118" t="n">
        <x:v>0</x:v>
      </x:c>
      <x:c r="M118" t="str">
        <x:v>No</x:v>
      </x:c>
      <x:c r="N118" s="58" t="n">
        <x:f>'Scoring Model'!$B$4+IF(G118="Yes",'Scoring Model'!$B$5,0)+MIN('Scoring Model'!$B$7,H118/'Scoring Model'!$B$6*'Scoring Model'!$B$7)+MIN('Scoring Model'!$B$8,J118*'Scoring Model'!$B$8)+MIN('Scoring Model'!$B$11,K118*'Scoring Model'!$B$9+L118*'Scoring Model'!$B$10)</x:f>
        <x:v>10</x:v>
      </x:c>
      <x:c r="O118" t="str">
        <x:f>IF(M118="Yes","Internal / Excluded",IF(N118&gt;='Scoring Model'!$B$12,"Hot",IF(N118&gt;='Scoring Model'!$B$13,"Warm","Cold")))</x:f>
        <x:v>Cold</x:v>
      </x:c>
    </x:row>
    <x:row r="119">
      <x:c r="A119" t="n">
        <x:v>118</x:v>
      </x:c>
      <x:c r="B119" t="str">
        <x:v>Teodora</x:v>
      </x:c>
      <x:c r="C119" t="str">
        <x:v>Rousseva</x:v>
      </x:c>
      <x:c r="D119" t="str">
        <x:v>info@skipter.bg</x:v>
      </x:c>
      <x:c r="E119" t="str">
        <x:v>Skipter Ltd.</x:v>
      </x:c>
      <x:c r="F119" t="str">
        <x:v>Bulgaria</x:v>
      </x:c>
      <x:c r="G119" t="str">
        <x:v>No</x:v>
      </x:c>
      <x:c r="H119" t="n">
        <x:v>0</x:v>
      </x:c>
      <x:c r="I119" s="26" t="n">
        <x:v>0</x:v>
      </x:c>
      <x:c r="J119" t="n">
        <x:v>0</x:v>
      </x:c>
      <x:c r="K119" t="n">
        <x:v>0</x:v>
      </x:c>
      <x:c r="L119" t="n">
        <x:v>0</x:v>
      </x:c>
      <x:c r="M119" t="str">
        <x:v>No</x:v>
      </x:c>
      <x:c r="N119" s="58" t="n">
        <x:f>'Scoring Model'!$B$4+IF(G119="Yes",'Scoring Model'!$B$5,0)+MIN('Scoring Model'!$B$7,H119/'Scoring Model'!$B$6*'Scoring Model'!$B$7)+MIN('Scoring Model'!$B$8,J119*'Scoring Model'!$B$8)+MIN('Scoring Model'!$B$11,K119*'Scoring Model'!$B$9+L119*'Scoring Model'!$B$10)</x:f>
        <x:v>10</x:v>
      </x:c>
      <x:c r="O119" t="str">
        <x:f>IF(M119="Yes","Internal / Excluded",IF(N119&gt;='Scoring Model'!$B$12,"Hot",IF(N119&gt;='Scoring Model'!$B$13,"Warm","Cold")))</x:f>
        <x:v>Cold</x:v>
      </x:c>
    </x:row>
    <x:row r="120">
      <x:c r="A120" t="n">
        <x:v>119</x:v>
      </x:c>
      <x:c r="B120" t="str">
        <x:v>Pauline</x:v>
      </x:c>
      <x:c r="C120" t="str">
        <x:v>Ketalu</x:v>
      </x:c>
      <x:c r="D120" t="str">
        <x:v>piiketalu@gmail.com</x:v>
      </x:c>
      <x:c r="E120" t="str">
        <x:v>Student</x:v>
      </x:c>
      <x:c r="F120" t="str">
        <x:v>Australia </x:v>
      </x:c>
      <x:c r="G120" t="str">
        <x:v>No</x:v>
      </x:c>
      <x:c r="H120" t="n">
        <x:v>0</x:v>
      </x:c>
      <x:c r="I120" s="26" t="n">
        <x:v>0</x:v>
      </x:c>
      <x:c r="J120" t="n">
        <x:v>0</x:v>
      </x:c>
      <x:c r="K120" t="n">
        <x:v>0</x:v>
      </x:c>
      <x:c r="L120" t="n">
        <x:v>0</x:v>
      </x:c>
      <x:c r="M120" t="str">
        <x:v>No</x:v>
      </x:c>
      <x:c r="N120" s="58" t="n">
        <x:f>'Scoring Model'!$B$4+IF(G120="Yes",'Scoring Model'!$B$5,0)+MIN('Scoring Model'!$B$7,H120/'Scoring Model'!$B$6*'Scoring Model'!$B$7)+MIN('Scoring Model'!$B$8,J120*'Scoring Model'!$B$8)+MIN('Scoring Model'!$B$11,K120*'Scoring Model'!$B$9+L120*'Scoring Model'!$B$10)</x:f>
        <x:v>10</x:v>
      </x:c>
      <x:c r="O120" t="str">
        <x:f>IF(M120="Yes","Internal / Excluded",IF(N120&gt;='Scoring Model'!$B$12,"Hot",IF(N120&gt;='Scoring Model'!$B$13,"Warm","Cold")))</x:f>
        <x:v>Cold</x:v>
      </x:c>
    </x:row>
    <x:row r="121">
      <x:c r="A121" t="n">
        <x:v>120</x:v>
      </x:c>
      <x:c r="B121" t="str">
        <x:v>Hrisimir</x:v>
      </x:c>
      <x:c r="C121" t="str">
        <x:v>Prisadashki</x:v>
      </x:c>
      <x:c r="D121" t="str">
        <x:v>qc@antolabg.com</x:v>
      </x:c>
      <x:c r="E121" t="str">
        <x:v>Tandem Popovo Ltd</x:v>
      </x:c>
      <x:c r="F121" t="str">
        <x:v>Bulgaria</x:v>
      </x:c>
      <x:c r="G121" t="str">
        <x:v>No</x:v>
      </x:c>
      <x:c r="H121" t="n">
        <x:v>0</x:v>
      </x:c>
      <x:c r="I121" s="26" t="n">
        <x:v>0</x:v>
      </x:c>
      <x:c r="J121" t="n">
        <x:v>0</x:v>
      </x:c>
      <x:c r="K121" t="n">
        <x:v>0</x:v>
      </x:c>
      <x:c r="L121" t="n">
        <x:v>0</x:v>
      </x:c>
      <x:c r="M121" t="str">
        <x:v>No</x:v>
      </x:c>
      <x:c r="N121" s="58" t="n">
        <x:f>'Scoring Model'!$B$4+IF(G121="Yes",'Scoring Model'!$B$5,0)+MIN('Scoring Model'!$B$7,H121/'Scoring Model'!$B$6*'Scoring Model'!$B$7)+MIN('Scoring Model'!$B$8,J121*'Scoring Model'!$B$8)+MIN('Scoring Model'!$B$11,K121*'Scoring Model'!$B$9+L121*'Scoring Model'!$B$10)</x:f>
        <x:v>10</x:v>
      </x:c>
      <x:c r="O121" t="str">
        <x:f>IF(M121="Yes","Internal / Excluded",IF(N121&gt;='Scoring Model'!$B$12,"Hot",IF(N121&gt;='Scoring Model'!$B$13,"Warm","Cold")))</x:f>
        <x:v>Cold</x:v>
      </x:c>
    </x:row>
    <x:row r="122">
      <x:c r="A122" t="n">
        <x:v>121</x:v>
      </x:c>
      <x:c r="B122" t="str">
        <x:v>J.A.Y</x:v>
      </x:c>
      <x:c r="C122" t="str">
        <x:v>MADHUBHASHINI</x:v>
      </x:c>
      <x:c r="D122" t="str">
        <x:v>bhashijayasekara@gmail.com</x:v>
      </x:c>
      <x:c r="E122" t="str">
        <x:v>Undergraduate at University of Ruhuna </x:v>
      </x:c>
      <x:c r="F122" t="str">
        <x:v>Sri Lanka</x:v>
      </x:c>
      <x:c r="G122" t="str">
        <x:v>No</x:v>
      </x:c>
      <x:c r="H122" t="n">
        <x:v>0</x:v>
      </x:c>
      <x:c r="I122" s="26" t="n">
        <x:v>0</x:v>
      </x:c>
      <x:c r="J122" t="n">
        <x:v>0</x:v>
      </x:c>
      <x:c r="K122" t="n">
        <x:v>0</x:v>
      </x:c>
      <x:c r="L122" t="n">
        <x:v>0</x:v>
      </x:c>
      <x:c r="M122" t="str">
        <x:v>No</x:v>
      </x:c>
      <x:c r="N122" s="58" t="n">
        <x:f>'Scoring Model'!$B$4+IF(G122="Yes",'Scoring Model'!$B$5,0)+MIN('Scoring Model'!$B$7,H122/'Scoring Model'!$B$6*'Scoring Model'!$B$7)+MIN('Scoring Model'!$B$8,J122*'Scoring Model'!$B$8)+MIN('Scoring Model'!$B$11,K122*'Scoring Model'!$B$9+L122*'Scoring Model'!$B$10)</x:f>
        <x:v>10</x:v>
      </x:c>
      <x:c r="O122" t="str">
        <x:f>IF(M122="Yes","Internal / Excluded",IF(N122&gt;='Scoring Model'!$B$12,"Hot",IF(N122&gt;='Scoring Model'!$B$13,"Warm","Cold")))</x:f>
        <x:v>Cold</x:v>
      </x:c>
    </x:row>
    <x:row r="123">
      <x:c r="A123" t="n">
        <x:v>122</x:v>
      </x:c>
      <x:c r="B123" t="str">
        <x:v>Muhammad</x:v>
      </x:c>
      <x:c r="C123" t="str">
        <x:v>Irfan</x:v>
      </x:c>
      <x:c r="D123" t="str">
        <x:v>muhammadirfanm290@gmail.com</x:v>
      </x:c>
      <x:c r="E123" t="str">
        <x:v>WWF-PAKISTAN </x:v>
      </x:c>
      <x:c r="F123" t="str">
        <x:v>Pakistan </x:v>
      </x:c>
      <x:c r="G123" t="str">
        <x:v>No</x:v>
      </x:c>
      <x:c r="H123" t="n">
        <x:v>0</x:v>
      </x:c>
      <x:c r="I123" s="26" t="n">
        <x:v>0</x:v>
      </x:c>
      <x:c r="J123" t="n">
        <x:v>0</x:v>
      </x:c>
      <x:c r="K123" t="n">
        <x:v>0</x:v>
      </x:c>
      <x:c r="L123" t="n">
        <x:v>0</x:v>
      </x:c>
      <x:c r="M123" t="str">
        <x:v>No</x:v>
      </x:c>
      <x:c r="N123" s="58" t="n">
        <x:f>'Scoring Model'!$B$4+IF(G123="Yes",'Scoring Model'!$B$5,0)+MIN('Scoring Model'!$B$7,H123/'Scoring Model'!$B$6*'Scoring Model'!$B$7)+MIN('Scoring Model'!$B$8,J123*'Scoring Model'!$B$8)+MIN('Scoring Model'!$B$11,K123*'Scoring Model'!$B$9+L123*'Scoring Model'!$B$10)</x:f>
        <x:v>10</x:v>
      </x:c>
      <x:c r="O123" t="str">
        <x:f>IF(M123="Yes","Internal / Excluded",IF(N123&gt;='Scoring Model'!$B$12,"Hot",IF(N123&gt;='Scoring Model'!$B$13,"Warm","Cold")))</x:f>
        <x:v>Cold</x:v>
      </x:c>
    </x:row>
    <x:row r="124">
      <x:c r="A124" t="n">
        <x:v>123</x:v>
      </x:c>
      <x:c r="B124" t="str">
        <x:v>Antoine</x:v>
      </x:c>
      <x:c r="C124" t="str">
        <x:v>Monod</x:v>
      </x:c>
      <x:c r="D124" t="str">
        <x:v>amonod@x-pm.sg</x:v>
      </x:c>
      <x:c r="E124" t="str">
        <x:v>X-PM</x:v>
      </x:c>
      <x:c r="F124" t="str">
        <x:v>Singapore</x:v>
      </x:c>
      <x:c r="G124" t="str">
        <x:v>No</x:v>
      </x:c>
      <x:c r="H124" t="n">
        <x:v>0</x:v>
      </x:c>
      <x:c r="I124" s="26" t="n">
        <x:v>0</x:v>
      </x:c>
      <x:c r="J124" t="n">
        <x:v>0</x:v>
      </x:c>
      <x:c r="K124" t="n">
        <x:v>0</x:v>
      </x:c>
      <x:c r="L124" t="n">
        <x:v>0</x:v>
      </x:c>
      <x:c r="M124" t="str">
        <x:v>Yes</x:v>
      </x:c>
      <x:c r="N124" s="58" t="n">
        <x:f>'Scoring Model'!$B$4+IF(G124="Yes",'Scoring Model'!$B$5,0)+MIN('Scoring Model'!$B$7,H124/'Scoring Model'!$B$6*'Scoring Model'!$B$7)+MIN('Scoring Model'!$B$8,J124*'Scoring Model'!$B$8)+MIN('Scoring Model'!$B$11,K124*'Scoring Model'!$B$9+L124*'Scoring Model'!$B$10)</x:f>
        <x:v>10</x:v>
      </x:c>
      <x:c r="O124" t="str">
        <x:f>IF(M124="Yes","Internal / Excluded",IF(N124&gt;='Scoring Model'!$B$12,"Hot",IF(N124&gt;='Scoring Model'!$B$13,"Warm","Cold")))</x:f>
        <x:v>Internal / Excluded</x:v>
      </x:c>
    </x:row>
    <x:row r="125">
      <x:c r="A125" t="n">
        <x:v>124</x:v>
      </x:c>
      <x:c r="B125" t="str">
        <x:v>Maiken</x:v>
      </x:c>
      <x:c r="C125" t="str">
        <x:v>Vedel Bruun</x:v>
      </x:c>
      <x:c r="D125" t="str">
        <x:v>mvb@zolodk.com</x:v>
      </x:c>
      <x:c r="E125" t="str">
        <x:v>ZOLO INTERNATIONAL TRADING APS</x:v>
      </x:c>
      <x:c r="F125" t="str">
        <x:v>Danmark</x:v>
      </x:c>
      <x:c r="G125" t="str">
        <x:v>No</x:v>
      </x:c>
      <x:c r="H125" t="n">
        <x:v>0</x:v>
      </x:c>
      <x:c r="I125" s="26" t="n">
        <x:v>0</x:v>
      </x:c>
      <x:c r="J125" t="n">
        <x:v>0</x:v>
      </x:c>
      <x:c r="K125" t="n">
        <x:v>0</x:v>
      </x:c>
      <x:c r="L125" t="n">
        <x:v>0</x:v>
      </x:c>
      <x:c r="M125" t="str">
        <x:v>Yes</x:v>
      </x:c>
      <x:c r="N125" s="58" t="n">
        <x:f>'Scoring Model'!$B$4+IF(G125="Yes",'Scoring Model'!$B$5,0)+MIN('Scoring Model'!$B$7,H125/'Scoring Model'!$B$6*'Scoring Model'!$B$7)+MIN('Scoring Model'!$B$8,J125*'Scoring Model'!$B$8)+MIN('Scoring Model'!$B$11,K125*'Scoring Model'!$B$9+L125*'Scoring Model'!$B$10)</x:f>
        <x:v>10</x:v>
      </x:c>
      <x:c r="O125" t="str">
        <x:f>IF(M125="Yes","Internal / Excluded",IF(N125&gt;='Scoring Model'!$B$12,"Hot",IF(N125&gt;='Scoring Model'!$B$13,"Warm","Cold")))</x:f>
        <x:v>Internal / Excluded</x:v>
      </x:c>
    </x:row>
    <x:row r="126">
      <x:c r="A126" t="n">
        <x:v>125</x:v>
      </x:c>
      <x:c r="B126" t="str">
        <x:v>Десислава</x:v>
      </x:c>
      <x:c r="C126" t="str">
        <x:v>Караманолева</x:v>
      </x:c>
      <x:c r="D126" t="str">
        <x:v>karamanolev_sin@abv.bg</x:v>
      </x:c>
      <x:c r="E126" t="str">
        <x:v>Караманолев и син ООД</x:v>
      </x:c>
      <x:c r="F126" t="str">
        <x:v>България</x:v>
      </x:c>
      <x:c r="G126" t="str">
        <x:v>No</x:v>
      </x:c>
      <x:c r="H126" t="n">
        <x:v>0</x:v>
      </x:c>
      <x:c r="I126" s="26" t="n">
        <x:v>0</x:v>
      </x:c>
      <x:c r="J126" t="n">
        <x:v>0</x:v>
      </x:c>
      <x:c r="K126" t="n">
        <x:v>0</x:v>
      </x:c>
      <x:c r="L126" t="n">
        <x:v>0</x:v>
      </x:c>
      <x:c r="M126" t="str">
        <x:v>Yes</x:v>
      </x:c>
      <x:c r="N126" s="58" t="n">
        <x:f>'Scoring Model'!$B$4+IF(G126="Yes",'Scoring Model'!$B$5,0)+MIN('Scoring Model'!$B$7,H126/'Scoring Model'!$B$6*'Scoring Model'!$B$7)+MIN('Scoring Model'!$B$8,J126*'Scoring Model'!$B$8)+MIN('Scoring Model'!$B$11,K126*'Scoring Model'!$B$9+L126*'Scoring Model'!$B$10)</x:f>
        <x:v>10</x:v>
      </x:c>
      <x:c r="O126" t="str">
        <x:f>IF(M126="Yes","Internal / Excluded",IF(N126&gt;='Scoring Model'!$B$12,"Hot",IF(N126&gt;='Scoring Model'!$B$13,"Warm","Cold")))</x:f>
        <x:v>Internal / Excluded</x:v>
      </x:c>
    </x:row>
    <x:row r="127">
      <x:c r="A127" t="n">
        <x:v>126</x:v>
      </x:c>
      <x:c r="B127" t="str">
        <x:v>Celeste</x:v>
      </x:c>
      <x:c r="C127" t="str">
        <x:v>van Rensburg</x:v>
      </x:c>
      <x:c r="D127" t="str">
        <x:v>cvrensburg@controlunion.com</x:v>
      </x:c>
      <x:c r="E127" t="str">
        <x:v>Control Union </x:v>
      </x:c>
      <x:c r="F127" t="str">
        <x:v>South Africa</x:v>
      </x:c>
      <x:c r="G127" t="str">
        <x:v>Yes</x:v>
      </x:c>
      <x:c r="H127" t="n">
        <x:v>90</x:v>
      </x:c>
      <x:c r="I127" s="26" t="n">
        <x:v>1</x:v>
      </x:c>
      <x:c r="J127" t="n">
        <x:v>1</x:v>
      </x:c>
      <x:c r="K127" t="n">
        <x:v>1</x:v>
      </x:c>
      <x:c r="L127" t="n">
        <x:v>0</x:v>
      </x:c>
      <x:c r="M127" t="str">
        <x:v>Yes</x:v>
      </x:c>
      <x:c r="N127" s="58" t="n">
        <x:f>'Scoring Model'!$B$4+IF(G127="Yes",'Scoring Model'!$B$5,0)+MIN('Scoring Model'!$B$7,H127/'Scoring Model'!$B$6*'Scoring Model'!$B$7)+MIN('Scoring Model'!$B$8,J127*'Scoring Model'!$B$8)+MIN('Scoring Model'!$B$11,K127*'Scoring Model'!$B$9+L127*'Scoring Model'!$B$10)</x:f>
        <x:v>92</x:v>
      </x:c>
      <x:c r="O127" t="str">
        <x:f>IF(M127="Yes","Internal / Excluded",IF(N127&gt;='Scoring Model'!$B$12,"Hot",IF(N127&gt;='Scoring Model'!$B$13,"Warm","Cold")))</x:f>
        <x:v>Internal / Excluded</x:v>
      </x:c>
    </x:row>
    <x:row r="128">
      <x:c r="A128" t="n">
        <x:v>127</x:v>
      </x:c>
      <x:c r="B128" t="str">
        <x:v>Martin Gabriel</x:v>
      </x:c>
      <x:c r="C128" t="str">
        <x:v>Sorkin</x:v>
      </x:c>
      <x:c r="D128" t="str">
        <x:v>msorkin@controlunion.com</x:v>
      </x:c>
      <x:c r="E128" t="str"/>
      <x:c r="F128" t="str">
        <x:v>Argentina</x:v>
      </x:c>
      <x:c r="G128" t="str">
        <x:v>Yes</x:v>
      </x:c>
      <x:c r="H128" t="n">
        <x:v>88</x:v>
      </x:c>
      <x:c r="I128" s="26" t="n">
        <x:v>0.9778</x:v>
      </x:c>
      <x:c r="J128" t="n">
        <x:v>1</x:v>
      </x:c>
      <x:c r="K128" t="n">
        <x:v>0</x:v>
      </x:c>
      <x:c r="L128" t="n">
        <x:v>0</x:v>
      </x:c>
      <x:c r="M128" t="str">
        <x:v>Yes</x:v>
      </x:c>
      <x:c r="N128" s="58" t="n">
        <x:f>'Scoring Model'!$B$4+IF(G128="Yes",'Scoring Model'!$B$5,0)+MIN('Scoring Model'!$B$7,H128/'Scoring Model'!$B$6*'Scoring Model'!$B$7)+MIN('Scoring Model'!$B$8,J128*'Scoring Model'!$B$8)+MIN('Scoring Model'!$B$11,K128*'Scoring Model'!$B$9+L128*'Scoring Model'!$B$10)</x:f>
        <x:v>89.11111111111111</x:v>
      </x:c>
      <x:c r="O128" t="str">
        <x:f>IF(M128="Yes","Internal / Excluded",IF(N128&gt;='Scoring Model'!$B$12,"Hot",IF(N128&gt;='Scoring Model'!$B$13,"Warm","Cold")))</x:f>
        <x:v>Internal / Excluded</x:v>
      </x:c>
    </x:row>
    <x:row r="129">
      <x:c r="A129" t="n">
        <x:v>128</x:v>
      </x:c>
      <x:c r="B129" t="str">
        <x:v>Baptiste</x:v>
      </x:c>
      <x:c r="C129" t="str">
        <x:v>Hardouin</x:v>
      </x:c>
      <x:c r="D129" t="str">
        <x:v>bhardouin@controlunion.com</x:v>
      </x:c>
      <x:c r="E129" t="str">
        <x:v>Control Union</x:v>
      </x:c>
      <x:c r="F129" t="str">
        <x:v>France</x:v>
      </x:c>
      <x:c r="G129" t="str">
        <x:v>Yes</x:v>
      </x:c>
      <x:c r="H129" t="n">
        <x:v>90</x:v>
      </x:c>
      <x:c r="I129" s="26" t="n">
        <x:v>1</x:v>
      </x:c>
      <x:c r="J129" t="n">
        <x:v>0</x:v>
      </x:c>
      <x:c r="K129" t="n">
        <x:v>0</x:v>
      </x:c>
      <x:c r="L129" t="n">
        <x:v>0</x:v>
      </x:c>
      <x:c r="M129" t="str">
        <x:v>Yes</x:v>
      </x:c>
      <x:c r="N129" s="58" t="n">
        <x:f>'Scoring Model'!$B$4+IF(G129="Yes",'Scoring Model'!$B$5,0)+MIN('Scoring Model'!$B$7,H129/'Scoring Model'!$B$6*'Scoring Model'!$B$7)+MIN('Scoring Model'!$B$8,J129*'Scoring Model'!$B$8)+MIN('Scoring Model'!$B$11,K129*'Scoring Model'!$B$9+L129*'Scoring Model'!$B$10)</x:f>
        <x:v>70</x:v>
      </x:c>
      <x:c r="O129" t="str">
        <x:f>IF(M129="Yes","Internal / Excluded",IF(N129&gt;='Scoring Model'!$B$12,"Hot",IF(N129&gt;='Scoring Model'!$B$13,"Warm","Cold")))</x:f>
        <x:v>Internal / Excluded</x:v>
      </x:c>
    </x:row>
    <x:row r="130">
      <x:c r="A130" t="n">
        <x:v>129</x:v>
      </x:c>
      <x:c r="B130" t="str">
        <x:v>Dimitrina</x:v>
      </x:c>
      <x:c r="C130" t="str">
        <x:v>Shuleva</x:v>
      </x:c>
      <x:c r="D130" t="str">
        <x:v>dshuleva@controlunion.com</x:v>
      </x:c>
      <x:c r="E130" t="str">
        <x:v>Control Union </x:v>
      </x:c>
      <x:c r="F130" t="str">
        <x:v>Bulgaria</x:v>
      </x:c>
      <x:c r="G130" t="str">
        <x:v>Yes</x:v>
      </x:c>
      <x:c r="H130" t="n">
        <x:v>90</x:v>
      </x:c>
      <x:c r="I130" s="26" t="n">
        <x:v>1</x:v>
      </x:c>
      <x:c r="J130" t="n">
        <x:v>0</x:v>
      </x:c>
      <x:c r="K130" t="n">
        <x:v>0</x:v>
      </x:c>
      <x:c r="L130" t="n">
        <x:v>0</x:v>
      </x:c>
      <x:c r="M130" t="str">
        <x:v>Yes</x:v>
      </x:c>
      <x:c r="N130" s="58" t="n">
        <x:f>'Scoring Model'!$B$4+IF(G130="Yes",'Scoring Model'!$B$5,0)+MIN('Scoring Model'!$B$7,H130/'Scoring Model'!$B$6*'Scoring Model'!$B$7)+MIN('Scoring Model'!$B$8,J130*'Scoring Model'!$B$8)+MIN('Scoring Model'!$B$11,K130*'Scoring Model'!$B$9+L130*'Scoring Model'!$B$10)</x:f>
        <x:v>70</x:v>
      </x:c>
      <x:c r="O130" t="str">
        <x:f>IF(M130="Yes","Internal / Excluded",IF(N130&gt;='Scoring Model'!$B$12,"Hot",IF(N130&gt;='Scoring Model'!$B$13,"Warm","Cold")))</x:f>
        <x:v>Internal / Excluded</x:v>
      </x:c>
    </x:row>
    <x:row r="131">
      <x:c r="A131" t="n">
        <x:v>130</x:v>
      </x:c>
      <x:c r="B131" t="str">
        <x:v>Dragana</x:v>
      </x:c>
      <x:c r="C131" t="str">
        <x:v>Radenkovic</x:v>
      </x:c>
      <x:c r="D131" t="str">
        <x:v>dradenkovic@controlunion.com</x:v>
      </x:c>
      <x:c r="E131" t="str">
        <x:v>Control Union Danube</x:v>
      </x:c>
      <x:c r="F131" t="str">
        <x:v>Serbia</x:v>
      </x:c>
      <x:c r="G131" t="str">
        <x:v>Yes</x:v>
      </x:c>
      <x:c r="H131" t="n">
        <x:v>90</x:v>
      </x:c>
      <x:c r="I131" s="26" t="n">
        <x:v>1</x:v>
      </x:c>
      <x:c r="J131" t="n">
        <x:v>0</x:v>
      </x:c>
      <x:c r="K131" t="n">
        <x:v>0</x:v>
      </x:c>
      <x:c r="L131" t="n">
        <x:v>0</x:v>
      </x:c>
      <x:c r="M131" t="str">
        <x:v>Yes</x:v>
      </x:c>
      <x:c r="N131" s="58" t="n">
        <x:f>'Scoring Model'!$B$4+IF(G131="Yes",'Scoring Model'!$B$5,0)+MIN('Scoring Model'!$B$7,H131/'Scoring Model'!$B$6*'Scoring Model'!$B$7)+MIN('Scoring Model'!$B$8,J131*'Scoring Model'!$B$8)+MIN('Scoring Model'!$B$11,K131*'Scoring Model'!$B$9+L131*'Scoring Model'!$B$10)</x:f>
        <x:v>70</x:v>
      </x:c>
      <x:c r="O131" t="str">
        <x:f>IF(M131="Yes","Internal / Excluded",IF(N131&gt;='Scoring Model'!$B$12,"Hot",IF(N131&gt;='Scoring Model'!$B$13,"Warm","Cold")))</x:f>
        <x:v>Internal / Excluded</x:v>
      </x:c>
    </x:row>
    <x:row r="132">
      <x:c r="A132" t="n">
        <x:v>131</x:v>
      </x:c>
      <x:c r="B132" t="str">
        <x:v>Esther</x:v>
      </x:c>
      <x:c r="C132" t="str">
        <x:v>Espina Tejeda</x:v>
      </x:c>
      <x:c r="D132" t="str">
        <x:v>eespina@controlunion.com</x:v>
      </x:c>
      <x:c r="E132" t="str">
        <x:v>CONTROL UNION WG SPAIN S.A.</x:v>
      </x:c>
      <x:c r="F132" t="str">
        <x:v>España</x:v>
      </x:c>
      <x:c r="G132" t="str">
        <x:v>Yes</x:v>
      </x:c>
      <x:c r="H132" t="n">
        <x:v>90</x:v>
      </x:c>
      <x:c r="I132" s="26" t="n">
        <x:v>1</x:v>
      </x:c>
      <x:c r="J132" t="n">
        <x:v>0</x:v>
      </x:c>
      <x:c r="K132" t="n">
        <x:v>0</x:v>
      </x:c>
      <x:c r="L132" t="n">
        <x:v>0</x:v>
      </x:c>
      <x:c r="M132" t="str">
        <x:v>Yes</x:v>
      </x:c>
      <x:c r="N132" s="58" t="n">
        <x:f>'Scoring Model'!$B$4+IF(G132="Yes",'Scoring Model'!$B$5,0)+MIN('Scoring Model'!$B$7,H132/'Scoring Model'!$B$6*'Scoring Model'!$B$7)+MIN('Scoring Model'!$B$8,J132*'Scoring Model'!$B$8)+MIN('Scoring Model'!$B$11,K132*'Scoring Model'!$B$9+L132*'Scoring Model'!$B$10)</x:f>
        <x:v>70</x:v>
      </x:c>
      <x:c r="O132" t="str">
        <x:f>IF(M132="Yes","Internal / Excluded",IF(N132&gt;='Scoring Model'!$B$12,"Hot",IF(N132&gt;='Scoring Model'!$B$13,"Warm","Cold")))</x:f>
        <x:v>Internal / Excluded</x:v>
      </x:c>
    </x:row>
    <x:row r="133">
      <x:c r="A133" t="n">
        <x:v>132</x:v>
      </x:c>
      <x:c r="B133" t="str">
        <x:v>Maria</x:v>
      </x:c>
      <x:c r="C133" t="str">
        <x:v>Gaitan</x:v>
      </x:c>
      <x:c r="D133" t="str">
        <x:v>mgaitan@onepeterson.com</x:v>
      </x:c>
      <x:c r="E133" t="str">
        <x:v>Peterson Solutions</x:v>
      </x:c>
      <x:c r="F133" t="str">
        <x:v>Colombia</x:v>
      </x:c>
      <x:c r="G133" t="str">
        <x:v>Yes</x:v>
      </x:c>
      <x:c r="H133" t="n">
        <x:v>90</x:v>
      </x:c>
      <x:c r="I133" s="26" t="n">
        <x:v>1</x:v>
      </x:c>
      <x:c r="J133" t="n">
        <x:v>0</x:v>
      </x:c>
      <x:c r="K133" t="n">
        <x:v>0</x:v>
      </x:c>
      <x:c r="L133" t="n">
        <x:v>0</x:v>
      </x:c>
      <x:c r="M133" t="str">
        <x:v>Yes</x:v>
      </x:c>
      <x:c r="N133" s="58" t="n">
        <x:f>'Scoring Model'!$B$4+IF(G133="Yes",'Scoring Model'!$B$5,0)+MIN('Scoring Model'!$B$7,H133/'Scoring Model'!$B$6*'Scoring Model'!$B$7)+MIN('Scoring Model'!$B$8,J133*'Scoring Model'!$B$8)+MIN('Scoring Model'!$B$11,K133*'Scoring Model'!$B$9+L133*'Scoring Model'!$B$10)</x:f>
        <x:v>70</x:v>
      </x:c>
      <x:c r="O133" t="str">
        <x:f>IF(M133="Yes","Internal / Excluded",IF(N133&gt;='Scoring Model'!$B$12,"Hot",IF(N133&gt;='Scoring Model'!$B$13,"Warm","Cold")))</x:f>
        <x:v>Internal / Excluded</x:v>
      </x:c>
    </x:row>
    <x:row r="134">
      <x:c r="A134" t="n">
        <x:v>133</x:v>
      </x:c>
      <x:c r="B134" t="str">
        <x:v>Jayathri</x:v>
      </x:c>
      <x:c r="C134" t="str">
        <x:v>Disanayaka</x:v>
      </x:c>
      <x:c r="D134" t="str">
        <x:v>jdisanayaka@controlunion.com</x:v>
      </x:c>
      <x:c r="E134" t="str">
        <x:v>Control Union</x:v>
      </x:c>
      <x:c r="F134" t="str">
        <x:v>Sri Lanka </x:v>
      </x:c>
      <x:c r="G134" t="str">
        <x:v>Yes</x:v>
      </x:c>
      <x:c r="H134" t="n">
        <x:v>89.3</x:v>
      </x:c>
      <x:c r="I134" s="26" t="n">
        <x:v>0.9922</x:v>
      </x:c>
      <x:c r="J134" t="n">
        <x:v>0</x:v>
      </x:c>
      <x:c r="K134" t="n">
        <x:v>0</x:v>
      </x:c>
      <x:c r="L134" t="n">
        <x:v>0</x:v>
      </x:c>
      <x:c r="M134" t="str">
        <x:v>Yes</x:v>
      </x:c>
      <x:c r="N134" s="58" t="n">
        <x:f>'Scoring Model'!$B$4+IF(G134="Yes",'Scoring Model'!$B$5,0)+MIN('Scoring Model'!$B$7,H134/'Scoring Model'!$B$6*'Scoring Model'!$B$7)+MIN('Scoring Model'!$B$8,J134*'Scoring Model'!$B$8)+MIN('Scoring Model'!$B$11,K134*'Scoring Model'!$B$9+L134*'Scoring Model'!$B$10)</x:f>
        <x:v>69.6888888888889</x:v>
      </x:c>
      <x:c r="O134" t="str">
        <x:f>IF(M134="Yes","Internal / Excluded",IF(N134&gt;='Scoring Model'!$B$12,"Hot",IF(N134&gt;='Scoring Model'!$B$13,"Warm","Cold")))</x:f>
        <x:v>Internal / Excluded</x:v>
      </x:c>
    </x:row>
    <x:row r="135">
      <x:c r="A135" t="n">
        <x:v>134</x:v>
      </x:c>
      <x:c r="B135" t="str">
        <x:v>Midori</x:v>
      </x:c>
      <x:c r="C135" t="str">
        <x:v>Kawazo</x:v>
      </x:c>
      <x:c r="D135" t="str">
        <x:v>skawazo@controlunion.com</x:v>
      </x:c>
      <x:c r="E135" t="str">
        <x:v>CU</x:v>
      </x:c>
      <x:c r="F135" t="str">
        <x:v>Peru</x:v>
      </x:c>
      <x:c r="G135" t="str">
        <x:v>Yes</x:v>
      </x:c>
      <x:c r="H135" t="n">
        <x:v>88.5</x:v>
      </x:c>
      <x:c r="I135" s="26" t="n">
        <x:v>0.9839</x:v>
      </x:c>
      <x:c r="J135" t="n">
        <x:v>0</x:v>
      </x:c>
      <x:c r="K135" t="n">
        <x:v>0</x:v>
      </x:c>
      <x:c r="L135" t="n">
        <x:v>0</x:v>
      </x:c>
      <x:c r="M135" t="str">
        <x:v>Yes</x:v>
      </x:c>
      <x:c r="N135" s="58" t="n">
        <x:f>'Scoring Model'!$B$4+IF(G135="Yes",'Scoring Model'!$B$5,0)+MIN('Scoring Model'!$B$7,H135/'Scoring Model'!$B$6*'Scoring Model'!$B$7)+MIN('Scoring Model'!$B$8,J135*'Scoring Model'!$B$8)+MIN('Scoring Model'!$B$11,K135*'Scoring Model'!$B$9+L135*'Scoring Model'!$B$10)</x:f>
        <x:v>69.33333333333333</x:v>
      </x:c>
      <x:c r="O135" t="str">
        <x:f>IF(M135="Yes","Internal / Excluded",IF(N135&gt;='Scoring Model'!$B$12,"Hot",IF(N135&gt;='Scoring Model'!$B$13,"Warm","Cold")))</x:f>
        <x:v>Internal / Excluded</x:v>
      </x:c>
    </x:row>
    <x:row r="136">
      <x:c r="A136" t="n">
        <x:v>135</x:v>
      </x:c>
      <x:c r="B136" t="str">
        <x:v>Vanessa</x:v>
      </x:c>
      <x:c r="C136" t="str">
        <x:v>Leiva</x:v>
      </x:c>
      <x:c r="D136" t="str">
        <x:v>vleiva@controlunion.com</x:v>
      </x:c>
      <x:c r="E136" t="str">
        <x:v>Control Unión</x:v>
      </x:c>
      <x:c r="F136" t="str">
        <x:v>Chile</x:v>
      </x:c>
      <x:c r="G136" t="str">
        <x:v>Yes</x:v>
      </x:c>
      <x:c r="H136" t="n">
        <x:v>86.4</x:v>
      </x:c>
      <x:c r="I136" s="26" t="n">
        <x:v>0.9596</x:v>
      </x:c>
      <x:c r="J136" t="n">
        <x:v>0</x:v>
      </x:c>
      <x:c r="K136" t="n">
        <x:v>0</x:v>
      </x:c>
      <x:c r="L136" t="n">
        <x:v>0</x:v>
      </x:c>
      <x:c r="M136" t="str">
        <x:v>Yes</x:v>
      </x:c>
      <x:c r="N136" s="58" t="n">
        <x:f>'Scoring Model'!$B$4+IF(G136="Yes",'Scoring Model'!$B$5,0)+MIN('Scoring Model'!$B$7,H136/'Scoring Model'!$B$6*'Scoring Model'!$B$7)+MIN('Scoring Model'!$B$8,J136*'Scoring Model'!$B$8)+MIN('Scoring Model'!$B$11,K136*'Scoring Model'!$B$9+L136*'Scoring Model'!$B$10)</x:f>
        <x:v>68.4</x:v>
      </x:c>
      <x:c r="O136" t="str">
        <x:f>IF(M136="Yes","Internal / Excluded",IF(N136&gt;='Scoring Model'!$B$12,"Hot",IF(N136&gt;='Scoring Model'!$B$13,"Warm","Cold")))</x:f>
        <x:v>Internal / Excluded</x:v>
      </x:c>
    </x:row>
    <x:row r="137">
      <x:c r="A137" t="n">
        <x:v>136</x:v>
      </x:c>
      <x:c r="B137" t="str">
        <x:v>Ernesto</x:v>
      </x:c>
      <x:c r="C137" t="str">
        <x:v>Cabañas Pérez</x:v>
      </x:c>
      <x:c r="D137" t="str">
        <x:v>ecabanas@controlunion.com</x:v>
      </x:c>
      <x:c r="E137" t="str">
        <x:v>CU spain</x:v>
      </x:c>
      <x:c r="F137" t="str">
        <x:v>España</x:v>
      </x:c>
      <x:c r="G137" t="str">
        <x:v>Yes</x:v>
      </x:c>
      <x:c r="H137" t="n">
        <x:v>83.2</x:v>
      </x:c>
      <x:c r="I137" s="26" t="n">
        <x:v>0.9246</x:v>
      </x:c>
      <x:c r="J137" t="n">
        <x:v>0</x:v>
      </x:c>
      <x:c r="K137" t="n">
        <x:v>0</x:v>
      </x:c>
      <x:c r="L137" t="n">
        <x:v>0</x:v>
      </x:c>
      <x:c r="M137" t="str">
        <x:v>Yes</x:v>
      </x:c>
      <x:c r="N137" s="58" t="n">
        <x:f>'Scoring Model'!$B$4+IF(G137="Yes",'Scoring Model'!$B$5,0)+MIN('Scoring Model'!$B$7,H137/'Scoring Model'!$B$6*'Scoring Model'!$B$7)+MIN('Scoring Model'!$B$8,J137*'Scoring Model'!$B$8)+MIN('Scoring Model'!$B$11,K137*'Scoring Model'!$B$9+L137*'Scoring Model'!$B$10)</x:f>
        <x:v>66.97777777777779</x:v>
      </x:c>
      <x:c r="O137" t="str">
        <x:f>IF(M137="Yes","Internal / Excluded",IF(N137&gt;='Scoring Model'!$B$12,"Hot",IF(N137&gt;='Scoring Model'!$B$13,"Warm","Cold")))</x:f>
        <x:v>Internal / Excluded</x:v>
      </x:c>
    </x:row>
    <x:row r="138">
      <x:c r="A138" t="n">
        <x:v>137</x:v>
      </x:c>
      <x:c r="B138" t="str">
        <x:v>Ashutosh</x:v>
      </x:c>
      <x:c r="C138" t="str">
        <x:v>Katkar</x:v>
      </x:c>
      <x:c r="D138" t="str">
        <x:v>akatkar@controlunion.com</x:v>
      </x:c>
      <x:c r="E138" t="str">
        <x:v>CU Inspections and Certifications India Pvt Ltd</x:v>
      </x:c>
      <x:c r="F138" t="str">
        <x:v>India</x:v>
      </x:c>
      <x:c r="G138" t="str">
        <x:v>Yes</x:v>
      </x:c>
      <x:c r="H138" t="n">
        <x:v>73.4</x:v>
      </x:c>
      <x:c r="I138" s="26" t="n">
        <x:v>0.8159</x:v>
      </x:c>
      <x:c r="J138" t="n">
        <x:v>0</x:v>
      </x:c>
      <x:c r="K138" t="n">
        <x:v>0</x:v>
      </x:c>
      <x:c r="L138" t="n">
        <x:v>0</x:v>
      </x:c>
      <x:c r="M138" t="str">
        <x:v>Yes</x:v>
      </x:c>
      <x:c r="N138" s="58" t="n">
        <x:f>'Scoring Model'!$B$4+IF(G138="Yes",'Scoring Model'!$B$5,0)+MIN('Scoring Model'!$B$7,H138/'Scoring Model'!$B$6*'Scoring Model'!$B$7)+MIN('Scoring Model'!$B$8,J138*'Scoring Model'!$B$8)+MIN('Scoring Model'!$B$11,K138*'Scoring Model'!$B$9+L138*'Scoring Model'!$B$10)</x:f>
        <x:v>62.62222222222222</x:v>
      </x:c>
      <x:c r="O138" t="str">
        <x:f>IF(M138="Yes","Internal / Excluded",IF(N138&gt;='Scoring Model'!$B$12,"Hot",IF(N138&gt;='Scoring Model'!$B$13,"Warm","Cold")))</x:f>
        <x:v>Internal / Excluded</x:v>
      </x:c>
    </x:row>
    <x:row r="139">
      <x:c r="A139" t="n">
        <x:v>138</x:v>
      </x:c>
      <x:c r="B139" t="str">
        <x:v>Carina</x:v>
      </x:c>
      <x:c r="C139" t="str">
        <x:v>Gonçalves</x:v>
      </x:c>
      <x:c r="D139" t="str">
        <x:v>cgoncalves@controlunion.com</x:v>
      </x:c>
      <x:c r="E139" t="str">
        <x:v>Control Union</x:v>
      </x:c>
      <x:c r="F139" t="str">
        <x:v>Portugal</x:v>
      </x:c>
      <x:c r="G139" t="str">
        <x:v>Yes</x:v>
      </x:c>
      <x:c r="H139" t="n">
        <x:v>67.1</x:v>
      </x:c>
      <x:c r="I139" s="26" t="n">
        <x:v>0.7452</x:v>
      </x:c>
      <x:c r="J139" t="n">
        <x:v>0</x:v>
      </x:c>
      <x:c r="K139" t="n">
        <x:v>0</x:v>
      </x:c>
      <x:c r="L139" t="n">
        <x:v>0</x:v>
      </x:c>
      <x:c r="M139" t="str">
        <x:v>Yes</x:v>
      </x:c>
      <x:c r="N139" s="58" t="n">
        <x:f>'Scoring Model'!$B$4+IF(G139="Yes",'Scoring Model'!$B$5,0)+MIN('Scoring Model'!$B$7,H139/'Scoring Model'!$B$6*'Scoring Model'!$B$7)+MIN('Scoring Model'!$B$8,J139*'Scoring Model'!$B$8)+MIN('Scoring Model'!$B$11,K139*'Scoring Model'!$B$9+L139*'Scoring Model'!$B$10)</x:f>
        <x:v>59.82222222222222</x:v>
      </x:c>
      <x:c r="O139" t="str">
        <x:f>IF(M139="Yes","Internal / Excluded",IF(N139&gt;='Scoring Model'!$B$12,"Hot",IF(N139&gt;='Scoring Model'!$B$13,"Warm","Cold")))</x:f>
        <x:v>Internal / Excluded</x:v>
      </x:c>
    </x:row>
    <x:row r="140">
      <x:c r="A140" t="n">
        <x:v>139</x:v>
      </x:c>
      <x:c r="B140" t="str">
        <x:v>Gyorgyi</x:v>
      </x:c>
      <x:c r="C140" t="str">
        <x:v>Acs</x:v>
      </x:c>
      <x:c r="D140" t="str">
        <x:v>gacs@controlunion.com</x:v>
      </x:c>
      <x:c r="E140" t="str">
        <x:v>Control Union Hungária Kft.</x:v>
      </x:c>
      <x:c r="F140" t="str">
        <x:v>Hungary</x:v>
      </x:c>
      <x:c r="G140" t="str">
        <x:v>Yes</x:v>
      </x:c>
      <x:c r="H140" t="n">
        <x:v>63.8</x:v>
      </x:c>
      <x:c r="I140" s="26" t="n">
        <x:v>0.7089</x:v>
      </x:c>
      <x:c r="J140" t="n">
        <x:v>0</x:v>
      </x:c>
      <x:c r="K140" t="n">
        <x:v>0</x:v>
      </x:c>
      <x:c r="L140" t="n">
        <x:v>0</x:v>
      </x:c>
      <x:c r="M140" t="str">
        <x:v>Yes</x:v>
      </x:c>
      <x:c r="N140" s="58" t="n">
        <x:f>'Scoring Model'!$B$4+IF(G140="Yes",'Scoring Model'!$B$5,0)+MIN('Scoring Model'!$B$7,H140/'Scoring Model'!$B$6*'Scoring Model'!$B$7)+MIN('Scoring Model'!$B$8,J140*'Scoring Model'!$B$8)+MIN('Scoring Model'!$B$11,K140*'Scoring Model'!$B$9+L140*'Scoring Model'!$B$10)</x:f>
        <x:v>58.355555555555554</x:v>
      </x:c>
      <x:c r="O140" t="str">
        <x:f>IF(M140="Yes","Internal / Excluded",IF(N140&gt;='Scoring Model'!$B$12,"Hot",IF(N140&gt;='Scoring Model'!$B$13,"Warm","Cold")))</x:f>
        <x:v>Internal / Excluded</x:v>
      </x:c>
    </x:row>
    <x:row r="141">
      <x:c r="A141" t="n">
        <x:v>140</x:v>
      </x:c>
      <x:c r="B141" t="str">
        <x:v>Laura</x:v>
      </x:c>
      <x:c r="C141" t="str">
        <x:v>Karpati</x:v>
      </x:c>
      <x:c r="D141" t="str">
        <x:v>lkarpati@controlunion.com</x:v>
      </x:c>
      <x:c r="E141" t="str">
        <x:v>Control Union</x:v>
      </x:c>
      <x:c r="F141" t="str"/>
      <x:c r="G141" t="str">
        <x:v>Yes</x:v>
      </x:c>
      <x:c r="H141" t="n">
        <x:v>56.9</x:v>
      </x:c>
      <x:c r="I141" s="26" t="n">
        <x:v>0.6324</x:v>
      </x:c>
      <x:c r="J141" t="n">
        <x:v>0</x:v>
      </x:c>
      <x:c r="K141" t="n">
        <x:v>0</x:v>
      </x:c>
      <x:c r="L141" t="n">
        <x:v>0</x:v>
      </x:c>
      <x:c r="M141" t="str">
        <x:v>Yes</x:v>
      </x:c>
      <x:c r="N141" s="58" t="n">
        <x:f>'Scoring Model'!$B$4+IF(G141="Yes",'Scoring Model'!$B$5,0)+MIN('Scoring Model'!$B$7,H141/'Scoring Model'!$B$6*'Scoring Model'!$B$7)+MIN('Scoring Model'!$B$8,J141*'Scoring Model'!$B$8)+MIN('Scoring Model'!$B$11,K141*'Scoring Model'!$B$9+L141*'Scoring Model'!$B$10)</x:f>
        <x:v>55.28888888888889</x:v>
      </x:c>
      <x:c r="O141" t="str">
        <x:f>IF(M141="Yes","Internal / Excluded",IF(N141&gt;='Scoring Model'!$B$12,"Hot",IF(N141&gt;='Scoring Model'!$B$13,"Warm","Cold")))</x:f>
        <x:v>Internal / Excluded</x:v>
      </x:c>
    </x:row>
    <x:row r="142">
      <x:c r="A142" t="n">
        <x:v>141</x:v>
      </x:c>
      <x:c r="B142" t="str">
        <x:v>Ana</x:v>
      </x:c>
      <x:c r="C142" t="str">
        <x:v>Zamora</x:v>
      </x:c>
      <x:c r="D142" t="str">
        <x:v>azamora@controlunion.com</x:v>
      </x:c>
      <x:c r="E142" t="str">
        <x:v>CU</x:v>
      </x:c>
      <x:c r="F142" t="str">
        <x:v>Spain</x:v>
      </x:c>
      <x:c r="G142" t="str">
        <x:v>Yes</x:v>
      </x:c>
      <x:c r="H142" t="n">
        <x:v>51.9</x:v>
      </x:c>
      <x:c r="I142" s="26" t="n">
        <x:v>0.5761</x:v>
      </x:c>
      <x:c r="J142" t="n">
        <x:v>0</x:v>
      </x:c>
      <x:c r="K142" t="n">
        <x:v>0</x:v>
      </x:c>
      <x:c r="L142" t="n">
        <x:v>0</x:v>
      </x:c>
      <x:c r="M142" t="str">
        <x:v>Yes</x:v>
      </x:c>
      <x:c r="N142" s="58" t="n">
        <x:f>'Scoring Model'!$B$4+IF(G142="Yes",'Scoring Model'!$B$5,0)+MIN('Scoring Model'!$B$7,H142/'Scoring Model'!$B$6*'Scoring Model'!$B$7)+MIN('Scoring Model'!$B$8,J142*'Scoring Model'!$B$8)+MIN('Scoring Model'!$B$11,K142*'Scoring Model'!$B$9+L142*'Scoring Model'!$B$10)</x:f>
        <x:v>53.06666666666666</x:v>
      </x:c>
      <x:c r="O142" t="str">
        <x:f>IF(M142="Yes","Internal / Excluded",IF(N142&gt;='Scoring Model'!$B$12,"Hot",IF(N142&gt;='Scoring Model'!$B$13,"Warm","Cold")))</x:f>
        <x:v>Internal / Excluded</x:v>
      </x:c>
    </x:row>
    <x:row r="143">
      <x:c r="A143" t="n">
        <x:v>142</x:v>
      </x:c>
      <x:c r="B143" t="str">
        <x:v>Emily</x:v>
      </x:c>
      <x:c r="C143" t="str">
        <x:v>Gitonga</x:v>
      </x:c>
      <x:c r="D143" t="str">
        <x:v>egitonga@controlunion.com</x:v>
      </x:c>
      <x:c r="E143" t="str"/>
      <x:c r="F143" t="str"/>
      <x:c r="G143" t="str">
        <x:v>Yes</x:v>
      </x:c>
      <x:c r="H143" t="n">
        <x:v>43.5</x:v>
      </x:c>
      <x:c r="I143" s="26" t="n">
        <x:v>0.4835</x:v>
      </x:c>
      <x:c r="J143" t="n">
        <x:v>0</x:v>
      </x:c>
      <x:c r="K143" t="n">
        <x:v>0</x:v>
      </x:c>
      <x:c r="L143" t="n">
        <x:v>0</x:v>
      </x:c>
      <x:c r="M143" t="str">
        <x:v>Yes</x:v>
      </x:c>
      <x:c r="N143" s="58" t="n">
        <x:f>'Scoring Model'!$B$4+IF(G143="Yes",'Scoring Model'!$B$5,0)+MIN('Scoring Model'!$B$7,H143/'Scoring Model'!$B$6*'Scoring Model'!$B$7)+MIN('Scoring Model'!$B$8,J143*'Scoring Model'!$B$8)+MIN('Scoring Model'!$B$11,K143*'Scoring Model'!$B$9+L143*'Scoring Model'!$B$10)</x:f>
        <x:v>49.33333333333333</x:v>
      </x:c>
      <x:c r="O143" t="str">
        <x:f>IF(M143="Yes","Internal / Excluded",IF(N143&gt;='Scoring Model'!$B$12,"Hot",IF(N143&gt;='Scoring Model'!$B$13,"Warm","Cold")))</x:f>
        <x:v>Internal / Excluded</x:v>
      </x:c>
    </x:row>
    <x:row r="144">
      <x:c r="A144" t="n">
        <x:v>143</x:v>
      </x:c>
      <x:c r="B144" t="str">
        <x:v>Dániel</x:v>
      </x:c>
      <x:c r="C144" t="str">
        <x:v>Surányi</x:v>
      </x:c>
      <x:c r="D144" t="str">
        <x:v>dsuranyi@controlunion.com</x:v>
      </x:c>
      <x:c r="E144" t="str">
        <x:v>Control Union</x:v>
      </x:c>
      <x:c r="F144" t="str">
        <x:v>Hungary</x:v>
      </x:c>
      <x:c r="G144" t="str">
        <x:v>Yes</x:v>
      </x:c>
      <x:c r="H144" t="n">
        <x:v>32.1</x:v>
      </x:c>
      <x:c r="I144" s="26" t="n">
        <x:v>0.3563</x:v>
      </x:c>
      <x:c r="J144" t="n">
        <x:v>0</x:v>
      </x:c>
      <x:c r="K144" t="n">
        <x:v>0</x:v>
      </x:c>
      <x:c r="L144" t="n">
        <x:v>0</x:v>
      </x:c>
      <x:c r="M144" t="str">
        <x:v>Yes</x:v>
      </x:c>
      <x:c r="N144" s="58" t="n">
        <x:f>'Scoring Model'!$B$4+IF(G144="Yes",'Scoring Model'!$B$5,0)+MIN('Scoring Model'!$B$7,H144/'Scoring Model'!$B$6*'Scoring Model'!$B$7)+MIN('Scoring Model'!$B$8,J144*'Scoring Model'!$B$8)+MIN('Scoring Model'!$B$11,K144*'Scoring Model'!$B$9+L144*'Scoring Model'!$B$10)</x:f>
        <x:v>44.266666666666666</x:v>
      </x:c>
      <x:c r="O144" t="str">
        <x:f>IF(M144="Yes","Internal / Excluded",IF(N144&gt;='Scoring Model'!$B$12,"Hot",IF(N144&gt;='Scoring Model'!$B$13,"Warm","Cold")))</x:f>
        <x:v>Internal / Excluded</x:v>
      </x:c>
    </x:row>
    <x:row r="145">
      <x:c r="A145" t="n">
        <x:v>144</x:v>
      </x:c>
      <x:c r="B145" t="str">
        <x:v>Widya</x:v>
      </x:c>
      <x:c r="C145" t="str">
        <x:v>Putri</x:v>
      </x:c>
      <x:c r="D145" t="str">
        <x:v>wputri@controlunion.com</x:v>
      </x:c>
      <x:c r="E145" t="str">
        <x:v>Control Union </x:v>
      </x:c>
      <x:c r="F145" t="str">
        <x:v>Indonesia </x:v>
      </x:c>
      <x:c r="G145" t="str">
        <x:v>Yes</x:v>
      </x:c>
      <x:c r="H145" t="n">
        <x:v>19.2</x:v>
      </x:c>
      <x:c r="I145" s="26" t="n">
        <x:v>0.213</x:v>
      </x:c>
      <x:c r="J145" t="n">
        <x:v>0</x:v>
      </x:c>
      <x:c r="K145" t="n">
        <x:v>0</x:v>
      </x:c>
      <x:c r="L145" t="n">
        <x:v>0</x:v>
      </x:c>
      <x:c r="M145" t="str">
        <x:v>Yes</x:v>
      </x:c>
      <x:c r="N145" s="58" t="n">
        <x:f>'Scoring Model'!$B$4+IF(G145="Yes",'Scoring Model'!$B$5,0)+MIN('Scoring Model'!$B$7,H145/'Scoring Model'!$B$6*'Scoring Model'!$B$7)+MIN('Scoring Model'!$B$8,J145*'Scoring Model'!$B$8)+MIN('Scoring Model'!$B$11,K145*'Scoring Model'!$B$9+L145*'Scoring Model'!$B$10)</x:f>
        <x:v>38.53333333333333</x:v>
      </x:c>
      <x:c r="O145" t="str">
        <x:f>IF(M145="Yes","Internal / Excluded",IF(N145&gt;='Scoring Model'!$B$12,"Hot",IF(N145&gt;='Scoring Model'!$B$13,"Warm","Cold")))</x:f>
        <x:v>Internal / Excluded</x:v>
      </x:c>
    </x:row>
    <x:row r="146">
      <x:c r="A146" t="n">
        <x:v>145</x:v>
      </x:c>
      <x:c r="B146" t="str">
        <x:v>Maïmouna</x:v>
      </x:c>
      <x:c r="C146" t="str">
        <x:v>Kanté</x:v>
      </x:c>
      <x:c r="D146" t="str">
        <x:v>mkante@controlunion.com</x:v>
      </x:c>
      <x:c r="E146" t="str"/>
      <x:c r="F146" t="str"/>
      <x:c r="G146" t="str">
        <x:v>No</x:v>
      </x:c>
      <x:c r="H146" t="n">
        <x:v>0</x:v>
      </x:c>
      <x:c r="I146" s="26" t="n">
        <x:v>0</x:v>
      </x:c>
      <x:c r="J146" t="n">
        <x:v>0</x:v>
      </x:c>
      <x:c r="K146" t="n">
        <x:v>0</x:v>
      </x:c>
      <x:c r="L146" t="n">
        <x:v>0</x:v>
      </x:c>
      <x:c r="M146" t="str">
        <x:v>Yes</x:v>
      </x:c>
      <x:c r="N146" s="58" t="n">
        <x:f>'Scoring Model'!$B$4+IF(G146="Yes",'Scoring Model'!$B$5,0)+MIN('Scoring Model'!$B$7,H146/'Scoring Model'!$B$6*'Scoring Model'!$B$7)+MIN('Scoring Model'!$B$8,J146*'Scoring Model'!$B$8)+MIN('Scoring Model'!$B$11,K146*'Scoring Model'!$B$9+L146*'Scoring Model'!$B$10)</x:f>
        <x:v>10</x:v>
      </x:c>
      <x:c r="O146" t="str">
        <x:f>IF(M146="Yes","Internal / Excluded",IF(N146&gt;='Scoring Model'!$B$12,"Hot",IF(N146&gt;='Scoring Model'!$B$13,"Warm","Cold")))</x:f>
        <x:v>Internal / Excluded</x:v>
      </x:c>
    </x:row>
    <x:row r="147">
      <x:c r="A147" t="n">
        <x:v>146</x:v>
      </x:c>
      <x:c r="B147" t="str">
        <x:v>Madhusha</x:v>
      </x:c>
      <x:c r="C147" t="str">
        <x:v>Liyanaarachchi</x:v>
      </x:c>
      <x:c r="D147" t="str">
        <x:v>mliyanaarachchi@onepeterson.com</x:v>
      </x:c>
      <x:c r="E147" t="str"/>
      <x:c r="F147" t="str">
        <x:v>Germany </x:v>
      </x:c>
      <x:c r="G147" t="str">
        <x:v>No</x:v>
      </x:c>
      <x:c r="H147" t="n">
        <x:v>0</x:v>
      </x:c>
      <x:c r="I147" s="26" t="n">
        <x:v>0</x:v>
      </x:c>
      <x:c r="J147" t="n">
        <x:v>0</x:v>
      </x:c>
      <x:c r="K147" t="n">
        <x:v>0</x:v>
      </x:c>
      <x:c r="L147" t="n">
        <x:v>0</x:v>
      </x:c>
      <x:c r="M147" t="str">
        <x:v>Yes</x:v>
      </x:c>
      <x:c r="N147" s="58" t="n">
        <x:f>'Scoring Model'!$B$4+IF(G147="Yes",'Scoring Model'!$B$5,0)+MIN('Scoring Model'!$B$7,H147/'Scoring Model'!$B$6*'Scoring Model'!$B$7)+MIN('Scoring Model'!$B$8,J147*'Scoring Model'!$B$8)+MIN('Scoring Model'!$B$11,K147*'Scoring Model'!$B$9+L147*'Scoring Model'!$B$10)</x:f>
        <x:v>10</x:v>
      </x:c>
      <x:c r="O147" t="str">
        <x:f>IF(M147="Yes","Internal / Excluded",IF(N147&gt;='Scoring Model'!$B$12,"Hot",IF(N147&gt;='Scoring Model'!$B$13,"Warm","Cold")))</x:f>
        <x:v>Internal / Excluded</x:v>
      </x:c>
    </x:row>
    <x:row r="148">
      <x:c r="A148" t="n">
        <x:v>147</x:v>
      </x:c>
      <x:c r="B148" t="str">
        <x:v>Raul Mateo</x:v>
      </x:c>
      <x:c r="C148" t="str">
        <x:v>Perez</x:v>
      </x:c>
      <x:c r="D148" t="str">
        <x:v>rmateo@controlunion.com</x:v>
      </x:c>
      <x:c r="E148" t="str"/>
      <x:c r="F148" t="str"/>
      <x:c r="G148" t="str">
        <x:v>No</x:v>
      </x:c>
      <x:c r="H148" t="n">
        <x:v>0</x:v>
      </x:c>
      <x:c r="I148" s="26" t="n">
        <x:v>0</x:v>
      </x:c>
      <x:c r="J148" t="n">
        <x:v>0</x:v>
      </x:c>
      <x:c r="K148" t="n">
        <x:v>0</x:v>
      </x:c>
      <x:c r="L148" t="n">
        <x:v>0</x:v>
      </x:c>
      <x:c r="M148" t="str">
        <x:v>Yes</x:v>
      </x:c>
      <x:c r="N148" s="58" t="n">
        <x:f>'Scoring Model'!$B$4+IF(G148="Yes",'Scoring Model'!$B$5,0)+MIN('Scoring Model'!$B$7,H148/'Scoring Model'!$B$6*'Scoring Model'!$B$7)+MIN('Scoring Model'!$B$8,J148*'Scoring Model'!$B$8)+MIN('Scoring Model'!$B$11,K148*'Scoring Model'!$B$9+L148*'Scoring Model'!$B$10)</x:f>
        <x:v>10</x:v>
      </x:c>
      <x:c r="O148" t="str">
        <x:f>IF(M148="Yes","Internal / Excluded",IF(N148&gt;='Scoring Model'!$B$12,"Hot",IF(N148&gt;='Scoring Model'!$B$13,"Warm","Cold")))</x:f>
        <x:v>Internal / Excluded</x:v>
      </x:c>
    </x:row>
    <x:row r="149">
      <x:c r="A149" t="n">
        <x:v>148</x:v>
      </x:c>
      <x:c r="B149" t="str">
        <x:v>Sepalika</x:v>
      </x:c>
      <x:c r="C149" t="str">
        <x:v>Thilakarathne</x:v>
      </x:c>
      <x:c r="D149" t="str">
        <x:v>sthilakarathne@controlunion.com</x:v>
      </x:c>
      <x:c r="E149" t="str">
        <x:v> CUSL</x:v>
      </x:c>
      <x:c r="F149" t="str">
        <x:v>Sri Lanka</x:v>
      </x:c>
      <x:c r="G149" t="str">
        <x:v>No</x:v>
      </x:c>
      <x:c r="H149" t="n">
        <x:v>0</x:v>
      </x:c>
      <x:c r="I149" s="26" t="n">
        <x:v>0</x:v>
      </x:c>
      <x:c r="J149" t="n">
        <x:v>0</x:v>
      </x:c>
      <x:c r="K149" t="n">
        <x:v>0</x:v>
      </x:c>
      <x:c r="L149" t="n">
        <x:v>0</x:v>
      </x:c>
      <x:c r="M149" t="str">
        <x:v>Yes</x:v>
      </x:c>
      <x:c r="N149" s="58" t="n">
        <x:f>'Scoring Model'!$B$4+IF(G149="Yes",'Scoring Model'!$B$5,0)+MIN('Scoring Model'!$B$7,H149/'Scoring Model'!$B$6*'Scoring Model'!$B$7)+MIN('Scoring Model'!$B$8,J149*'Scoring Model'!$B$8)+MIN('Scoring Model'!$B$11,K149*'Scoring Model'!$B$9+L149*'Scoring Model'!$B$10)</x:f>
        <x:v>10</x:v>
      </x:c>
      <x:c r="O149" t="str">
        <x:f>IF(M149="Yes","Internal / Excluded",IF(N149&gt;='Scoring Model'!$B$12,"Hot",IF(N149&gt;='Scoring Model'!$B$13,"Warm","Cold")))</x:f>
        <x:v>Internal / Excluded</x:v>
      </x:c>
    </x:row>
    <x:row r="150">
      <x:c r="A150" t="n">
        <x:v>149</x:v>
      </x:c>
      <x:c r="B150" t="str">
        <x:v>Florencia</x:v>
      </x:c>
      <x:c r="C150" t="str">
        <x:v>Cantú</x:v>
      </x:c>
      <x:c r="D150" t="str">
        <x:v>fcantu@controlunion.com</x:v>
      </x:c>
      <x:c r="E150" t="str">
        <x:v>Control Union</x:v>
      </x:c>
      <x:c r="F150" t="str">
        <x:v>México</x:v>
      </x:c>
      <x:c r="G150" t="str">
        <x:v>No</x:v>
      </x:c>
      <x:c r="H150" t="n">
        <x:v>0</x:v>
      </x:c>
      <x:c r="I150" s="26" t="n">
        <x:v>0</x:v>
      </x:c>
      <x:c r="J150" t="n">
        <x:v>0</x:v>
      </x:c>
      <x:c r="K150" t="n">
        <x:v>0</x:v>
      </x:c>
      <x:c r="L150" t="n">
        <x:v>0</x:v>
      </x:c>
      <x:c r="M150" t="str">
        <x:v>Yes</x:v>
      </x:c>
      <x:c r="N150" s="58" t="n">
        <x:f>'Scoring Model'!$B$4+IF(G150="Yes",'Scoring Model'!$B$5,0)+MIN('Scoring Model'!$B$7,H150/'Scoring Model'!$B$6*'Scoring Model'!$B$7)+MIN('Scoring Model'!$B$8,J150*'Scoring Model'!$B$8)+MIN('Scoring Model'!$B$11,K150*'Scoring Model'!$B$9+L150*'Scoring Model'!$B$10)</x:f>
        <x:v>10</x:v>
      </x:c>
      <x:c r="O150" t="str">
        <x:f>IF(M150="Yes","Internal / Excluded",IF(N150&gt;='Scoring Model'!$B$12,"Hot",IF(N150&gt;='Scoring Model'!$B$13,"Warm","Cold")))</x:f>
        <x:v>Internal / Excluded</x:v>
      </x:c>
    </x:row>
    <x:row r="151">
      <x:c r="A151" t="n">
        <x:v>150</x:v>
      </x:c>
      <x:c r="B151" t="str">
        <x:v>Jean Carlo</x:v>
      </x:c>
      <x:c r="C151" t="str">
        <x:v>Rivera</x:v>
      </x:c>
      <x:c r="D151" t="str">
        <x:v>jrivera@controlunion.com</x:v>
      </x:c>
      <x:c r="E151" t="str">
        <x:v>Control Union</x:v>
      </x:c>
      <x:c r="F151" t="str">
        <x:v>Perú </x:v>
      </x:c>
      <x:c r="G151" t="str">
        <x:v>No</x:v>
      </x:c>
      <x:c r="H151" t="n">
        <x:v>0</x:v>
      </x:c>
      <x:c r="I151" s="26" t="n">
        <x:v>0</x:v>
      </x:c>
      <x:c r="J151" t="n">
        <x:v>0</x:v>
      </x:c>
      <x:c r="K151" t="n">
        <x:v>0</x:v>
      </x:c>
      <x:c r="L151" t="n">
        <x:v>0</x:v>
      </x:c>
      <x:c r="M151" t="str">
        <x:v>Yes</x:v>
      </x:c>
      <x:c r="N151" s="58" t="n">
        <x:f>'Scoring Model'!$B$4+IF(G151="Yes",'Scoring Model'!$B$5,0)+MIN('Scoring Model'!$B$7,H151/'Scoring Model'!$B$6*'Scoring Model'!$B$7)+MIN('Scoring Model'!$B$8,J151*'Scoring Model'!$B$8)+MIN('Scoring Model'!$B$11,K151*'Scoring Model'!$B$9+L151*'Scoring Model'!$B$10)</x:f>
        <x:v>10</x:v>
      </x:c>
      <x:c r="O151" t="str">
        <x:f>IF(M151="Yes","Internal / Excluded",IF(N151&gt;='Scoring Model'!$B$12,"Hot",IF(N151&gt;='Scoring Model'!$B$13,"Warm","Cold")))</x:f>
        <x:v>Internal / Excluded</x:v>
      </x:c>
    </x:row>
    <x:row r="152">
      <x:c r="A152" t="n">
        <x:v>151</x:v>
      </x:c>
      <x:c r="B152" t="str">
        <x:v>Leticia</x:v>
      </x:c>
      <x:c r="C152" t="str">
        <x:v>Hernández</x:v>
      </x:c>
      <x:c r="D152" t="str">
        <x:v>leticia.hernandez@controlunion.com</x:v>
      </x:c>
      <x:c r="E152" t="str">
        <x:v>CONTROL UNION</x:v>
      </x:c>
      <x:c r="F152" t="str">
        <x:v>España</x:v>
      </x:c>
      <x:c r="G152" t="str">
        <x:v>No</x:v>
      </x:c>
      <x:c r="H152" t="n">
        <x:v>0</x:v>
      </x:c>
      <x:c r="I152" s="26" t="n">
        <x:v>0</x:v>
      </x:c>
      <x:c r="J152" t="n">
        <x:v>0</x:v>
      </x:c>
      <x:c r="K152" t="n">
        <x:v>0</x:v>
      </x:c>
      <x:c r="L152" t="n">
        <x:v>0</x:v>
      </x:c>
      <x:c r="M152" t="str">
        <x:v>Yes</x:v>
      </x:c>
      <x:c r="N152" s="58" t="n">
        <x:f>'Scoring Model'!$B$4+IF(G152="Yes",'Scoring Model'!$B$5,0)+MIN('Scoring Model'!$B$7,H152/'Scoring Model'!$B$6*'Scoring Model'!$B$7)+MIN('Scoring Model'!$B$8,J152*'Scoring Model'!$B$8)+MIN('Scoring Model'!$B$11,K152*'Scoring Model'!$B$9+L152*'Scoring Model'!$B$10)</x:f>
        <x:v>10</x:v>
      </x:c>
      <x:c r="O152" t="str">
        <x:f>IF(M152="Yes","Internal / Excluded",IF(N152&gt;='Scoring Model'!$B$12,"Hot",IF(N152&gt;='Scoring Model'!$B$13,"Warm","Cold")))</x:f>
        <x:v>Internal / Excluded</x:v>
      </x:c>
    </x:row>
    <x:row r="153">
      <x:c r="A153" t="n">
        <x:v>152</x:v>
      </x:c>
      <x:c r="B153" t="str">
        <x:v>Lotte</x:v>
      </x:c>
      <x:c r="C153" t="str">
        <x:v>Gulpers</x:v>
      </x:c>
      <x:c r="D153" t="str">
        <x:v>lgulpers@controlunion.com</x:v>
      </x:c>
      <x:c r="E153" t="str">
        <x:v>Control Union</x:v>
      </x:c>
      <x:c r="F153" t="str">
        <x:v>Netherlands</x:v>
      </x:c>
      <x:c r="G153" t="str">
        <x:v>No</x:v>
      </x:c>
      <x:c r="H153" t="n">
        <x:v>0</x:v>
      </x:c>
      <x:c r="I153" s="26" t="n">
        <x:v>0</x:v>
      </x:c>
      <x:c r="J153" t="n">
        <x:v>0</x:v>
      </x:c>
      <x:c r="K153" t="n">
        <x:v>0</x:v>
      </x:c>
      <x:c r="L153" t="n">
        <x:v>0</x:v>
      </x:c>
      <x:c r="M153" t="str">
        <x:v>Yes</x:v>
      </x:c>
      <x:c r="N153" s="58" t="n">
        <x:f>'Scoring Model'!$B$4+IF(G153="Yes",'Scoring Model'!$B$5,0)+MIN('Scoring Model'!$B$7,H153/'Scoring Model'!$B$6*'Scoring Model'!$B$7)+MIN('Scoring Model'!$B$8,J153*'Scoring Model'!$B$8)+MIN('Scoring Model'!$B$11,K153*'Scoring Model'!$B$9+L153*'Scoring Model'!$B$10)</x:f>
        <x:v>10</x:v>
      </x:c>
      <x:c r="O153" t="str">
        <x:f>IF(M153="Yes","Internal / Excluded",IF(N153&gt;='Scoring Model'!$B$12,"Hot",IF(N153&gt;='Scoring Model'!$B$13,"Warm","Cold")))</x:f>
        <x:v>Internal / Excluded</x:v>
      </x:c>
    </x:row>
    <x:row r="154">
      <x:c r="A154" t="n">
        <x:v>153</x:v>
      </x:c>
      <x:c r="B154" t="str">
        <x:v>Zdravka</x:v>
      </x:c>
      <x:c r="C154" t="str">
        <x:v>Tsvyatkova</x:v>
      </x:c>
      <x:c r="D154" t="str">
        <x:v>ztsvyatkova@controlunion.com</x:v>
      </x:c>
      <x:c r="E154" t="str">
        <x:v>Control Union Bulgaria</x:v>
      </x:c>
      <x:c r="F154" t="str">
        <x:v>Bulgaria</x:v>
      </x:c>
      <x:c r="G154" t="str">
        <x:v>No</x:v>
      </x:c>
      <x:c r="H154" t="n">
        <x:v>0</x:v>
      </x:c>
      <x:c r="I154" s="26" t="n">
        <x:v>0</x:v>
      </x:c>
      <x:c r="J154" t="n">
        <x:v>0</x:v>
      </x:c>
      <x:c r="K154" t="n">
        <x:v>0</x:v>
      </x:c>
      <x:c r="L154" t="n">
        <x:v>0</x:v>
      </x:c>
      <x:c r="M154" t="str">
        <x:v>Yes</x:v>
      </x:c>
      <x:c r="N154" s="58" t="n">
        <x:f>'Scoring Model'!$B$4+IF(G154="Yes",'Scoring Model'!$B$5,0)+MIN('Scoring Model'!$B$7,H154/'Scoring Model'!$B$6*'Scoring Model'!$B$7)+MIN('Scoring Model'!$B$8,J154*'Scoring Model'!$B$8)+MIN('Scoring Model'!$B$11,K154*'Scoring Model'!$B$9+L154*'Scoring Model'!$B$10)</x:f>
        <x:v>10</x:v>
      </x:c>
      <x:c r="O154" t="str">
        <x:f>IF(M154="Yes","Internal / Excluded",IF(N154&gt;='Scoring Model'!$B$12,"Hot",IF(N154&gt;='Scoring Model'!$B$13,"Warm","Cold")))</x:f>
        <x:v>Internal / Excluded</x:v>
      </x:c>
    </x:row>
    <x:row r="155">
      <x:c r="A155" t="n">
        <x:v>154</x:v>
      </x:c>
      <x:c r="B155" t="str">
        <x:v>Pepa</x:v>
      </x:c>
      <x:c r="C155" t="str">
        <x:v>Dimova Gocheva</x:v>
      </x:c>
      <x:c r="D155" t="str">
        <x:v>pgocheva@controlunion.com</x:v>
      </x:c>
      <x:c r="E155" t="str">
        <x:v>Control Union Bulgaria Ltd</x:v>
      </x:c>
      <x:c r="F155" t="str">
        <x:v>Bulgaria</x:v>
      </x:c>
      <x:c r="G155" t="str">
        <x:v>No</x:v>
      </x:c>
      <x:c r="H155" t="n">
        <x:v>0</x:v>
      </x:c>
      <x:c r="I155" s="26" t="n">
        <x:v>0</x:v>
      </x:c>
      <x:c r="J155" t="n">
        <x:v>0</x:v>
      </x:c>
      <x:c r="K155" t="n">
        <x:v>0</x:v>
      </x:c>
      <x:c r="L155" t="n">
        <x:v>0</x:v>
      </x:c>
      <x:c r="M155" t="str">
        <x:v>Yes</x:v>
      </x:c>
      <x:c r="N155" s="58" t="n">
        <x:f>'Scoring Model'!$B$4+IF(G155="Yes",'Scoring Model'!$B$5,0)+MIN('Scoring Model'!$B$7,H155/'Scoring Model'!$B$6*'Scoring Model'!$B$7)+MIN('Scoring Model'!$B$8,J155*'Scoring Model'!$B$8)+MIN('Scoring Model'!$B$11,K155*'Scoring Model'!$B$9+L155*'Scoring Model'!$B$10)</x:f>
        <x:v>10</x:v>
      </x:c>
      <x:c r="O155" t="str">
        <x:f>IF(M155="Yes","Internal / Excluded",IF(N155&gt;='Scoring Model'!$B$12,"Hot",IF(N155&gt;='Scoring Model'!$B$13,"Warm","Cold")))</x:f>
        <x:v>Internal / Excluded</x:v>
      </x:c>
    </x:row>
    <x:row r="156">
      <x:c r="A156" t="n">
        <x:v>155</x:v>
      </x:c>
      <x:c r="B156" t="str">
        <x:v>Ольга</x:v>
      </x:c>
      <x:c r="C156" t="str">
        <x:v>Бирюкова</x:v>
      </x:c>
      <x:c r="D156" t="str">
        <x:v>bestennya@gmail.com</x:v>
      </x:c>
      <x:c r="E156" t="str">
        <x:v>Control Union Certifications Ukraine</x:v>
      </x:c>
      <x:c r="F156" t="str">
        <x:v>Украина</x:v>
      </x:c>
      <x:c r="G156" t="str">
        <x:v>No</x:v>
      </x:c>
      <x:c r="H156" t="n">
        <x:v>0</x:v>
      </x:c>
      <x:c r="I156" s="26" t="n">
        <x:v>0</x:v>
      </x:c>
      <x:c r="J156" t="n">
        <x:v>0</x:v>
      </x:c>
      <x:c r="K156" t="n">
        <x:v>0</x:v>
      </x:c>
      <x:c r="L156" t="n">
        <x:v>0</x:v>
      </x:c>
      <x:c r="M156" t="str">
        <x:v>Yes</x:v>
      </x:c>
      <x:c r="N156" s="58" t="n">
        <x:f>'Scoring Model'!$B$4+IF(G156="Yes",'Scoring Model'!$B$5,0)+MIN('Scoring Model'!$B$7,H156/'Scoring Model'!$B$6*'Scoring Model'!$B$7)+MIN('Scoring Model'!$B$8,J156*'Scoring Model'!$B$8)+MIN('Scoring Model'!$B$11,K156*'Scoring Model'!$B$9+L156*'Scoring Model'!$B$10)</x:f>
        <x:v>10</x:v>
      </x:c>
      <x:c r="O156" t="str">
        <x:f>IF(M156="Yes","Internal / Excluded",IF(N156&gt;='Scoring Model'!$B$12,"Hot",IF(N156&gt;='Scoring Model'!$B$13,"Warm","Cold")))</x:f>
        <x:v>Internal / Excluded</x:v>
      </x:c>
    </x:row>
    <x:row r="157">
      <x:c r="A157" t="n">
        <x:v>156</x:v>
      </x:c>
      <x:c r="B157" t="str">
        <x:v>Vishal</x:v>
      </x:c>
      <x:c r="C157" t="str">
        <x:v>Borate</x:v>
      </x:c>
      <x:c r="D157" t="str">
        <x:v>vborate@controlunion.com</x:v>
      </x:c>
      <x:c r="E157" t="str">
        <x:v>Control Union India</x:v>
      </x:c>
      <x:c r="F157" t="str">
        <x:v>India</x:v>
      </x:c>
      <x:c r="G157" t="str">
        <x:v>No</x:v>
      </x:c>
      <x:c r="H157" t="n">
        <x:v>0</x:v>
      </x:c>
      <x:c r="I157" s="26" t="n">
        <x:v>0</x:v>
      </x:c>
      <x:c r="J157" t="n">
        <x:v>0</x:v>
      </x:c>
      <x:c r="K157" t="n">
        <x:v>0</x:v>
      </x:c>
      <x:c r="L157" t="n">
        <x:v>0</x:v>
      </x:c>
      <x:c r="M157" t="str">
        <x:v>Yes</x:v>
      </x:c>
      <x:c r="N157" s="58" t="n">
        <x:f>'Scoring Model'!$B$4+IF(G157="Yes",'Scoring Model'!$B$5,0)+MIN('Scoring Model'!$B$7,H157/'Scoring Model'!$B$6*'Scoring Model'!$B$7)+MIN('Scoring Model'!$B$8,J157*'Scoring Model'!$B$8)+MIN('Scoring Model'!$B$11,K157*'Scoring Model'!$B$9+L157*'Scoring Model'!$B$10)</x:f>
        <x:v>10</x:v>
      </x:c>
      <x:c r="O157" t="str">
        <x:f>IF(M157="Yes","Internal / Excluded",IF(N157&gt;='Scoring Model'!$B$12,"Hot",IF(N157&gt;='Scoring Model'!$B$13,"Warm","Cold")))</x:f>
        <x:v>Internal / Excluded</x:v>
      </x:c>
    </x:row>
    <x:row r="158">
      <x:c r="A158" t="n">
        <x:v>157</x:v>
      </x:c>
      <x:c r="B158" t="str">
        <x:v>Umesha</x:v>
      </x:c>
      <x:c r="C158" t="str">
        <x:v>Maddumaarachchi</x:v>
      </x:c>
      <x:c r="D158" t="str">
        <x:v>umaddumaarachchi@controlunion.com</x:v>
      </x:c>
      <x:c r="E158" t="str">
        <x:v>Control Union Inspections Pvt. Ltd.</x:v>
      </x:c>
      <x:c r="F158" t="str">
        <x:v>Sri Lanka</x:v>
      </x:c>
      <x:c r="G158" t="str">
        <x:v>No</x:v>
      </x:c>
      <x:c r="H158" t="n">
        <x:v>0</x:v>
      </x:c>
      <x:c r="I158" s="26" t="n">
        <x:v>0</x:v>
      </x:c>
      <x:c r="J158" t="n">
        <x:v>0</x:v>
      </x:c>
      <x:c r="K158" t="n">
        <x:v>0</x:v>
      </x:c>
      <x:c r="L158" t="n">
        <x:v>0</x:v>
      </x:c>
      <x:c r="M158" t="str">
        <x:v>Yes</x:v>
      </x:c>
      <x:c r="N158" s="58" t="n">
        <x:f>'Scoring Model'!$B$4+IF(G158="Yes",'Scoring Model'!$B$5,0)+MIN('Scoring Model'!$B$7,H158/'Scoring Model'!$B$6*'Scoring Model'!$B$7)+MIN('Scoring Model'!$B$8,J158*'Scoring Model'!$B$8)+MIN('Scoring Model'!$B$11,K158*'Scoring Model'!$B$9+L158*'Scoring Model'!$B$10)</x:f>
        <x:v>10</x:v>
      </x:c>
      <x:c r="O158" t="str">
        <x:f>IF(M158="Yes","Internal / Excluded",IF(N158&gt;='Scoring Model'!$B$12,"Hot",IF(N158&gt;='Scoring Model'!$B$13,"Warm","Cold")))</x:f>
        <x:v>Internal / Excluded</x:v>
      </x:c>
    </x:row>
    <x:row r="159">
      <x:c r="A159" t="n">
        <x:v>158</x:v>
      </x:c>
      <x:c r="B159" t="str">
        <x:v>Muhammad Usman</x:v>
      </x:c>
      <x:c r="C159" t="str">
        <x:v>Ghani</x:v>
      </x:c>
      <x:c r="D159" t="str">
        <x:v>mghani@controlunion.com</x:v>
      </x:c>
      <x:c r="E159" t="str">
        <x:v>Control Union Pakistan Pvt Ltd</x:v>
      </x:c>
      <x:c r="F159" t="str">
        <x:v>Pakistan</x:v>
      </x:c>
      <x:c r="G159" t="str">
        <x:v>No</x:v>
      </x:c>
      <x:c r="H159" t="n">
        <x:v>0</x:v>
      </x:c>
      <x:c r="I159" s="26" t="n">
        <x:v>0</x:v>
      </x:c>
      <x:c r="J159" t="n">
        <x:v>0</x:v>
      </x:c>
      <x:c r="K159" t="n">
        <x:v>0</x:v>
      </x:c>
      <x:c r="L159" t="n">
        <x:v>0</x:v>
      </x:c>
      <x:c r="M159" t="str">
        <x:v>Yes</x:v>
      </x:c>
      <x:c r="N159" s="58" t="n">
        <x:f>'Scoring Model'!$B$4+IF(G159="Yes",'Scoring Model'!$B$5,0)+MIN('Scoring Model'!$B$7,H159/'Scoring Model'!$B$6*'Scoring Model'!$B$7)+MIN('Scoring Model'!$B$8,J159*'Scoring Model'!$B$8)+MIN('Scoring Model'!$B$11,K159*'Scoring Model'!$B$9+L159*'Scoring Model'!$B$10)</x:f>
        <x:v>10</x:v>
      </x:c>
      <x:c r="O159" t="str">
        <x:f>IF(M159="Yes","Internal / Excluded",IF(N159&gt;='Scoring Model'!$B$12,"Hot",IF(N159&gt;='Scoring Model'!$B$13,"Warm","Cold")))</x:f>
        <x:v>Internal / Excluded</x:v>
      </x:c>
    </x:row>
    <x:row r="160">
      <x:c r="A160" t="n">
        <x:v>159</x:v>
      </x:c>
      <x:c r="B160" t="str">
        <x:v>Sabahat</x:v>
      </x:c>
      <x:c r="C160" t="str">
        <x:v>Maqbool</x:v>
      </x:c>
      <x:c r="D160" t="str">
        <x:v>sabahatmaqbool394@gmail.com</x:v>
      </x:c>
      <x:c r="E160" t="str">
        <x:v>Control union Pakistan pvt ltd </x:v>
      </x:c>
      <x:c r="F160" t="str">
        <x:v>Pakistan</x:v>
      </x:c>
      <x:c r="G160" t="str">
        <x:v>No</x:v>
      </x:c>
      <x:c r="H160" t="n">
        <x:v>0</x:v>
      </x:c>
      <x:c r="I160" s="26" t="n">
        <x:v>0</x:v>
      </x:c>
      <x:c r="J160" t="n">
        <x:v>0</x:v>
      </x:c>
      <x:c r="K160" t="n">
        <x:v>0</x:v>
      </x:c>
      <x:c r="L160" t="n">
        <x:v>0</x:v>
      </x:c>
      <x:c r="M160" t="str">
        <x:v>Yes</x:v>
      </x:c>
      <x:c r="N160" s="58" t="n">
        <x:f>'Scoring Model'!$B$4+IF(G160="Yes",'Scoring Model'!$B$5,0)+MIN('Scoring Model'!$B$7,H160/'Scoring Model'!$B$6*'Scoring Model'!$B$7)+MIN('Scoring Model'!$B$8,J160*'Scoring Model'!$B$8)+MIN('Scoring Model'!$B$11,K160*'Scoring Model'!$B$9+L160*'Scoring Model'!$B$10)</x:f>
        <x:v>10</x:v>
      </x:c>
      <x:c r="O160" t="str">
        <x:f>IF(M160="Yes","Internal / Excluded",IF(N160&gt;='Scoring Model'!$B$12,"Hot",IF(N160&gt;='Scoring Model'!$B$13,"Warm","Cold")))</x:f>
        <x:v>Internal / Excluded</x:v>
      </x:c>
    </x:row>
    <x:row r="161">
      <x:c r="A161" t="n">
        <x:v>160</x:v>
      </x:c>
      <x:c r="B161" t="str">
        <x:v>Dananja</x:v>
      </x:c>
      <x:c r="C161" t="str">
        <x:v>Kumarasinghe</x:v>
      </x:c>
      <x:c r="D161" t="str">
        <x:v>kumarasinghedananja99@gmail.com</x:v>
      </x:c>
      <x:c r="E161" t="str">
        <x:v>Control Union Pvt Ltd, Sri Lanka</x:v>
      </x:c>
      <x:c r="F161" t="str">
        <x:v>Sri Lanka</x:v>
      </x:c>
      <x:c r="G161" t="str">
        <x:v>No</x:v>
      </x:c>
      <x:c r="H161" t="n">
        <x:v>0</x:v>
      </x:c>
      <x:c r="I161" s="26" t="n">
        <x:v>0</x:v>
      </x:c>
      <x:c r="J161" t="n">
        <x:v>0</x:v>
      </x:c>
      <x:c r="K161" t="n">
        <x:v>0</x:v>
      </x:c>
      <x:c r="L161" t="n">
        <x:v>0</x:v>
      </x:c>
      <x:c r="M161" t="str">
        <x:v>Yes</x:v>
      </x:c>
      <x:c r="N161" s="58" t="n">
        <x:f>'Scoring Model'!$B$4+IF(G161="Yes",'Scoring Model'!$B$5,0)+MIN('Scoring Model'!$B$7,H161/'Scoring Model'!$B$6*'Scoring Model'!$B$7)+MIN('Scoring Model'!$B$8,J161*'Scoring Model'!$B$8)+MIN('Scoring Model'!$B$11,K161*'Scoring Model'!$B$9+L161*'Scoring Model'!$B$10)</x:f>
        <x:v>10</x:v>
      </x:c>
      <x:c r="O161" t="str">
        <x:f>IF(M161="Yes","Internal / Excluded",IF(N161&gt;='Scoring Model'!$B$12,"Hot",IF(N161&gt;='Scoring Model'!$B$13,"Warm","Cold")))</x:f>
        <x:v>Internal / Excluded</x:v>
      </x:c>
    </x:row>
    <x:row r="162">
      <x:c r="A162" t="n">
        <x:v>161</x:v>
      </x:c>
      <x:c r="B162" t="str">
        <x:v>Yahya</x:v>
      </x:c>
      <x:c r="C162" t="str">
        <x:v>Chohan</x:v>
      </x:c>
      <x:c r="D162" t="str">
        <x:v>myahya@controlunion.com</x:v>
      </x:c>
      <x:c r="E162" t="str">
        <x:v>CU</x:v>
      </x:c>
      <x:c r="F162" t="str">
        <x:v>Pakistan</x:v>
      </x:c>
      <x:c r="G162" t="str">
        <x:v>No</x:v>
      </x:c>
      <x:c r="H162" t="n">
        <x:v>0</x:v>
      </x:c>
      <x:c r="I162" s="26" t="n">
        <x:v>0</x:v>
      </x:c>
      <x:c r="J162" t="n">
        <x:v>0</x:v>
      </x:c>
      <x:c r="K162" t="n">
        <x:v>0</x:v>
      </x:c>
      <x:c r="L162" t="n">
        <x:v>0</x:v>
      </x:c>
      <x:c r="M162" t="str">
        <x:v>Yes</x:v>
      </x:c>
      <x:c r="N162" s="58" t="n">
        <x:f>'Scoring Model'!$B$4+IF(G162="Yes",'Scoring Model'!$B$5,0)+MIN('Scoring Model'!$B$7,H162/'Scoring Model'!$B$6*'Scoring Model'!$B$7)+MIN('Scoring Model'!$B$8,J162*'Scoring Model'!$B$8)+MIN('Scoring Model'!$B$11,K162*'Scoring Model'!$B$9+L162*'Scoring Model'!$B$10)</x:f>
        <x:v>10</x:v>
      </x:c>
      <x:c r="O162" t="str">
        <x:f>IF(M162="Yes","Internal / Excluded",IF(N162&gt;='Scoring Model'!$B$12,"Hot",IF(N162&gt;='Scoring Model'!$B$13,"Warm","Cold")))</x:f>
        <x:v>Internal / Excluded</x:v>
      </x:c>
    </x:row>
    <x:row r="163">
      <x:c r="A163" t="n">
        <x:v>162</x:v>
      </x:c>
      <x:c r="B163" t="str">
        <x:v>Venkatesh</x:v>
      </x:c>
      <x:c r="C163" t="str">
        <x:v>Mutyala</x:v>
      </x:c>
      <x:c r="D163" t="str">
        <x:v>venkateshm@controlunion.com</x:v>
      </x:c>
      <x:c r="E163" t="str">
        <x:v>CU</x:v>
      </x:c>
      <x:c r="F163" t="str">
        <x:v>India</x:v>
      </x:c>
      <x:c r="G163" t="str">
        <x:v>No</x:v>
      </x:c>
      <x:c r="H163" t="n">
        <x:v>0</x:v>
      </x:c>
      <x:c r="I163" s="26" t="n">
        <x:v>0</x:v>
      </x:c>
      <x:c r="J163" t="n">
        <x:v>0</x:v>
      </x:c>
      <x:c r="K163" t="n">
        <x:v>0</x:v>
      </x:c>
      <x:c r="L163" t="n">
        <x:v>0</x:v>
      </x:c>
      <x:c r="M163" t="str">
        <x:v>Yes</x:v>
      </x:c>
      <x:c r="N163" s="58" t="n">
        <x:f>'Scoring Model'!$B$4+IF(G163="Yes",'Scoring Model'!$B$5,0)+MIN('Scoring Model'!$B$7,H163/'Scoring Model'!$B$6*'Scoring Model'!$B$7)+MIN('Scoring Model'!$B$8,J163*'Scoring Model'!$B$8)+MIN('Scoring Model'!$B$11,K163*'Scoring Model'!$B$9+L163*'Scoring Model'!$B$10)</x:f>
        <x:v>10</x:v>
      </x:c>
      <x:c r="O163" t="str">
        <x:f>IF(M163="Yes","Internal / Excluded",IF(N163&gt;='Scoring Model'!$B$12,"Hot",IF(N163&gt;='Scoring Model'!$B$13,"Warm","Cold")))</x:f>
        <x:v>Internal / Excluded</x:v>
      </x:c>
    </x:row>
    <x:row r="164">
      <x:c r="A164" t="n">
        <x:v>163</x:v>
      </x:c>
      <x:c r="B164" t="str">
        <x:v>Gayantha</x:v>
      </x:c>
      <x:c r="C164" t="str">
        <x:v>Jayasuriya</x:v>
      </x:c>
      <x:c r="D164" t="str">
        <x:v>gjayasuriya@onepeterson.com</x:v>
      </x:c>
      <x:c r="E164" t="str">
        <x:v>Peterson Solutions </x:v>
      </x:c>
      <x:c r="F164" t="str">
        <x:v>Sri Lanka</x:v>
      </x:c>
      <x:c r="G164" t="str">
        <x:v>No</x:v>
      </x:c>
      <x:c r="H164" t="n">
        <x:v>0</x:v>
      </x:c>
      <x:c r="I164" s="26" t="n">
        <x:v>0</x:v>
      </x:c>
      <x:c r="J164" t="n">
        <x:v>0</x:v>
      </x:c>
      <x:c r="K164" t="n">
        <x:v>0</x:v>
      </x:c>
      <x:c r="L164" t="n">
        <x:v>0</x:v>
      </x:c>
      <x:c r="M164" t="str">
        <x:v>Yes</x:v>
      </x:c>
      <x:c r="N164" s="58" t="n">
        <x:f>'Scoring Model'!$B$4+IF(G164="Yes",'Scoring Model'!$B$5,0)+MIN('Scoring Model'!$B$7,H164/'Scoring Model'!$B$6*'Scoring Model'!$B$7)+MIN('Scoring Model'!$B$8,J164*'Scoring Model'!$B$8)+MIN('Scoring Model'!$B$11,K164*'Scoring Model'!$B$9+L164*'Scoring Model'!$B$10)</x:f>
        <x:v>10</x:v>
      </x:c>
      <x:c r="O164" t="str">
        <x:f>IF(M164="Yes","Internal / Excluded",IF(N164&gt;='Scoring Model'!$B$12,"Hot",IF(N164&gt;='Scoring Model'!$B$13,"Warm","Cold")))</x:f>
        <x:v>Internal / Excluded</x:v>
      </x:c>
    </x:row>
  </x:sheetData>
  <x:conditionalFormatting sqref="N2:N16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{DDAE394B-17BD-4976-5492-6B80AF2ED20A}</x14:id>
        </x:ext>
      </x:extLst>
    </x:cfRule>
  </x:conditionalFormatting>
  <x:conditionalFormatting sqref="O2:O164">
    <x:cfRule type="expression" dxfId="0" priority="2">
      <x:formula>O2="Hot"</x:formula>
    </x:cfRule>
    <x:cfRule type="expression" dxfId="1" priority="3">
      <x:formula>O2="Warm"</x:formula>
    </x:cfRule>
    <x:cfRule type="expression" dxfId="2" priority="4">
      <x:formula>O2="Cold"</x:formula>
    </x:cfRule>
    <x:cfRule type="expression" dxfId="3" priority="5">
      <x:formula>O2="Internal / Excluded"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482d623f7e489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DAE394B-17BD-4976-5492-6B80AF2ED20A}">
            <x14:dataBar gradient="1">
              <x14:cfvo type="min"/>
              <x14:cfvo type="max"/>
              <x14:fillColor rgb="FFA02B93"/>
            </x14:dataBar>
          </x14:cfRule>
          <xm:sqref>N2:N164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4" t="str">
        <x:v>Nombre de registro</x:v>
      </x:c>
      <x:c r="B1" s="24" t="str">
        <x:v>Apellidos de registro</x:v>
      </x:c>
      <x:c r="C1" s="24" t="str">
        <x:v>Correo electrónico de registro</x:v>
      </x:c>
      <x:c r="D1" s="24" t="str">
        <x:v>Hora de registro</x:v>
      </x:c>
      <x:c r="E1" s="24" t="str">
        <x:v>Estado del registro</x:v>
      </x:c>
      <x:c r="F1" s="24" t="str">
        <x:v>País o región</x:v>
      </x:c>
      <x:c r="G1" s="24" t="str">
        <x:v>Organización</x:v>
      </x:c>
    </x:row>
    <x:row r="2">
      <x:c r="A2" t="str">
        <x:v>Manuel</x:v>
      </x:c>
      <x:c r="B2" t="str">
        <x:v>Nochez</x:v>
      </x:c>
      <x:c r="C2" t="str">
        <x:v>mnochez@flexpack.consulting</x:v>
      </x:c>
      <x:c r="D2" t="str">
        <x:v>8/13/26, 12:25:45 PM</x:v>
      </x:c>
      <x:c r="E2" t="str">
        <x:v>Registrado</x:v>
      </x:c>
      <x:c r="F2" t="str">
        <x:v>El Salvador</x:v>
      </x:c>
      <x:c r="G2" t="str">
        <x:v>Flexpack &amp; Consulting</x:v>
      </x:c>
    </x:row>
    <x:row r="3">
      <x:c r="A3" t="str">
        <x:v>Darlin</x:v>
      </x:c>
      <x:c r="B3" t="str">
        <x:v>Mejia</x:v>
      </x:c>
      <x:c r="C3" t="str">
        <x:v>dcmejia@hotmail.com</x:v>
      </x:c>
      <x:c r="D3" t="str">
        <x:v>8/13/26, 4:54:44 PM</x:v>
      </x:c>
      <x:c r="E3" t="str">
        <x:v>Registrado</x:v>
      </x:c>
      <x:c r="F3" t="str">
        <x:v>Guatemala</x:v>
      </x:c>
      <x:c r="G3" t="str">
        <x:v>Pantaleon S.A. </x:v>
      </x:c>
    </x:row>
    <x:row r="4">
      <x:c r="A4" t="str">
        <x:v>Dániel</x:v>
      </x:c>
      <x:c r="B4" t="str">
        <x:v>Surányi</x:v>
      </x:c>
      <x:c r="C4" t="str">
        <x:v>dsuranyi@controlunion.com</x:v>
      </x:c>
      <x:c r="D4" t="str">
        <x:v>8/14/26, 5:34:09 AM</x:v>
      </x:c>
      <x:c r="E4" t="str">
        <x:v>Registrado</x:v>
      </x:c>
      <x:c r="F4" t="str">
        <x:v>Hungary</x:v>
      </x:c>
      <x:c r="G4" t="str">
        <x:v>Control Union</x:v>
      </x:c>
    </x:row>
    <x:row r="5">
      <x:c r="A5" t="str">
        <x:v>Laura</x:v>
      </x:c>
      <x:c r="B5" t="str">
        <x:v>Karpati</x:v>
      </x:c>
      <x:c r="C5" t="str">
        <x:v>lkarpati@controlunion.com</x:v>
      </x:c>
      <x:c r="D5" t="str">
        <x:v>8/14/26, 5:47:37 AM</x:v>
      </x:c>
      <x:c r="E5" t="str">
        <x:v>Registrado</x:v>
      </x:c>
      <x:c r="F5" t="str"/>
      <x:c r="G5" t="str">
        <x:v>Control Union</x:v>
      </x:c>
    </x:row>
    <x:row r="6">
      <x:c r="A6" t="str">
        <x:v>Beatrice</x:v>
      </x:c>
      <x:c r="B6" t="str">
        <x:v>Koci</x:v>
      </x:c>
      <x:c r="C6" t="str">
        <x:v>beatrice.koci@plasticsrecyclers.eu</x:v>
      </x:c>
      <x:c r="D6" t="str">
        <x:v>8/14/26, 6:44:26 AM</x:v>
      </x:c>
      <x:c r="E6" t="str">
        <x:v>Registrado</x:v>
      </x:c>
      <x:c r="F6" t="str">
        <x:v>Belgium</x:v>
      </x:c>
      <x:c r="G6" t="str">
        <x:v>Plastics Recyclers Europe</x:v>
      </x:c>
    </x:row>
    <x:row r="7">
      <x:c r="A7" t="str">
        <x:v>Zdravka</x:v>
      </x:c>
      <x:c r="B7" t="str">
        <x:v>Tsvyatkova</x:v>
      </x:c>
      <x:c r="C7" t="str">
        <x:v>ztsvyatkova@controlunion.com</x:v>
      </x:c>
      <x:c r="D7" t="str">
        <x:v>8/14/26, 7:17:09 AM</x:v>
      </x:c>
      <x:c r="E7" t="str">
        <x:v>Registrado</x:v>
      </x:c>
      <x:c r="F7" t="str">
        <x:v>Bulgaria</x:v>
      </x:c>
      <x:c r="G7" t="str">
        <x:v>Control Union Bulgaria</x:v>
      </x:c>
    </x:row>
    <x:row r="8">
      <x:c r="A8" t="str">
        <x:v>Dragana</x:v>
      </x:c>
      <x:c r="B8" t="str">
        <x:v>Radenkovic</x:v>
      </x:c>
      <x:c r="C8" t="str">
        <x:v>dradenkovic@controlunion.com</x:v>
      </x:c>
      <x:c r="D8" t="str">
        <x:v>8/14/26, 7:58:28 AM</x:v>
      </x:c>
      <x:c r="E8" t="str">
        <x:v>Registrado</x:v>
      </x:c>
      <x:c r="F8" t="str">
        <x:v>Serbia</x:v>
      </x:c>
      <x:c r="G8" t="str">
        <x:v>Control Union Danube</x:v>
      </x:c>
    </x:row>
    <x:row r="9">
      <x:c r="A9" t="str">
        <x:v>Gyorgyi</x:v>
      </x:c>
      <x:c r="B9" t="str">
        <x:v>Acs</x:v>
      </x:c>
      <x:c r="C9" t="str">
        <x:v>gacs@controlunion.com</x:v>
      </x:c>
      <x:c r="D9" t="str">
        <x:v>8/14/26, 8:03:41 AM</x:v>
      </x:c>
      <x:c r="E9" t="str">
        <x:v>Registrado</x:v>
      </x:c>
      <x:c r="F9" t="str">
        <x:v>Hungary</x:v>
      </x:c>
      <x:c r="G9" t="str">
        <x:v>Control Union Hungária Kft.</x:v>
      </x:c>
    </x:row>
    <x:row r="10">
      <x:c r="A10" t="str">
        <x:v>Michiel</x:v>
      </x:c>
      <x:c r="B10" t="str">
        <x:v>Kokken</x:v>
      </x:c>
      <x:c r="C10" t="str">
        <x:v>michiel.kokken@ofi.com</x:v>
      </x:c>
      <x:c r="D10" t="str">
        <x:v>8/17/26, 6:09:20 AM</x:v>
      </x:c>
      <x:c r="E10" t="str">
        <x:v>Registrado</x:v>
      </x:c>
      <x:c r="F10" t="str">
        <x:v>Netherlands</x:v>
      </x:c>
      <x:c r="G10" t="str">
        <x:v>Olam Cocoa BV</x:v>
      </x:c>
    </x:row>
    <x:row r="11">
      <x:c r="A11" t="str">
        <x:v>Vitalij</x:v>
      </x:c>
      <x:c r="B11" t="str">
        <x:v>Salikov</x:v>
      </x:c>
      <x:c r="C11" t="str">
        <x:v>salikov@matterr.de</x:v>
      </x:c>
      <x:c r="D11" t="str">
        <x:v>8/17/26, 6:13:45 AM</x:v>
      </x:c>
      <x:c r="E11" t="str">
        <x:v>Registrado</x:v>
      </x:c>
      <x:c r="F11" t="str">
        <x:v>Germany</x:v>
      </x:c>
      <x:c r="G11" t="str"/>
    </x:row>
    <x:row r="12">
      <x:c r="A12" t="str">
        <x:v>Linda</x:v>
      </x:c>
      <x:c r="B12" t="str">
        <x:v>Gustafssson</x:v>
      </x:c>
      <x:c r="C12" t="str">
        <x:v>linda.gustafsson@toteme.com</x:v>
      </x:c>
      <x:c r="D12" t="str">
        <x:v>8/17/26, 6:15:56 AM</x:v>
      </x:c>
      <x:c r="E12" t="str">
        <x:v>Registrado</x:v>
      </x:c>
      <x:c r="F12" t="str">
        <x:v>Sweden</x:v>
      </x:c>
      <x:c r="G12" t="str">
        <x:v>TOTEME AB</x:v>
      </x:c>
    </x:row>
    <x:row r="13">
      <x:c r="A13" t="str">
        <x:v>Brecht</x:v>
      </x:c>
      <x:c r="B13" t="str">
        <x:v>Deschuymer</x:v>
      </x:c>
      <x:c r="C13" t="str">
        <x:v>brecht.deschuymer@baltagroup.com</x:v>
      </x:c>
      <x:c r="D13" t="str">
        <x:v>8/17/26, 8:52:07 AM</x:v>
      </x:c>
      <x:c r="E13" t="str">
        <x:v>Registrado</x:v>
      </x:c>
      <x:c r="F13" t="str">
        <x:v>Belgium</x:v>
      </x:c>
      <x:c r="G13" t="str">
        <x:v>Balta Industries</x:v>
      </x:c>
    </x:row>
    <x:row r="14">
      <x:c r="A14" t="str">
        <x:v>Ben</x:v>
      </x:c>
      <x:c r="B14" t="str">
        <x:v>Anderson</x:v>
      </x:c>
      <x:c r="C14" t="str">
        <x:v>ben.anderson@ralcoagriculture.com</x:v>
      </x:c>
      <x:c r="D14" t="str">
        <x:v>8/17/26, 11:36:05 AM</x:v>
      </x:c>
      <x:c r="E14" t="str">
        <x:v>Registrado</x:v>
      </x:c>
      <x:c r="F14" t="str"/>
      <x:c r="G14" t="str">
        <x:v>Ralco Nutrition, Inc.</x:v>
      </x:c>
    </x:row>
    <x:row r="15">
      <x:c r="A15" t="str">
        <x:v>Diego</x:v>
      </x:c>
      <x:c r="B15" t="str">
        <x:v>Salgado</x:v>
      </x:c>
      <x:c r="C15" t="str">
        <x:v>dsalgado@artesco.com.pe</x:v>
      </x:c>
      <x:c r="D15" t="str">
        <x:v>8/17/26, 6:27:29 PM</x:v>
      </x:c>
      <x:c r="E15" t="str">
        <x:v>Registrado</x:v>
      </x:c>
      <x:c r="F15" t="str">
        <x:v>Peru</x:v>
      </x:c>
      <x:c r="G15" t="str">
        <x:v>Artesco-Staedtler DE</x:v>
      </x:c>
    </x:row>
    <x:row r="16">
      <x:c r="A16" t="str">
        <x:v>Sabahat</x:v>
      </x:c>
      <x:c r="B16" t="str">
        <x:v>Maqbool</x:v>
      </x:c>
      <x:c r="C16" t="str">
        <x:v>sabahatmaqbool394@gmail.com</x:v>
      </x:c>
      <x:c r="D16" t="str">
        <x:v>8/18/26, 1:55:15 AM</x:v>
      </x:c>
      <x:c r="E16" t="str">
        <x:v>Registrado</x:v>
      </x:c>
      <x:c r="F16" t="str">
        <x:v>Pakistan</x:v>
      </x:c>
      <x:c r="G16" t="str">
        <x:v>Control union Pakistan pvt ltd </x:v>
      </x:c>
    </x:row>
    <x:row r="17">
      <x:c r="A17" t="str">
        <x:v>Jerome</x:v>
      </x:c>
      <x:c r="B17" t="str">
        <x:v>Douglas</x:v>
      </x:c>
      <x:c r="C17" t="str">
        <x:v>jerome.douglas@nl.bolsius.com</x:v>
      </x:c>
      <x:c r="D17" t="str">
        <x:v>8/18/26, 8:03:48 AM</x:v>
      </x:c>
      <x:c r="E17" t="str">
        <x:v>Registrado</x:v>
      </x:c>
      <x:c r="F17" t="str">
        <x:v>Netherlands</x:v>
      </x:c>
      <x:c r="G17" t="str">
        <x:v>Bolsius</x:v>
      </x:c>
    </x:row>
    <x:row r="18">
      <x:c r="A18" t="str">
        <x:v>Eliza</x:v>
      </x:c>
      <x:c r="B18" t="str">
        <x:v>Morais Santos</x:v>
      </x:c>
      <x:c r="C18" t="str">
        <x:v>eliza.moraissantos@ofi.com</x:v>
      </x:c>
      <x:c r="D18" t="str">
        <x:v>8/18/26, 8:22:37 AM</x:v>
      </x:c>
      <x:c r="E18" t="str">
        <x:v>Registrado</x:v>
      </x:c>
      <x:c r="F18" t="str">
        <x:v>Netherlands</x:v>
      </x:c>
      <x:c r="G18" t="str">
        <x:v>ofi - Olam Food Ingredients</x:v>
      </x:c>
    </x:row>
    <x:row r="19">
      <x:c r="A19" t="str">
        <x:v>Cole</x:v>
      </x:c>
      <x:c r="B19" t="str">
        <x:v>Hairston</x:v>
      </x:c>
      <x:c r="C19" t="str">
        <x:v>c.hairston@scsstandards.org</x:v>
      </x:c>
      <x:c r="D19" t="str">
        <x:v>8/18/26, 3:26:42 PM</x:v>
      </x:c>
      <x:c r="E19" t="str">
        <x:v>Registrado</x:v>
      </x:c>
      <x:c r="F19" t="str"/>
      <x:c r="G19" t="str">
        <x:v>SCS Standards and Assurance Systems</x:v>
      </x:c>
    </x:row>
    <x:row r="20">
      <x:c r="A20" t="str">
        <x:v>Alexander</x:v>
      </x:c>
      <x:c r="B20" t="str">
        <x:v>Schmelzer</x:v>
      </x:c>
      <x:c r="C20" t="str">
        <x:v>schmelzer@verpackung.org</x:v>
      </x:c>
      <x:c r="D20" t="str">
        <x:v>8/19/26, 3:16:54 AM</x:v>
      </x:c>
      <x:c r="E20" t="str">
        <x:v>Registrado</x:v>
      </x:c>
      <x:c r="F20" t="str">
        <x:v>Deutschland</x:v>
      </x:c>
      <x:c r="G20" t="str">
        <x:v>Deutsches Verpackungsinstitut e.V.</x:v>
      </x:c>
    </x:row>
    <x:row r="21">
      <x:c r="A21" t="str">
        <x:v>Muhammad Usman</x:v>
      </x:c>
      <x:c r="B21" t="str">
        <x:v>Ghani</x:v>
      </x:c>
      <x:c r="C21" t="str">
        <x:v>mghani@controlunion.com</x:v>
      </x:c>
      <x:c r="D21" t="str">
        <x:v>8/19/26, 10:59:43 AM</x:v>
      </x:c>
      <x:c r="E21" t="str">
        <x:v>Registrado</x:v>
      </x:c>
      <x:c r="F21" t="str">
        <x:v>Pakistan</x:v>
      </x:c>
      <x:c r="G21" t="str">
        <x:v>Control Union Pakistan Pvt Ltd</x:v>
      </x:c>
    </x:row>
    <x:row r="22">
      <x:c r="A22" t="str">
        <x:v>Jayathri</x:v>
      </x:c>
      <x:c r="B22" t="str">
        <x:v>Disanayaka</x:v>
      </x:c>
      <x:c r="C22" t="str">
        <x:v>jdisanayaka@controlunion.com</x:v>
      </x:c>
      <x:c r="D22" t="str">
        <x:v>8/19/26, 10:59:53 PM</x:v>
      </x:c>
      <x:c r="E22" t="str">
        <x:v>Registrado</x:v>
      </x:c>
      <x:c r="F22" t="str">
        <x:v>Sri Lanka </x:v>
      </x:c>
      <x:c r="G22" t="str">
        <x:v>Control Union</x:v>
      </x:c>
    </x:row>
    <x:row r="23">
      <x:c r="A23" t="str">
        <x:v>Pepa</x:v>
      </x:c>
      <x:c r="B23" t="str">
        <x:v>Dimova Gocheva</x:v>
      </x:c>
      <x:c r="C23" t="str">
        <x:v>pgocheva@controlunion.com</x:v>
      </x:c>
      <x:c r="D23" t="str">
        <x:v>8/20/26, 10:30:01 AM</x:v>
      </x:c>
      <x:c r="E23" t="str">
        <x:v>Registrado</x:v>
      </x:c>
      <x:c r="F23" t="str">
        <x:v>Bulgaria</x:v>
      </x:c>
      <x:c r="G23" t="str">
        <x:v>Control Union Bulgaria Ltd</x:v>
      </x:c>
    </x:row>
    <x:row r="24">
      <x:c r="A24" t="str">
        <x:v>DM</x:v>
      </x:c>
      <x:c r="B24" t="str">
        <x:v>Certification</x:v>
      </x:c>
      <x:c r="C24" t="str">
        <x:v>dm.certification@aviagri.com</x:v>
      </x:c>
      <x:c r="D24" t="str">
        <x:v>8/21/26, 5:47:37 AM</x:v>
      </x:c>
      <x:c r="E24" t="str">
        <x:v>Registrado</x:v>
      </x:c>
      <x:c r="F24" t="str">
        <x:v>India</x:v>
      </x:c>
      <x:c r="G24" t="str">
        <x:v>Avi Agri Business Pvt. Ltd.</x:v>
      </x:c>
    </x:row>
    <x:row r="25">
      <x:c r="A25" t="str">
        <x:v>Mashan</x:v>
      </x:c>
      <x:c r="B25" t="str">
        <x:v>Murshid</x:v>
      </x:c>
      <x:c r="C25" t="str">
        <x:v>exports@ajpackaging.lk</x:v>
      </x:c>
      <x:c r="D25" t="str">
        <x:v>8/21/26, 5:47:48 AM</x:v>
      </x:c>
      <x:c r="E25" t="str">
        <x:v>Registrado</x:v>
      </x:c>
      <x:c r="F25" t="str">
        <x:v>Sri Lanka</x:v>
      </x:c>
      <x:c r="G25" t="str">
        <x:v>AJ Packaging (Pvt ) Ltd</x:v>
      </x:c>
    </x:row>
    <x:row r="26">
      <x:c r="A26" t="str">
        <x:v>Denitsa</x:v>
      </x:c>
      <x:c r="B26" t="str">
        <x:v>Hvarchilkova</x:v>
      </x:c>
      <x:c r="C26" t="str">
        <x:v>d.hvarchilkova@pelintex.bg</x:v>
      </x:c>
      <x:c r="D26" t="str">
        <x:v>8/21/26, 5:48:36 AM</x:v>
      </x:c>
      <x:c r="E26" t="str">
        <x:v>Registrado</x:v>
      </x:c>
      <x:c r="F26" t="str">
        <x:v>Bulgaria</x:v>
      </x:c>
      <x:c r="G26" t="str">
        <x:v>Pelintex Bulgaria</x:v>
      </x:c>
    </x:row>
    <x:row r="27">
      <x:c r="A27" t="str">
        <x:v>Sukanya</x:v>
      </x:c>
      <x:c r="B27" t="str">
        <x:v>Dathong</x:v>
      </x:c>
      <x:c r="C27" t="str">
        <x:v>sukanya.dathong@doleintl.com</x:v>
      </x:c>
      <x:c r="D27" t="str">
        <x:v>8/21/26, 5:50:01 AM</x:v>
      </x:c>
      <x:c r="E27" t="str">
        <x:v>Registrado</x:v>
      </x:c>
      <x:c r="F27" t="str">
        <x:v>Thailand</x:v>
      </x:c>
      <x:c r="G27" t="str">
        <x:v>Dole</x:v>
      </x:c>
    </x:row>
    <x:row r="28">
      <x:c r="A28" t="str">
        <x:v>Nattarika</x:v>
      </x:c>
      <x:c r="B28" t="str">
        <x:v>Siripunt</x:v>
      </x:c>
      <x:c r="C28" t="str">
        <x:v>nattarika.siripunt@doleintl.com</x:v>
      </x:c>
      <x:c r="D28" t="str">
        <x:v>8/21/26, 5:51:39 AM</x:v>
      </x:c>
      <x:c r="E28" t="str">
        <x:v>Registrado</x:v>
      </x:c>
      <x:c r="F28" t="str">
        <x:v>Thailand</x:v>
      </x:c>
      <x:c r="G28" t="str">
        <x:v>Dole Food and Beverage group </x:v>
      </x:c>
    </x:row>
    <x:row r="29">
      <x:c r="A29" t="str">
        <x:v>Mohd Rizal</x:v>
      </x:c>
      <x:c r="B29" t="str">
        <x:v>Johari</x:v>
      </x:c>
      <x:c r="C29" t="str">
        <x:v>rizalkassim@gmail.com</x:v>
      </x:c>
      <x:c r="D29" t="str">
        <x:v>8/21/26, 6:41:37 AM</x:v>
      </x:c>
      <x:c r="E29" t="str">
        <x:v>Registrado</x:v>
      </x:c>
      <x:c r="F29" t="str">
        <x:v>malaysia</x:v>
      </x:c>
      <x:c r="G29" t="str">
        <x:v>Green Sustainability Resources</x:v>
      </x:c>
    </x:row>
    <x:row r="30">
      <x:c r="A30" t="str">
        <x:v>Zaman</x:v>
      </x:c>
      <x:c r="B30" t="str">
        <x:v>Ali</x:v>
      </x:c>
      <x:c r="C30" t="str">
        <x:v>zaman@samatextiles.com</x:v>
      </x:c>
      <x:c r="D30" t="str">
        <x:v>8/21/26, 6:43:09 AM</x:v>
      </x:c>
      <x:c r="E30" t="str">
        <x:v>Registrado</x:v>
      </x:c>
      <x:c r="F30" t="str">
        <x:v>Lahore, Pakistan </x:v>
      </x:c>
      <x:c r="G30" t="str">
        <x:v>SAMA Textiles (Pvt) Ltd.</x:v>
      </x:c>
    </x:row>
    <x:row r="31">
      <x:c r="A31" t="str">
        <x:v>Cindy</x:v>
      </x:c>
      <x:c r="B31" t="str">
        <x:v>Ormaza Mullo</x:v>
      </x:c>
      <x:c r="C31" t="str">
        <x:v>cormazamullo@trinseo.com</x:v>
      </x:c>
      <x:c r="D31" t="str">
        <x:v>8/21/26, 6:44:43 AM</x:v>
      </x:c>
      <x:c r="E31" t="str">
        <x:v>Registrado</x:v>
      </x:c>
      <x:c r="F31" t="str">
        <x:v>Netherlands</x:v>
      </x:c>
      <x:c r="G31" t="str">
        <x:v>Trinseo</x:v>
      </x:c>
    </x:row>
    <x:row r="32">
      <x:c r="A32" t="str">
        <x:v>Milena Parnigoni</x:v>
      </x:c>
      <x:c r="B32" t="str">
        <x:v>Parnigoni</x:v>
      </x:c>
      <x:c r="C32" t="str">
        <x:v>milena.parnigoni@logoplaste.com</x:v>
      </x:c>
      <x:c r="D32" t="str">
        <x:v>8/21/26, 7:43:41 AM</x:v>
      </x:c>
      <x:c r="E32" t="str">
        <x:v>Registrado</x:v>
      </x:c>
      <x:c r="F32" t="str">
        <x:v>Portugal</x:v>
      </x:c>
      <x:c r="G32" t="str">
        <x:v>Logoplaste Innovation Lab</x:v>
      </x:c>
    </x:row>
    <x:row r="33">
      <x:c r="A33" t="str">
        <x:v>Costel</x:v>
      </x:c>
      <x:c r="B33" t="str">
        <x:v>Suditu</x:v>
      </x:c>
      <x:c r="C33" t="str">
        <x:v>costel.suditu@greentech.ro</x:v>
      </x:c>
      <x:c r="D33" t="str">
        <x:v>8/21/26, 8:02:32 AM</x:v>
      </x:c>
      <x:c r="E33" t="str">
        <x:v>Registrado</x:v>
      </x:c>
      <x:c r="F33" t="str">
        <x:v>Romania</x:v>
      </x:c>
      <x:c r="G33" t="str">
        <x:v>Greentech S.A.</x:v>
      </x:c>
    </x:row>
    <x:row r="34">
      <x:c r="A34" t="str">
        <x:v>Jeffrey</x:v>
      </x:c>
      <x:c r="B34" t="str">
        <x:v>Magayano</x:v>
      </x:c>
      <x:c r="C34" t="str">
        <x:v>jeffrey.magayano@doleintl.com</x:v>
      </x:c>
      <x:c r="D34" t="str">
        <x:v>8/21/26, 9:15:58 AM</x:v>
      </x:c>
      <x:c r="E34" t="str">
        <x:v>Registrado</x:v>
      </x:c>
      <x:c r="F34" t="str">
        <x:v>Philippines</x:v>
      </x:c>
      <x:c r="G34" t="str">
        <x:v>Dole Philippines Inc.</x:v>
      </x:c>
    </x:row>
    <x:row r="35">
      <x:c r="A35" t="str">
        <x:v>Maria de Lourdes Alejandra</x:v>
      </x:c>
      <x:c r="B35" t="str">
        <x:v>Aguilar Solis</x:v>
      </x:c>
      <x:c r="C35" t="str">
        <x:v>mdaaguilarsolis81@gmail.com</x:v>
      </x:c>
      <x:c r="D35" t="str">
        <x:v>8/21/26, 10:06:30 AM</x:v>
      </x:c>
      <x:c r="E35" t="str">
        <x:v>Registrado</x:v>
      </x:c>
      <x:c r="F35" t="str">
        <x:v>Italia</x:v>
      </x:c>
      <x:c r="G35" t="str"/>
    </x:row>
    <x:row r="36">
      <x:c r="A36" t="str">
        <x:v>Midori</x:v>
      </x:c>
      <x:c r="B36" t="str">
        <x:v>Kawazo</x:v>
      </x:c>
      <x:c r="C36" t="str">
        <x:v>skawazo@controlunion.com</x:v>
      </x:c>
      <x:c r="D36" t="str">
        <x:v>8/21/26, 10:25:13 AM</x:v>
      </x:c>
      <x:c r="E36" t="str">
        <x:v>Registrado</x:v>
      </x:c>
      <x:c r="F36" t="str">
        <x:v>Peru</x:v>
      </x:c>
      <x:c r="G36" t="str">
        <x:v>CU</x:v>
      </x:c>
    </x:row>
    <x:row r="37">
      <x:c r="A37" t="str">
        <x:v>Veneta</x:v>
      </x:c>
      <x:c r="B37" t="str">
        <x:v>Yordanova-Grigorova</x:v>
      </x:c>
      <x:c r="C37" t="str">
        <x:v>veneta.grigorova@ficosota.com</x:v>
      </x:c>
      <x:c r="D37" t="str">
        <x:v>8/21/26, 10:43:21 AM</x:v>
      </x:c>
      <x:c r="E37" t="str">
        <x:v>Registrado</x:v>
      </x:c>
      <x:c r="F37" t="str">
        <x:v>Bulgaria</x:v>
      </x:c>
      <x:c r="G37" t="str">
        <x:v>Ficosota</x:v>
      </x:c>
    </x:row>
    <x:row r="38">
      <x:c r="A38" t="str">
        <x:v>Maria</x:v>
      </x:c>
      <x:c r="B38" t="str">
        <x:v>Gaitan</x:v>
      </x:c>
      <x:c r="C38" t="str">
        <x:v>mgaitan@onepeterson.com</x:v>
      </x:c>
      <x:c r="D38" t="str">
        <x:v>8/21/26, 7:44:19 PM</x:v>
      </x:c>
      <x:c r="E38" t="str">
        <x:v>Registrado</x:v>
      </x:c>
      <x:c r="F38" t="str">
        <x:v>Colombia</x:v>
      </x:c>
      <x:c r="G38" t="str">
        <x:v>Peterson Solutions</x:v>
      </x:c>
    </x:row>
    <x:row r="39">
      <x:c r="A39" t="str">
        <x:v>Aviv</x:v>
      </x:c>
      <x:c r="B39" t="str">
        <x:v>Cohen Sela</x:v>
      </x:c>
      <x:c r="C39" t="str">
        <x:v>aviv.cohen@logpac.com</x:v>
      </x:c>
      <x:c r="D39" t="str">
        <x:v>8/23/26, 4:52:08 AM</x:v>
      </x:c>
      <x:c r="E39" t="str">
        <x:v>Registrado</x:v>
      </x:c>
      <x:c r="F39" t="str">
        <x:v>Israel</x:v>
      </x:c>
      <x:c r="G39" t="str">
        <x:v>LOG Pharma Plastic Packaging</x:v>
      </x:c>
    </x:row>
    <x:row r="40">
      <x:c r="A40" t="str">
        <x:v>Johann</x:v>
      </x:c>
      <x:c r="B40" t="str">
        <x:v>Tranchell</x:v>
      </x:c>
      <x:c r="C40" t="str">
        <x:v>johann@polydime.com</x:v>
      </x:c>
      <x:c r="D40" t="str">
        <x:v>8/24/26, 12:02:11 AM</x:v>
      </x:c>
      <x:c r="E40" t="str">
        <x:v>Registrado</x:v>
      </x:c>
      <x:c r="F40" t="str"/>
      <x:c r="G40" t="str"/>
    </x:row>
    <x:row r="41">
      <x:c r="A41" t="str">
        <x:v>SAYANTAN</x:v>
      </x:c>
      <x:c r="B41" t="str">
        <x:v>BASAK</x:v>
      </x:c>
      <x:c r="C41" t="str">
        <x:v>sayantan.basak@sinarindah.co.in</x:v>
      </x:c>
      <x:c r="D41" t="str">
        <x:v>8/24/26, 2:22:54 AM</x:v>
      </x:c>
      <x:c r="E41" t="str">
        <x:v>Registrado</x:v>
      </x:c>
      <x:c r="F41" t="str">
        <x:v>India</x:v>
      </x:c>
      <x:c r="G41" t="str">
        <x:v>APP SINARMAS</x:v>
      </x:c>
    </x:row>
    <x:row r="42">
      <x:c r="A42" t="str">
        <x:v>Lotte</x:v>
      </x:c>
      <x:c r="B42" t="str">
        <x:v>Gulpers</x:v>
      </x:c>
      <x:c r="C42" t="str">
        <x:v>lgulpers@controlunion.com</x:v>
      </x:c>
      <x:c r="D42" t="str">
        <x:v>8/24/26, 4:16:37 AM</x:v>
      </x:c>
      <x:c r="E42" t="str">
        <x:v>Registrado</x:v>
      </x:c>
      <x:c r="F42" t="str">
        <x:v>Netherlands</x:v>
      </x:c>
      <x:c r="G42" t="str">
        <x:v>Control Union</x:v>
      </x:c>
    </x:row>
    <x:row r="43">
      <x:c r="A43" t="str">
        <x:v>Maïmouna</x:v>
      </x:c>
      <x:c r="B43" t="str">
        <x:v>Kanté</x:v>
      </x:c>
      <x:c r="C43" t="str">
        <x:v>mkante@controlunion.com</x:v>
      </x:c>
      <x:c r="D43" t="str">
        <x:v>8/24/26, 5:45:45 AM</x:v>
      </x:c>
      <x:c r="E43" t="str">
        <x:v>Registrado</x:v>
      </x:c>
      <x:c r="F43" t="str"/>
      <x:c r="G43" t="str"/>
    </x:row>
    <x:row r="44">
      <x:c r="A44" t="str">
        <x:v>David</x:v>
      </x:c>
      <x:c r="B44" t="str">
        <x:v>Peñarrubia Navarro</x:v>
      </x:c>
      <x:c r="C44" t="str">
        <x:v>dpe@fecc.org</x:v>
      </x:c>
      <x:c r="D44" t="str">
        <x:v>8/24/26, 6:02:56 AM</x:v>
      </x:c>
      <x:c r="E44" t="str">
        <x:v>Registrado</x:v>
      </x:c>
      <x:c r="F44" t="str">
        <x:v>Belgium</x:v>
      </x:c>
      <x:c r="G44" t="str">
        <x:v>Fecc</x:v>
      </x:c>
    </x:row>
    <x:row r="45">
      <x:c r="A45" t="str">
        <x:v>Bas</x:v>
      </x:c>
      <x:c r="B45" t="str">
        <x:v>van den Brink</x:v>
      </x:c>
      <x:c r="C45" t="str">
        <x:v>b.vandenbrink@intersnackgroup.com</x:v>
      </x:c>
      <x:c r="D45" t="str">
        <x:v>8/24/26, 6:32:29 AM</x:v>
      </x:c>
      <x:c r="E45" t="str">
        <x:v>Registrado</x:v>
      </x:c>
      <x:c r="F45" t="str">
        <x:v>Germany</x:v>
      </x:c>
      <x:c r="G45" t="str">
        <x:v>Intersnack</x:v>
      </x:c>
    </x:row>
    <x:row r="46">
      <x:c r="A46" t="str">
        <x:v>Magda</x:v>
      </x:c>
      <x:c r="B46" t="str">
        <x:v>Galeano</x:v>
      </x:c>
      <x:c r="C46" t="str">
        <x:v>mgaleano@koppert.es</x:v>
      </x:c>
      <x:c r="D46" t="str">
        <x:v>8/24/26, 7:01:03 AM</x:v>
      </x:c>
      <x:c r="E46" t="str">
        <x:v>Registrado</x:v>
      </x:c>
      <x:c r="F46" t="str">
        <x:v>España</x:v>
      </x:c>
      <x:c r="G46" t="str">
        <x:v>Koppert España, S.L.</x:v>
      </x:c>
    </x:row>
    <x:row r="47">
      <x:c r="A47" t="str">
        <x:v>Ashutosh</x:v>
      </x:c>
      <x:c r="B47" t="str">
        <x:v>Katkar</x:v>
      </x:c>
      <x:c r="C47" t="str">
        <x:v>akatkar@controlunion.com</x:v>
      </x:c>
      <x:c r="D47" t="str">
        <x:v>8/24/26, 7:17:56 AM</x:v>
      </x:c>
      <x:c r="E47" t="str">
        <x:v>Registrado</x:v>
      </x:c>
      <x:c r="F47" t="str">
        <x:v>India</x:v>
      </x:c>
      <x:c r="G47" t="str">
        <x:v>CU Inspections and Certifications India Pvt Ltd</x:v>
      </x:c>
    </x:row>
    <x:row r="48">
      <x:c r="A48" t="str">
        <x:v>Asraful</x:v>
      </x:c>
      <x:c r="B48" t="str">
        <x:v>Islam</x:v>
      </x:c>
      <x:c r="C48" t="str">
        <x:v>commercial@badshatex.com</x:v>
      </x:c>
      <x:c r="D48" t="str">
        <x:v>8/24/26, 8:21:46 AM</x:v>
      </x:c>
      <x:c r="E48" t="str">
        <x:v>Registrado</x:v>
      </x:c>
      <x:c r="F48" t="str">
        <x:v>Bangladesh </x:v>
      </x:c>
      <x:c r="G48" t="str">
        <x:v>Badsha Textiles Ltd.</x:v>
      </x:c>
    </x:row>
    <x:row r="49">
      <x:c r="A49" t="str">
        <x:v>Sylvana</x:v>
      </x:c>
      <x:c r="B49" t="str">
        <x:v>SCAMPINI</x:v>
      </x:c>
      <x:c r="C49" t="str">
        <x:v>sylvana.scampini@ecocert.com</x:v>
      </x:c>
      <x:c r="D49" t="str">
        <x:v>8/24/26, 12:18:07 PM</x:v>
      </x:c>
      <x:c r="E49" t="str">
        <x:v>Registrado</x:v>
      </x:c>
      <x:c r="F49" t="str">
        <x:v>France</x:v>
      </x:c>
      <x:c r="G49" t="str">
        <x:v>ECOCERT GREENLIFE</x:v>
      </x:c>
    </x:row>
    <x:row r="50">
      <x:c r="A50" t="str">
        <x:v>Martin Gabriel</x:v>
      </x:c>
      <x:c r="B50" t="str">
        <x:v>Sorkin</x:v>
      </x:c>
      <x:c r="C50" t="str">
        <x:v>msorkin@controlunion.com</x:v>
      </x:c>
      <x:c r="D50" t="str">
        <x:v>8/24/26, 4:25:56 PM</x:v>
      </x:c>
      <x:c r="E50" t="str">
        <x:v>Registrado</x:v>
      </x:c>
      <x:c r="F50" t="str">
        <x:v>Argentina</x:v>
      </x:c>
      <x:c r="G50" t="str"/>
    </x:row>
    <x:row r="51">
      <x:c r="A51" t="str">
        <x:v>Chloé</x:v>
      </x:c>
      <x:c r="B51" t="str">
        <x:v>COINON</x:v>
      </x:c>
      <x:c r="C51" t="str">
        <x:v>cc@hanova.com</x:v>
      </x:c>
      <x:c r="D51" t="str">
        <x:v>8/25/26, 7:04:08 AM</x:v>
      </x:c>
      <x:c r="E51" t="str">
        <x:v>Registrado</x:v>
      </x:c>
      <x:c r="F51" t="str">
        <x:v>France</x:v>
      </x:c>
      <x:c r="G51" t="str">
        <x:v>Hanova</x:v>
      </x:c>
    </x:row>
    <x:row r="52">
      <x:c r="A52" t="str">
        <x:v>Alina-Diana</x:v>
      </x:c>
      <x:c r="B52" t="str">
        <x:v>Bencze</x:v>
      </x:c>
      <x:c r="C52" t="str">
        <x:v>alina-diana.bencze@decocenter.ro</x:v>
      </x:c>
      <x:c r="D52" t="str">
        <x:v>8/25/26, 9:01:36 AM</x:v>
      </x:c>
      <x:c r="E52" t="str">
        <x:v>Registrado</x:v>
      </x:c>
      <x:c r="F52" t="str">
        <x:v>Romania</x:v>
      </x:c>
      <x:c r="G52" t="str"/>
    </x:row>
    <x:row r="53">
      <x:c r="A53" t="str">
        <x:v>Marta</x:v>
      </x:c>
      <x:c r="B53" t="str">
        <x:v>Soto</x:v>
      </x:c>
      <x:c r="C53" t="str">
        <x:v>msoto@cefetra.es</x:v>
      </x:c>
      <x:c r="D53" t="str">
        <x:v>8/25/26, 10:23:44 AM</x:v>
      </x:c>
      <x:c r="E53" t="str">
        <x:v>Registrado</x:v>
      </x:c>
      <x:c r="F53" t="str">
        <x:v>Spain </x:v>
      </x:c>
      <x:c r="G53" t="str">
        <x:v>Cefetra ibérica </x:v>
      </x:c>
    </x:row>
    <x:row r="54">
      <x:c r="A54" t="str">
        <x:v>Elenko</x:v>
      </x:c>
      <x:c r="B54" t="str">
        <x:v>Stoyanov</x:v>
      </x:c>
      <x:c r="C54" t="str">
        <x:v>elenko_s@hotmail.com</x:v>
      </x:c>
      <x:c r="D54" t="str">
        <x:v>8/25/26, 11:34:33 AM</x:v>
      </x:c>
      <x:c r="E54" t="str">
        <x:v>Registrado</x:v>
      </x:c>
      <x:c r="F54" t="str">
        <x:v>Bulgaria</x:v>
      </x:c>
      <x:c r="G54" t="str">
        <x:v>Elenko Stoyanov</x:v>
      </x:c>
    </x:row>
    <x:row r="55">
      <x:c r="A55" t="str">
        <x:v>Ziga</x:v>
      </x:c>
      <x:c r="B55" t="str">
        <x:v>Vidic</x:v>
      </x:c>
      <x:c r="C55" t="str">
        <x:v>ziga_vidic@hotmail.com</x:v>
      </x:c>
      <x:c r="D55" t="str">
        <x:v>8/26/26, 3:52:43 AM</x:v>
      </x:c>
      <x:c r="E55" t="str">
        <x:v>Registrado</x:v>
      </x:c>
      <x:c r="F55" t="str">
        <x:v>Österreich</x:v>
      </x:c>
      <x:c r="G55" t="str">
        <x:v>Consultancy</x:v>
      </x:c>
    </x:row>
    <x:row r="56">
      <x:c r="A56" t="str">
        <x:v>Philippe</x:v>
      </x:c>
      <x:c r="B56" t="str">
        <x:v>Doliger</x:v>
      </x:c>
      <x:c r="C56" t="str">
        <x:v>pdoliger@recyclingeurope.org</x:v>
      </x:c>
      <x:c r="D56" t="str">
        <x:v>8/26/26, 4:48:25 AM</x:v>
      </x:c>
      <x:c r="E56" t="str">
        <x:v>Registrado</x:v>
      </x:c>
      <x:c r="F56" t="str">
        <x:v>Belgium</x:v>
      </x:c>
      <x:c r="G56" t="str">
        <x:v>Recycling Europe </x:v>
      </x:c>
    </x:row>
    <x:row r="57">
      <x:c r="A57" t="str">
        <x:v>Ana</x:v>
      </x:c>
      <x:c r="B57" t="str">
        <x:v>Zamora</x:v>
      </x:c>
      <x:c r="C57" t="str">
        <x:v>azamora@controlunion.com</x:v>
      </x:c>
      <x:c r="D57" t="str">
        <x:v>8/26/26, 5:48:04 AM</x:v>
      </x:c>
      <x:c r="E57" t="str">
        <x:v>Registrado</x:v>
      </x:c>
      <x:c r="F57" t="str">
        <x:v>Spain</x:v>
      </x:c>
      <x:c r="G57" t="str">
        <x:v>CU</x:v>
      </x:c>
    </x:row>
    <x:row r="58">
      <x:c r="A58" t="str">
        <x:v>Morta</x:v>
      </x:c>
      <x:c r="B58" t="str">
        <x:v>Ramoskaite</x:v>
      </x:c>
      <x:c r="C58" t="str">
        <x:v>info@pakuoteratu.lt</x:v>
      </x:c>
      <x:c r="D58" t="str">
        <x:v>8/26/26, 6:53:03 AM</x:v>
      </x:c>
      <x:c r="E58" t="str">
        <x:v>Registrado</x:v>
      </x:c>
      <x:c r="F58" t="str">
        <x:v>Lithuania</x:v>
      </x:c>
      <x:c r="G58" t="str">
        <x:v>Pakuote Ratu VsI</x:v>
      </x:c>
    </x:row>
    <x:row r="59">
      <x:c r="A59" t="str">
        <x:v>Lilach</x:v>
      </x:c>
      <x:c r="B59" t="str">
        <x:v>Winebloom</x:v>
      </x:c>
      <x:c r="C59" t="str">
        <x:v>lilach.quality@gmail.com</x:v>
      </x:c>
      <x:c r="D59" t="str">
        <x:v>8/26/26, 8:27:25 AM</x:v>
      </x:c>
      <x:c r="E59" t="str">
        <x:v>Registrado</x:v>
      </x:c>
      <x:c r="F59" t="str">
        <x:v>ישראל</x:v>
      </x:c>
      <x:c r="G59" t="str">
        <x:v>Estia Consulting</x:v>
      </x:c>
    </x:row>
    <x:row r="60">
      <x:c r="A60" t="str">
        <x:v>Oksana</x:v>
      </x:c>
      <x:c r="B60" t="str">
        <x:v>Mironova</x:v>
      </x:c>
      <x:c r="C60" t="str">
        <x:v>qa@rpet.co.il</x:v>
      </x:c>
      <x:c r="D60" t="str">
        <x:v>8/26/26, 10:52:07 AM</x:v>
      </x:c>
      <x:c r="E60" t="str">
        <x:v>Registrado</x:v>
      </x:c>
      <x:c r="F60" t="str">
        <x:v>Israel</x:v>
      </x:c>
      <x:c r="G60" t="str">
        <x:v>Rpet</x:v>
      </x:c>
    </x:row>
    <x:row r="61">
      <x:c r="A61" t="str">
        <x:v>Norberto</x:v>
      </x:c>
      <x:c r="B61" t="str">
        <x:v>Fernandez Soriano</x:v>
      </x:c>
      <x:c r="C61" t="str">
        <x:v>nsoriano@gategroup.com</x:v>
      </x:c>
      <x:c r="D61" t="str">
        <x:v>8/26/26, 12:10:53 PM</x:v>
      </x:c>
      <x:c r="E61" t="str">
        <x:v>Registrado</x:v>
      </x:c>
      <x:c r="F61" t="str">
        <x:v>Belgium</x:v>
      </x:c>
      <x:c r="G61" t="str">
        <x:v>deSter </x:v>
      </x:c>
    </x:row>
    <x:row r="62">
      <x:c r="A62" t="str">
        <x:v>Jacquelina</x:v>
      </x:c>
      <x:c r="B62" t="str">
        <x:v>Metodieva</x:v>
      </x:c>
      <x:c r="C62" t="str">
        <x:v>zhmetodieva@moew.government.bg</x:v>
      </x:c>
      <x:c r="D62" t="str">
        <x:v>8/27/26, 5:09:08 AM</x:v>
      </x:c>
      <x:c r="E62" t="str">
        <x:v>Registrado</x:v>
      </x:c>
      <x:c r="F62" t="str">
        <x:v>Bulgaria</x:v>
      </x:c>
      <x:c r="G62" t="str"/>
    </x:row>
    <x:row r="63">
      <x:c r="A63" t="str">
        <x:v>Bianca</x:v>
      </x:c>
      <x:c r="B63" t="str">
        <x:v>Wit</x:v>
      </x:c>
      <x:c r="C63" t="str">
        <x:v>biancadewit@primo.com</x:v>
      </x:c>
      <x:c r="D63" t="str">
        <x:v>8/27/26, 9:21:18 AM</x:v>
      </x:c>
      <x:c r="E63" t="str">
        <x:v>Registrado</x:v>
      </x:c>
      <x:c r="F63" t="str">
        <x:v>Netherlands</x:v>
      </x:c>
      <x:c r="G63" t="str">
        <x:v>Enitor Primo</x:v>
      </x:c>
    </x:row>
    <x:row r="64">
      <x:c r="A64" t="str">
        <x:v>Minjung</x:v>
      </x:c>
      <x:c r="B64" t="str">
        <x:v>Joo</x:v>
      </x:c>
      <x:c r="C64" t="str">
        <x:v>mjjoo@kcl.re.kr</x:v>
      </x:c>
      <x:c r="D64" t="str">
        <x:v>8/27/26, 10:03:10 AM</x:v>
      </x:c>
      <x:c r="E64" t="str">
        <x:v>Registrado</x:v>
      </x:c>
      <x:c r="F64" t="str">
        <x:v>Repulic of Korea</x:v>
      </x:c>
      <x:c r="G64" t="str">
        <x:v>KCL</x:v>
      </x:c>
    </x:row>
    <x:row r="65">
      <x:c r="A65" t="str">
        <x:v>Netanel</x:v>
      </x:c>
      <x:c r="B65" t="str">
        <x:v>Cohen</x:v>
      </x:c>
      <x:c r="C65" t="str">
        <x:v>netanel@rpet.co.il</x:v>
      </x:c>
      <x:c r="D65" t="str">
        <x:v>8/27/26, 10:46:04 AM</x:v>
      </x:c>
      <x:c r="E65" t="str">
        <x:v>Registrado</x:v>
      </x:c>
      <x:c r="F65" t="str">
        <x:v>ישראל</x:v>
      </x:c>
      <x:c r="G65" t="str">
        <x:v>rPET</x:v>
      </x:c>
    </x:row>
    <x:row r="66">
      <x:c r="A66" t="str">
        <x:v>Yahya</x:v>
      </x:c>
      <x:c r="B66" t="str">
        <x:v>Chohan</x:v>
      </x:c>
      <x:c r="C66" t="str">
        <x:v>myahya@controlunion.com</x:v>
      </x:c>
      <x:c r="D66" t="str">
        <x:v>8/27/26, 1:54:28 PM</x:v>
      </x:c>
      <x:c r="E66" t="str">
        <x:v>Registrado</x:v>
      </x:c>
      <x:c r="F66" t="str">
        <x:v>Pakistan</x:v>
      </x:c>
      <x:c r="G66" t="str">
        <x:v>CU</x:v>
      </x:c>
    </x:row>
    <x:row r="67">
      <x:c r="A67" t="str">
        <x:v>Priscilla</x:v>
      </x:c>
      <x:c r="B67" t="str">
        <x:v>Fuentes</x:v>
      </x:c>
      <x:c r="C67" t="str">
        <x:v>pfuentes@delisur.cl</x:v>
      </x:c>
      <x:c r="D67" t="str">
        <x:v>8/27/26, 2:40:56 PM</x:v>
      </x:c>
      <x:c r="E67" t="str">
        <x:v>Registrado</x:v>
      </x:c>
      <x:c r="F67" t="str">
        <x:v>Chile</x:v>
      </x:c>
      <x:c r="G67" t="str">
        <x:v>DELISUR S.A.</x:v>
      </x:c>
    </x:row>
    <x:row r="68">
      <x:c r="A68" t="str">
        <x:v>Carolina</x:v>
      </x:c>
      <x:c r="B68" t="str">
        <x:v>Egaña</x:v>
      </x:c>
      <x:c r="C68" t="str">
        <x:v>cegana@altahpp.com</x:v>
      </x:c>
      <x:c r="D68" t="str">
        <x:v>8/27/26, 2:50:08 PM</x:v>
      </x:c>
      <x:c r="E68" t="str">
        <x:v>Registrado</x:v>
      </x:c>
      <x:c r="F68" t="str">
        <x:v>chile</x:v>
      </x:c>
      <x:c r="G68" t="str">
        <x:v>HPP SERVICES CHILE SPA</x:v>
      </x:c>
    </x:row>
    <x:row r="69">
      <x:c r="A69" t="str">
        <x:v>Blanka</x:v>
      </x:c>
      <x:c r="B69" t="str">
        <x:v>Szilvássy</x:v>
      </x:c>
      <x:c r="C69" t="str">
        <x:v>szilvassyb@nebih.gov.hu</x:v>
      </x:c>
      <x:c r="D69" t="str">
        <x:v>8/27/26, 3:06:51 PM</x:v>
      </x:c>
      <x:c r="E69" t="str">
        <x:v>Registrado</x:v>
      </x:c>
      <x:c r="F69" t="str">
        <x:v>Magyarország</x:v>
      </x:c>
      <x:c r="G69" t="str">
        <x:v>Nébih </x:v>
      </x:c>
    </x:row>
    <x:row r="70">
      <x:c r="A70" t="str">
        <x:v>Syed Raghib Ali</x:v>
      </x:c>
      <x:c r="B70" t="str">
        <x:v>Raza</x:v>
      </x:c>
      <x:c r="C70" t="str">
        <x:v>ali.raza@printechpackages.com</x:v>
      </x:c>
      <x:c r="D70" t="str">
        <x:v>8/27/26, 10:59:20 PM</x:v>
      </x:c>
      <x:c r="E70" t="str">
        <x:v>Registrado</x:v>
      </x:c>
      <x:c r="F70" t="str">
        <x:v>Pakiatsan</x:v>
      </x:c>
      <x:c r="G70" t="str">
        <x:v>Printech Packages Pvt Ltd</x:v>
      </x:c>
    </x:row>
    <x:row r="71">
      <x:c r="A71" t="str">
        <x:v>Azmat</x:v>
      </x:c>
      <x:c r="B71" t="str">
        <x:v>Malik</x:v>
      </x:c>
      <x:c r="C71" t="str">
        <x:v>azmatkmalik@gmail.com</x:v>
      </x:c>
      <x:c r="D71" t="str">
        <x:v>8/27/26, 11:13:28 PM</x:v>
      </x:c>
      <x:c r="E71" t="str">
        <x:v>Registrado</x:v>
      </x:c>
      <x:c r="F71" t="str">
        <x:v>Pakistan</x:v>
      </x:c>
      <x:c r="G71" t="str">
        <x:v>Printech packages(Pvt.)Ltd</x:v>
      </x:c>
    </x:row>
    <x:row r="72">
      <x:c r="A72" t="str">
        <x:v>Muhammad</x:v>
      </x:c>
      <x:c r="B72" t="str">
        <x:v>Junaid</x:v>
      </x:c>
      <x:c r="C72" t="str">
        <x:v>junaid.upax@gmail.com</x:v>
      </x:c>
      <x:c r="D72" t="str">
        <x:v>8/27/26, 11:23:20 PM</x:v>
      </x:c>
      <x:c r="E72" t="str">
        <x:v>Registrado</x:v>
      </x:c>
      <x:c r="F72" t="str">
        <x:v>Pakistan</x:v>
      </x:c>
      <x:c r="G72" t="str">
        <x:v>Printech Packages pvt Ltd </x:v>
      </x:c>
    </x:row>
    <x:row r="73">
      <x:c r="A73" t="str">
        <x:v>Akbar</x:v>
      </x:c>
      <x:c r="B73" t="str">
        <x:v>Ali</x:v>
      </x:c>
      <x:c r="C73" t="str">
        <x:v>aali189886@gmail.com</x:v>
      </x:c>
      <x:c r="D73" t="str">
        <x:v>8/28/26, 12:02:44 AM</x:v>
      </x:c>
      <x:c r="E73" t="str">
        <x:v>Registrado</x:v>
      </x:c>
      <x:c r="F73" t="str"/>
      <x:c r="G73" t="str"/>
    </x:row>
    <x:row r="74">
      <x:c r="A74" t="str">
        <x:v>Javiera</x:v>
      </x:c>
      <x:c r="B74" t="str">
        <x:v>Cubillos</x:v>
      </x:c>
      <x:c r="C74" t="str">
        <x:v>operaciones@altahpp.com</x:v>
      </x:c>
      <x:c r="D74" t="str">
        <x:v>8/28/26, 2:19:29 AM</x:v>
      </x:c>
      <x:c r="E74" t="str">
        <x:v>Registrado</x:v>
      </x:c>
      <x:c r="F74" t="str">
        <x:v>Chile</x:v>
      </x:c>
      <x:c r="G74" t="str">
        <x:v>ALTA HPP</x:v>
      </x:c>
    </x:row>
    <x:row r="75">
      <x:c r="A75" t="str">
        <x:v>Hrisimir</x:v>
      </x:c>
      <x:c r="B75" t="str">
        <x:v>Prisadashki</x:v>
      </x:c>
      <x:c r="C75" t="str">
        <x:v>qc@antolabg.com</x:v>
      </x:c>
      <x:c r="D75" t="str">
        <x:v>8/28/26, 4:19:11 AM</x:v>
      </x:c>
      <x:c r="E75" t="str">
        <x:v>Registrado</x:v>
      </x:c>
      <x:c r="F75" t="str">
        <x:v>Bulgaria</x:v>
      </x:c>
      <x:c r="G75" t="str">
        <x:v>Tandem Popovo Ltd</x:v>
      </x:c>
    </x:row>
    <x:row r="76">
      <x:c r="A76" t="str">
        <x:v>Teodora</x:v>
      </x:c>
      <x:c r="B76" t="str">
        <x:v>Rousseva</x:v>
      </x:c>
      <x:c r="C76" t="str">
        <x:v>info@skipter.bg</x:v>
      </x:c>
      <x:c r="D76" t="str">
        <x:v>8/28/26, 5:58:05 AM</x:v>
      </x:c>
      <x:c r="E76" t="str">
        <x:v>Registrado</x:v>
      </x:c>
      <x:c r="F76" t="str">
        <x:v>Bulgaria</x:v>
      </x:c>
      <x:c r="G76" t="str">
        <x:v>Skipter Ltd.</x:v>
      </x:c>
    </x:row>
    <x:row r="77">
      <x:c r="A77" t="str">
        <x:v>Ignacia</x:v>
      </x:c>
      <x:c r="B77" t="str">
        <x:v>Novoa</x:v>
      </x:c>
      <x:c r="C77" t="str">
        <x:v>ignacia.novoa@nutrisco.com</x:v>
      </x:c>
      <x:c r="D77" t="str">
        <x:v>8/28/26, 9:24:57 AM</x:v>
      </x:c>
      <x:c r="E77" t="str">
        <x:v>Registrado</x:v>
      </x:c>
      <x:c r="F77" t="str">
        <x:v>Chile</x:v>
      </x:c>
      <x:c r="G77" t="str">
        <x:v>Nutrisco </x:v>
      </x:c>
    </x:row>
    <x:row r="78">
      <x:c r="A78" t="str">
        <x:v>Веселка</x:v>
      </x:c>
      <x:c r="B78" t="str">
        <x:v>Христово</x:v>
      </x:c>
      <x:c r="C78" t="str">
        <x:v>v.bashtavelova@insainvest.bg</x:v>
      </x:c>
      <x:c r="D78" t="str">
        <x:v>8/28/26, 9:56:29 AM</x:v>
      </x:c>
      <x:c r="E78" t="str">
        <x:v>Registrado</x:v>
      </x:c>
      <x:c r="F78" t="str">
        <x:v>България</x:v>
      </x:c>
      <x:c r="G78" t="str">
        <x:v>SEVI OIL Ltd</x:v>
      </x:c>
    </x:row>
    <x:row r="79">
      <x:c r="A79" t="str">
        <x:v>Hailyn</x:v>
      </x:c>
      <x:c r="B79" t="str">
        <x:v>Gutierrez</x:v>
      </x:c>
      <x:c r="C79" t="str">
        <x:v>hgutierrez@silchron.com</x:v>
      </x:c>
      <x:c r="D79" t="str">
        <x:v>8/28/26, 10:06:24 AM</x:v>
      </x:c>
      <x:c r="E79" t="str">
        <x:v>Registrado</x:v>
      </x:c>
      <x:c r="F79" t="str">
        <x:v>chile</x:v>
      </x:c>
      <x:c r="G79" t="str">
        <x:v>Silchron</x:v>
      </x:c>
    </x:row>
    <x:row r="80">
      <x:c r="A80" t="str">
        <x:v>M</x:v>
      </x:c>
      <x:c r="B80" t="str">
        <x:v>G</x:v>
      </x:c>
      <x:c r="C80" t="str">
        <x:v>mgonzalez@silchron.com</x:v>
      </x:c>
      <x:c r="D80" t="str">
        <x:v>8/28/26, 10:20:26 AM</x:v>
      </x:c>
      <x:c r="E80" t="str">
        <x:v>Registrado</x:v>
      </x:c>
      <x:c r="F80" t="str">
        <x:v>Chile</x:v>
      </x:c>
      <x:c r="G80" t="str">
        <x:v>Silchron</x:v>
      </x:c>
    </x:row>
    <x:row r="81">
      <x:c r="A81" t="str">
        <x:v>Sebastian</x:v>
      </x:c>
      <x:c r="B81" t="str">
        <x:v>Ortega</x:v>
      </x:c>
      <x:c r="C81" t="str">
        <x:v>sortega@silchron.com</x:v>
      </x:c>
      <x:c r="D81" t="str">
        <x:v>8/28/26, 10:59:35 AM</x:v>
      </x:c>
      <x:c r="E81" t="str">
        <x:v>Registrado</x:v>
      </x:c>
      <x:c r="F81" t="str">
        <x:v>Chile</x:v>
      </x:c>
      <x:c r="G81" t="str">
        <x:v>Silchron</x:v>
      </x:c>
    </x:row>
    <x:row r="82">
      <x:c r="A82" t="str">
        <x:v>Daniela Marilin</x:v>
      </x:c>
      <x:c r="B82" t="str">
        <x:v>Albornoz Garrido</x:v>
      </x:c>
      <x:c r="C82" t="str">
        <x:v>dalbornoz@almakila.com</x:v>
      </x:c>
      <x:c r="D82" t="str">
        <x:v>8/28/26, 1:01:21 PM</x:v>
      </x:c>
      <x:c r="E82" t="str">
        <x:v>Registrado</x:v>
      </x:c>
      <x:c r="F82" t="str">
        <x:v>Chile</x:v>
      </x:c>
      <x:c r="G82" t="str">
        <x:v>almakila</x:v>
      </x:c>
    </x:row>
    <x:row r="83">
      <x:c r="A83" t="str">
        <x:v>Muhammad</x:v>
      </x:c>
      <x:c r="B83" t="str">
        <x:v>Irfan</x:v>
      </x:c>
      <x:c r="C83" t="str">
        <x:v>muhammadirfanm290@gmail.com</x:v>
      </x:c>
      <x:c r="D83" t="str">
        <x:v>8/28/26, 2:15:42 PM</x:v>
      </x:c>
      <x:c r="E83" t="str">
        <x:v>Registrado</x:v>
      </x:c>
      <x:c r="F83" t="str">
        <x:v>Pakistan </x:v>
      </x:c>
      <x:c r="G83" t="str">
        <x:v>WWF-PAKISTAN </x:v>
      </x:c>
    </x:row>
    <x:row r="84">
      <x:c r="A84" t="str">
        <x:v>PÍA</x:v>
      </x:c>
      <x:c r="B84" t="str">
        <x:v>SOTO</x:v>
      </x:c>
      <x:c r="C84" t="str">
        <x:v>pia.soto@fsake.cl</x:v>
      </x:c>
      <x:c r="D84" t="str">
        <x:v>8/28/26, 3:46:30 PM</x:v>
      </x:c>
      <x:c r="E84" t="str">
        <x:v>Registrado</x:v>
      </x:c>
      <x:c r="F84" t="str">
        <x:v>CHILE</x:v>
      </x:c>
      <x:c r="G84" t="str">
        <x:v>INMOBILIARIA SAKE SPA</x:v>
      </x:c>
    </x:row>
    <x:row r="85">
      <x:c r="A85" t="str">
        <x:v>Madhusha</x:v>
      </x:c>
      <x:c r="B85" t="str">
        <x:v>Liyanaarachchi</x:v>
      </x:c>
      <x:c r="C85" t="str">
        <x:v>mliyanaarachchi@onepeterson.com</x:v>
      </x:c>
      <x:c r="D85" t="str">
        <x:v>8/28/26, 8:36:10 PM</x:v>
      </x:c>
      <x:c r="E85" t="str">
        <x:v>Registrado</x:v>
      </x:c>
      <x:c r="F85" t="str">
        <x:v>Germany </x:v>
      </x:c>
      <x:c r="G85" t="str"/>
    </x:row>
    <x:row r="86">
      <x:c r="A86" t="str">
        <x:v>Десислава</x:v>
      </x:c>
      <x:c r="B86" t="str">
        <x:v>Караманолева</x:v>
      </x:c>
      <x:c r="C86" t="str">
        <x:v>karamanolev_sin@abv.bg</x:v>
      </x:c>
      <x:c r="D86" t="str">
        <x:v>8/29/26, 5:59:47 AM</x:v>
      </x:c>
      <x:c r="E86" t="str">
        <x:v>Registrado</x:v>
      </x:c>
      <x:c r="F86" t="str">
        <x:v>България</x:v>
      </x:c>
      <x:c r="G86" t="str">
        <x:v>Караманолев и син ООД</x:v>
      </x:c>
    </x:row>
    <x:row r="87">
      <x:c r="A87" t="str">
        <x:v>Joppe</x:v>
      </x:c>
      <x:c r="B87" t="str">
        <x:v>Ireland</x:v>
      </x:c>
      <x:c r="C87" t="str">
        <x:v>joppiejoppiejoppie@gmail.com</x:v>
      </x:c>
      <x:c r="D87" t="str">
        <x:v>8/29/26, 11:31:29 AM</x:v>
      </x:c>
      <x:c r="E87" t="str">
        <x:v>Registrado</x:v>
      </x:c>
      <x:c r="F87" t="str">
        <x:v>Belgium</x:v>
      </x:c>
      <x:c r="G87" t="str">
        <x:v>Goodplanet belgie</x:v>
      </x:c>
    </x:row>
    <x:row r="88">
      <x:c r="A88" t="str">
        <x:v>Antoine</x:v>
      </x:c>
      <x:c r="B88" t="str">
        <x:v>Monod</x:v>
      </x:c>
      <x:c r="C88" t="str">
        <x:v>amonod@x-pm.sg</x:v>
      </x:c>
      <x:c r="D88" t="str">
        <x:v>8/30/26, 1:35:16 AM</x:v>
      </x:c>
      <x:c r="E88" t="str">
        <x:v>Registrado</x:v>
      </x:c>
      <x:c r="F88" t="str">
        <x:v>Singapore</x:v>
      </x:c>
      <x:c r="G88" t="str">
        <x:v>X-PM</x:v>
      </x:c>
    </x:row>
    <x:row r="89">
      <x:c r="A89" t="str">
        <x:v>Stefan</x:v>
      </x:c>
      <x:c r="B89" t="str">
        <x:v>Fehringer</x:v>
      </x:c>
      <x:c r="C89" t="str">
        <x:v>s.fehringer@greiner-gpi.com</x:v>
      </x:c>
      <x:c r="D89" t="str">
        <x:v>8/31/26, 3:36:04 AM</x:v>
      </x:c>
      <x:c r="E89" t="str">
        <x:v>Registrado</x:v>
      </x:c>
      <x:c r="F89" t="str">
        <x:v>Österreich</x:v>
      </x:c>
      <x:c r="G89" t="str"/>
    </x:row>
    <x:row r="90">
      <x:c r="A90" t="str">
        <x:v>Dimitrina</x:v>
      </x:c>
      <x:c r="B90" t="str">
        <x:v>Shuleva</x:v>
      </x:c>
      <x:c r="C90" t="str">
        <x:v>dshuleva@controlunion.com</x:v>
      </x:c>
      <x:c r="D90" t="str">
        <x:v>8/31/26, 3:41:11 AM</x:v>
      </x:c>
      <x:c r="E90" t="str">
        <x:v>Registrado</x:v>
      </x:c>
      <x:c r="F90" t="str">
        <x:v>Bulgaria</x:v>
      </x:c>
      <x:c r="G90" t="str">
        <x:v>Control Union </x:v>
      </x:c>
    </x:row>
    <x:row r="91">
      <x:c r="A91" t="str">
        <x:v>Venelin</x:v>
      </x:c>
      <x:c r="B91" t="str">
        <x:v>Vasilev</x:v>
      </x:c>
      <x:c r="C91" t="str">
        <x:v>vasilev@pikant.bg</x:v>
      </x:c>
      <x:c r="D91" t="str">
        <x:v>8/31/26, 5:09:19 AM</x:v>
      </x:c>
      <x:c r="E91" t="str">
        <x:v>Registrado</x:v>
      </x:c>
      <x:c r="F91" t="str">
        <x:v>Bulgaria</x:v>
      </x:c>
      <x:c r="G91" t="str">
        <x:v>Pikant Trade Ltd.</x:v>
      </x:c>
    </x:row>
    <x:row r="92">
      <x:c r="A92" t="str">
        <x:v>Matheus</x:v>
      </x:c>
      <x:c r="B92" t="str">
        <x:v>Siqueira</x:v>
      </x:c>
      <x:c r="C92" t="str">
        <x:v>mcarpoviki@gmail.com</x:v>
      </x:c>
      <x:c r="D92" t="str">
        <x:v>8/31/26, 7:27:39 AM</x:v>
      </x:c>
      <x:c r="E92" t="str">
        <x:v>Registrado</x:v>
      </x:c>
      <x:c r="F92" t="str">
        <x:v>Brasil/São Paulo</x:v>
      </x:c>
      <x:c r="G92" t="str"/>
    </x:row>
    <x:row r="93">
      <x:c r="A93" t="str">
        <x:v>Francisco Manuel</x:v>
      </x:c>
      <x:c r="B93" t="str">
        <x:v>Vazquez Salar</x:v>
      </x:c>
      <x:c r="C93" t="str">
        <x:v>pacovsalar@hotmail.com</x:v>
      </x:c>
      <x:c r="D93" t="str">
        <x:v>8/31/26, 3:32:55 PM</x:v>
      </x:c>
      <x:c r="E93" t="str">
        <x:v>Registrado</x:v>
      </x:c>
      <x:c r="F93" t="str">
        <x:v>España</x:v>
      </x:c>
      <x:c r="G93" t="str"/>
    </x:row>
    <x:row r="94">
      <x:c r="A94" t="str">
        <x:v>Richard van</x:v>
      </x:c>
      <x:c r="B94" t="str">
        <x:v>Huissteden</x:v>
      </x:c>
      <x:c r="C94" t="str">
        <x:v>richard.van.huissteden@shimano-eu.com</x:v>
      </x:c>
      <x:c r="D94" t="str">
        <x:v>9/01/26, 6:32:57 AM</x:v>
      </x:c>
      <x:c r="E94" t="str">
        <x:v>Registrado</x:v>
      </x:c>
      <x:c r="F94" t="str"/>
      <x:c r="G94" t="str"/>
    </x:row>
    <x:row r="95">
      <x:c r="A95" t="str">
        <x:v>Fernando</x:v>
      </x:c>
      <x:c r="B95" t="str">
        <x:v>Giménez Lázaro</x:v>
      </x:c>
      <x:c r="C95" t="str">
        <x:v>exportregulatory@plymag.com</x:v>
      </x:c>
      <x:c r="D95" t="str">
        <x:v>9/01/26, 6:41:14 AM</x:v>
      </x:c>
      <x:c r="E95" t="str">
        <x:v>Registrado</x:v>
      </x:c>
      <x:c r="F95" t="str">
        <x:v>España</x:v>
      </x:c>
      <x:c r="G95" t="str">
        <x:v>PLYMAG S.L.</x:v>
      </x:c>
    </x:row>
    <x:row r="96">
      <x:c r="A96" t="str">
        <x:v>Rajiv Singh</x:v>
      </x:c>
      <x:c r="B96" t="str">
        <x:v>Choudhary</x:v>
      </x:c>
      <x:c r="C96" t="str">
        <x:v>rajivsingh.choudhary@indiska.se</x:v>
      </x:c>
      <x:c r="D96" t="str">
        <x:v>9/01/26, 6:42:22 AM</x:v>
      </x:c>
      <x:c r="E96" t="str">
        <x:v>Registrado</x:v>
      </x:c>
      <x:c r="F96" t="str">
        <x:v>India</x:v>
      </x:c>
      <x:c r="G96" t="str">
        <x:v>Indiska 1901</x:v>
      </x:c>
    </x:row>
    <x:row r="97">
      <x:c r="A97" t="str">
        <x:v>Erin</x:v>
      </x:c>
      <x:c r="B97" t="str">
        <x:v>Semple</x:v>
      </x:c>
      <x:c r="C97" t="str">
        <x:v>erin.semple@averydennison.com</x:v>
      </x:c>
      <x:c r="D97" t="str">
        <x:v>9/01/26, 8:10:52 AM</x:v>
      </x:c>
      <x:c r="E97" t="str">
        <x:v>Registrado</x:v>
      </x:c>
      <x:c r="F97" t="str">
        <x:v>United States</x:v>
      </x:c>
      <x:c r="G97" t="str">
        <x:v>Avery Dennison</x:v>
      </x:c>
    </x:row>
    <x:row r="98">
      <x:c r="A98" t="str">
        <x:v>Весела</x:v>
      </x:c>
      <x:c r="B98" t="str">
        <x:v>Стоева</x:v>
      </x:c>
      <x:c r="C98" t="str">
        <x:v>vesela.stoeva@sidorenko.net</x:v>
      </x:c>
      <x:c r="D98" t="str">
        <x:v>9/02/26, 2:45:22 AM</x:v>
      </x:c>
      <x:c r="E98" t="str">
        <x:v>Registrado</x:v>
      </x:c>
      <x:c r="F98" t="str">
        <x:v>Bulgaria</x:v>
      </x:c>
      <x:c r="G98" t="str">
        <x:v>Sidorenko Foodech</x:v>
      </x:c>
    </x:row>
    <x:row r="99">
      <x:c r="A99" t="str">
        <x:v>Maiken</x:v>
      </x:c>
      <x:c r="B99" t="str">
        <x:v>Vedel Bruun</x:v>
      </x:c>
      <x:c r="C99" t="str">
        <x:v>mvb@zolodk.com</x:v>
      </x:c>
      <x:c r="D99" t="str">
        <x:v>9/02/26, 7:26:22 AM</x:v>
      </x:c>
      <x:c r="E99" t="str">
        <x:v>Registrado</x:v>
      </x:c>
      <x:c r="F99" t="str">
        <x:v>Danmark</x:v>
      </x:c>
      <x:c r="G99" t="str">
        <x:v>ZOLO INTERNATIONAL TRADING APS</x:v>
      </x:c>
    </x:row>
    <x:row r="100">
      <x:c r="A100" t="str">
        <x:v>Widya</x:v>
      </x:c>
      <x:c r="B100" t="str">
        <x:v>Putri</x:v>
      </x:c>
      <x:c r="C100" t="str">
        <x:v>wputri@controlunion.com</x:v>
      </x:c>
      <x:c r="D100" t="str">
        <x:v>9/02/26, 11:39:25 AM</x:v>
      </x:c>
      <x:c r="E100" t="str">
        <x:v>Registrado</x:v>
      </x:c>
      <x:c r="F100" t="str">
        <x:v>Indonesia </x:v>
      </x:c>
      <x:c r="G100" t="str">
        <x:v>Control Union </x:v>
      </x:c>
    </x:row>
    <x:row r="101">
      <x:c r="A101" t="str">
        <x:v>Pauline</x:v>
      </x:c>
      <x:c r="B101" t="str">
        <x:v>Ketalu</x:v>
      </x:c>
      <x:c r="C101" t="str">
        <x:v>piiketalu@gmail.com</x:v>
      </x:c>
      <x:c r="D101" t="str">
        <x:v>9/02/26, 12:03:13 PM</x:v>
      </x:c>
      <x:c r="E101" t="str">
        <x:v>Registrado</x:v>
      </x:c>
      <x:c r="F101" t="str">
        <x:v>Australia </x:v>
      </x:c>
      <x:c r="G101" t="str">
        <x:v>Student</x:v>
      </x:c>
    </x:row>
    <x:row r="102">
      <x:c r="A102" t="str">
        <x:v>Sharareh</x:v>
      </x:c>
      <x:c r="B102" t="str">
        <x:v>de Kruif</x:v>
      </x:c>
      <x:c r="C102" t="str">
        <x:v>sdekruif@green-industry.nl</x:v>
      </x:c>
      <x:c r="D102" t="str">
        <x:v>9/02/26, 2:49:38 PM</x:v>
      </x:c>
      <x:c r="E102" t="str">
        <x:v>Registrado</x:v>
      </x:c>
      <x:c r="F102" t="str">
        <x:v>Netherlands</x:v>
      </x:c>
      <x:c r="G102" t="str"/>
    </x:row>
    <x:row r="103">
      <x:c r="A103" t="str">
        <x:v>Mikiyas</x:v>
      </x:c>
      <x:c r="B103" t="str">
        <x:v>kassaye</x:v>
      </x:c>
      <x:c r="C103" t="str">
        <x:v>mikiyaskassaye878@gmail.com</x:v>
      </x:c>
      <x:c r="D103" t="str">
        <x:v>9/02/26, 3:44:30 PM</x:v>
      </x:c>
      <x:c r="E103" t="str">
        <x:v>Registrado</x:v>
      </x:c>
      <x:c r="F103" t="str">
        <x:v>Ethiopia</x:v>
      </x:c>
      <x:c r="G103" t="str">
        <x:v>Proma Partners Plc</x:v>
      </x:c>
    </x:row>
    <x:row r="104">
      <x:c r="A104" t="str">
        <x:v>Darlin</x:v>
      </x:c>
      <x:c r="B104" t="str">
        <x:v>Mejia</x:v>
      </x:c>
      <x:c r="C104" t="str">
        <x:v>dcmejia@pantaleon.com</x:v>
      </x:c>
      <x:c r="D104" t="str">
        <x:v>9/03/26, 6:47:06 PM</x:v>
      </x:c>
      <x:c r="E104" t="str">
        <x:v>Registrado</x:v>
      </x:c>
      <x:c r="F104" t="str">
        <x:v>Guatemala </x:v>
      </x:c>
      <x:c r="G104" t="str">
        <x:v>Pantaleon S.A.</x:v>
      </x:c>
    </x:row>
    <x:row r="105">
      <x:c r="A105" t="str">
        <x:v>Octavio</x:v>
      </x:c>
      <x:c r="B105" t="str">
        <x:v>Mallea</x:v>
      </x:c>
      <x:c r="C105" t="str">
        <x:v>octavioignaciomallea@gmail.com</x:v>
      </x:c>
      <x:c r="D105" t="str">
        <x:v>9/03/26, 9:22:56 PM</x:v>
      </x:c>
      <x:c r="E105" t="str">
        <x:v>Registrado</x:v>
      </x:c>
      <x:c r="F105" t="str">
        <x:v>Chile</x:v>
      </x:c>
      <x:c r="G105" t="str">
        <x:v>Fiordo Austral</x:v>
      </x:c>
    </x:row>
    <x:row r="106">
      <x:c r="A106" t="str">
        <x:v>Leena</x:v>
      </x:c>
      <x:c r="B106" t="str">
        <x:v>Taha-Salaime</x:v>
      </x:c>
      <x:c r="C106" t="str">
        <x:v>leena.ta.salaime@gmail.com</x:v>
      </x:c>
      <x:c r="D106" t="str">
        <x:v>9/04/26, 5:33:52 AM</x:v>
      </x:c>
      <x:c r="E106" t="str">
        <x:v>Registrado</x:v>
      </x:c>
      <x:c r="F106" t="str">
        <x:v>Israel</x:v>
      </x:c>
      <x:c r="G106" t="str">
        <x:v>Senior International Scientific, Regulatory &amp; Strategic Consultant</x:v>
      </x:c>
    </x:row>
    <x:row r="107">
      <x:c r="A107" t="str">
        <x:v>Ольга</x:v>
      </x:c>
      <x:c r="B107" t="str">
        <x:v>Бирюкова</x:v>
      </x:c>
      <x:c r="C107" t="str">
        <x:v>bestennya@gmail.com</x:v>
      </x:c>
      <x:c r="D107" t="str">
        <x:v>9/04/26, 6:44:33 AM</x:v>
      </x:c>
      <x:c r="E107" t="str">
        <x:v>Registrado</x:v>
      </x:c>
      <x:c r="F107" t="str">
        <x:v>Украина</x:v>
      </x:c>
      <x:c r="G107" t="str">
        <x:v>Control Union Certifications Ukraine</x:v>
      </x:c>
    </x:row>
    <x:row r="108">
      <x:c r="A108" t="str">
        <x:v>Maria Macarena</x:v>
      </x:c>
      <x:c r="B108" t="str">
        <x:v>Melilli</x:v>
      </x:c>
      <x:c r="C108" t="str">
        <x:v>mmelilli@magyp.gob.ar</x:v>
      </x:c>
      <x:c r="D108" t="str">
        <x:v>9/04/26, 5:05:36 PM</x:v>
      </x:c>
      <x:c r="E108" t="str">
        <x:v>Registrado</x:v>
      </x:c>
      <x:c r="F108" t="str">
        <x:v>Argentina</x:v>
      </x:c>
      <x:c r="G108" t="str">
        <x:v>Secretaria de Agricultura</x:v>
      </x:c>
    </x:row>
    <x:row r="109">
      <x:c r="A109" t="str">
        <x:v>Amenda</x:v>
      </x:c>
      <x:c r="B109" t="str">
        <x:v>Wong</x:v>
      </x:c>
      <x:c r="C109" t="str">
        <x:v>prakkunthea3@gmail.com</x:v>
      </x:c>
      <x:c r="D109" t="str">
        <x:v>9/07/26, 1:35:58 AM</x:v>
      </x:c>
      <x:c r="E109" t="str">
        <x:v>Registrado</x:v>
      </x:c>
      <x:c r="F109" t="str">
        <x:v>China</x:v>
      </x:c>
      <x:c r="G109" t="str">
        <x:v>Plastic recycling </x:v>
      </x:c>
    </x:row>
    <x:row r="110">
      <x:c r="A110" t="str">
        <x:v>Umesha</x:v>
      </x:c>
      <x:c r="B110" t="str">
        <x:v>Maddumaarachchi</x:v>
      </x:c>
      <x:c r="C110" t="str">
        <x:v>umaddumaarachchi@controlunion.com</x:v>
      </x:c>
      <x:c r="D110" t="str">
        <x:v>9/07/26, 2:05:52 AM</x:v>
      </x:c>
      <x:c r="E110" t="str">
        <x:v>Registrado</x:v>
      </x:c>
      <x:c r="F110" t="str">
        <x:v>Sri Lanka</x:v>
      </x:c>
      <x:c r="G110" t="str">
        <x:v>Control Union Inspections Pvt. Ltd.</x:v>
      </x:c>
    </x:row>
    <x:row r="111">
      <x:c r="A111" t="str">
        <x:v>Dananja</x:v>
      </x:c>
      <x:c r="B111" t="str">
        <x:v>Kumarasinghe</x:v>
      </x:c>
      <x:c r="C111" t="str">
        <x:v>kumarasinghedananja99@gmail.com</x:v>
      </x:c>
      <x:c r="D111" t="str">
        <x:v>9/07/26, 2:34:23 AM</x:v>
      </x:c>
      <x:c r="E111" t="str">
        <x:v>Registrado</x:v>
      </x:c>
      <x:c r="F111" t="str">
        <x:v>Sri Lanka</x:v>
      </x:c>
      <x:c r="G111" t="str">
        <x:v>Control Union Pvt Ltd, Sri Lanka</x:v>
      </x:c>
    </x:row>
    <x:row r="112">
      <x:c r="A112" t="str">
        <x:v>Hansani</x:v>
      </x:c>
      <x:c r="B112" t="str">
        <x:v>Lakshani</x:v>
      </x:c>
      <x:c r="C112" t="str">
        <x:v>hansanilakshani55@gmail.com</x:v>
      </x:c>
      <x:c r="D112" t="str">
        <x:v>9/07/26, 2:55:16 AM</x:v>
      </x:c>
      <x:c r="E112" t="str">
        <x:v>Registrado</x:v>
      </x:c>
      <x:c r="F112" t="str">
        <x:v>Sri Lanka </x:v>
      </x:c>
      <x:c r="G112" t="str">
        <x:v>Bio extracts Pvt Ltd</x:v>
      </x:c>
    </x:row>
    <x:row r="113">
      <x:c r="A113" t="str">
        <x:v>Ashish</x:v>
      </x:c>
      <x:c r="B113" t="str">
        <x:v>Dev</x:v>
      </x:c>
      <x:c r="C113" t="str">
        <x:v>ashishchoorakkadan@gmail.com</x:v>
      </x:c>
      <x:c r="D113" t="str">
        <x:v>9/07/26, 3:14:42 AM</x:v>
      </x:c>
      <x:c r="E113" t="str">
        <x:v>Registrado</x:v>
      </x:c>
      <x:c r="F113" t="str">
        <x:v>India</x:v>
      </x:c>
      <x:c r="G113" t="str">
        <x:v>Consultant</x:v>
      </x:c>
    </x:row>
    <x:row r="114">
      <x:c r="A114" t="str">
        <x:v>Fathima</x:v>
      </x:c>
      <x:c r="B114" t="str">
        <x:v>Sasna</x:v>
      </x:c>
      <x:c r="C114" t="str">
        <x:v>hsasna19@gmail.com</x:v>
      </x:c>
      <x:c r="D114" t="str">
        <x:v>9/07/26, 3:45:33 AM</x:v>
      </x:c>
      <x:c r="E114" t="str">
        <x:v>Registrado</x:v>
      </x:c>
      <x:c r="F114" t="str">
        <x:v>Sri Lanka </x:v>
      </x:c>
      <x:c r="G114" t="str">
        <x:v>Asian sciences research pvtltd</x:v>
      </x:c>
    </x:row>
    <x:row r="115">
      <x:c r="A115" t="str">
        <x:v>Rasika</x:v>
      </x:c>
      <x:c r="B115" t="str">
        <x:v>Weerasooriya</x:v>
      </x:c>
      <x:c r="C115" t="str">
        <x:v>rasikaweerasooriya82@gmail.com</x:v>
      </x:c>
      <x:c r="D115" t="str">
        <x:v>9/07/26, 3:55:53 AM</x:v>
      </x:c>
      <x:c r="E115" t="str">
        <x:v>Registrado</x:v>
      </x:c>
      <x:c r="F115" t="str">
        <x:v>United Kingdom</x:v>
      </x:c>
      <x:c r="G115" t="str">
        <x:v>'-</x:v>
      </x:c>
    </x:row>
    <x:row r="116">
      <x:c r="A116" t="str">
        <x:v>Shehani</x:v>
      </x:c>
      <x:c r="B116" t="str">
        <x:v>Fernando</x:v>
      </x:c>
      <x:c r="C116" t="str">
        <x:v>sfernando9014@gmail.com</x:v>
      </x:c>
      <x:c r="D116" t="str">
        <x:v>9/07/26, 4:14:53 AM</x:v>
      </x:c>
      <x:c r="E116" t="str">
        <x:v>Registrado</x:v>
      </x:c>
      <x:c r="F116" t="str">
        <x:v>Sri Lanka</x:v>
      </x:c>
      <x:c r="G116" t="str">
        <x:v>Bio Extracts (Pvt) Ltd</x:v>
      </x:c>
    </x:row>
    <x:row r="117">
      <x:c r="A117" t="str">
        <x:v>Edita</x:v>
      </x:c>
      <x:c r="B117" t="str">
        <x:v>Kala</x:v>
      </x:c>
      <x:c r="C117" t="str">
        <x:v>e.kala@intersnackgroup.com</x:v>
      </x:c>
      <x:c r="D117" t="str">
        <x:v>9/07/26, 4:24:41 AM</x:v>
      </x:c>
      <x:c r="E117" t="str">
        <x:v>Registrado</x:v>
      </x:c>
      <x:c r="F117" t="str">
        <x:v>Germany</x:v>
      </x:c>
      <x:c r="G117" t="str">
        <x:v>Intersnack</x:v>
      </x:c>
    </x:row>
    <x:row r="118">
      <x:c r="A118" t="str">
        <x:v>Raul Mateo</x:v>
      </x:c>
      <x:c r="B118" t="str">
        <x:v>Perez</x:v>
      </x:c>
      <x:c r="C118" t="str">
        <x:v>rmateo@controlunion.com</x:v>
      </x:c>
      <x:c r="D118" t="str">
        <x:v>9/07/26, 4:37:05 AM</x:v>
      </x:c>
      <x:c r="E118" t="str">
        <x:v>Registrado</x:v>
      </x:c>
      <x:c r="F118" t="str"/>
      <x:c r="G118" t="str"/>
    </x:row>
    <x:row r="119">
      <x:c r="A119" t="str">
        <x:v>Esther</x:v>
      </x:c>
      <x:c r="B119" t="str">
        <x:v>Espina Tejeda</x:v>
      </x:c>
      <x:c r="C119" t="str">
        <x:v>eespina@controlunion.com</x:v>
      </x:c>
      <x:c r="D119" t="str">
        <x:v>9/07/26, 4:45:56 AM</x:v>
      </x:c>
      <x:c r="E119" t="str">
        <x:v>Registrado</x:v>
      </x:c>
      <x:c r="F119" t="str">
        <x:v>España</x:v>
      </x:c>
      <x:c r="G119" t="str">
        <x:v>CONTROL UNION WG SPAIN S.A.</x:v>
      </x:c>
    </x:row>
    <x:row r="120">
      <x:c r="A120" t="str">
        <x:v>Gayantha</x:v>
      </x:c>
      <x:c r="B120" t="str">
        <x:v>Jayasuriya</x:v>
      </x:c>
      <x:c r="C120" t="str">
        <x:v>gjayasuriya@onepeterson.com</x:v>
      </x:c>
      <x:c r="D120" t="str">
        <x:v>9/07/26, 4:46:29 AM</x:v>
      </x:c>
      <x:c r="E120" t="str">
        <x:v>Registrado</x:v>
      </x:c>
      <x:c r="F120" t="str">
        <x:v>Sri Lanka</x:v>
      </x:c>
      <x:c r="G120" t="str">
        <x:v>Peterson Solutions </x:v>
      </x:c>
    </x:row>
    <x:row r="121">
      <x:c r="A121" t="str">
        <x:v>Leticia</x:v>
      </x:c>
      <x:c r="B121" t="str">
        <x:v>Hernández</x:v>
      </x:c>
      <x:c r="C121" t="str">
        <x:v>leticia.hernandez@controlunion.com</x:v>
      </x:c>
      <x:c r="D121" t="str">
        <x:v>9/07/26, 5:05:11 AM</x:v>
      </x:c>
      <x:c r="E121" t="str">
        <x:v>Registrado</x:v>
      </x:c>
      <x:c r="F121" t="str">
        <x:v>España</x:v>
      </x:c>
      <x:c r="G121" t="str">
        <x:v>CONTROL UNION</x:v>
      </x:c>
    </x:row>
    <x:row r="122">
      <x:c r="A122" t="str">
        <x:v>Venkatesh</x:v>
      </x:c>
      <x:c r="B122" t="str">
        <x:v>Mutyala</x:v>
      </x:c>
      <x:c r="C122" t="str">
        <x:v>venkateshm@controlunion.com</x:v>
      </x:c>
      <x:c r="D122" t="str">
        <x:v>9/07/26, 5:28:18 AM</x:v>
      </x:c>
      <x:c r="E122" t="str">
        <x:v>Registrado</x:v>
      </x:c>
      <x:c r="F122" t="str">
        <x:v>India</x:v>
      </x:c>
      <x:c r="G122" t="str">
        <x:v>CU</x:v>
      </x:c>
    </x:row>
    <x:row r="123">
      <x:c r="A123" t="str">
        <x:v>Dilum</x:v>
      </x:c>
      <x:c r="B123" t="str">
        <x:v>Hasanka</x:v>
      </x:c>
      <x:c r="C123" t="str">
        <x:v>dilumhasankadreamz@gmail.com</x:v>
      </x:c>
      <x:c r="D123" t="str">
        <x:v>9/07/26, 5:47:38 AM</x:v>
      </x:c>
      <x:c r="E123" t="str">
        <x:v>Registrado</x:v>
      </x:c>
      <x:c r="F123" t="str">
        <x:v>Sri Lanka</x:v>
      </x:c>
      <x:c r="G123" t="str"/>
    </x:row>
    <x:row r="124">
      <x:c r="A124" t="str">
        <x:v>Thorsten</x:v>
      </x:c>
      <x:c r="B124" t="str">
        <x:v>Hausmann</x:v>
      </x:c>
      <x:c r="C124" t="str">
        <x:v>thorsten.hausmann@jokey.com</x:v>
      </x:c>
      <x:c r="D124" t="str">
        <x:v>9/07/26, 8:44:56 AM</x:v>
      </x:c>
      <x:c r="E124" t="str">
        <x:v>Registrado</x:v>
      </x:c>
      <x:c r="F124" t="str">
        <x:v>Deutschland</x:v>
      </x:c>
      <x:c r="G124" t="str">
        <x:v>DE123239087</x:v>
      </x:c>
    </x:row>
    <x:row r="125">
      <x:c r="A125" t="str">
        <x:v>Chathura</x:v>
      </x:c>
      <x:c r="B125" t="str">
        <x:v>RATHNASEKARAGE</x:v>
      </x:c>
      <x:c r="C125" t="str">
        <x:v>chathura@silvermillgroup.com</x:v>
      </x:c>
      <x:c r="D125" t="str">
        <x:v>9/07/26, 9:31:14 AM</x:v>
      </x:c>
      <x:c r="E125" t="str">
        <x:v>Registrado</x:v>
      </x:c>
      <x:c r="F125" t="str">
        <x:v>Srilanka </x:v>
      </x:c>
      <x:c r="G125" t="str">
        <x:v>Silvermill Natural Beverages Pvt Ltd</x:v>
      </x:c>
    </x:row>
    <x:row r="126">
      <x:c r="A126" t="str">
        <x:v>J.A.Y</x:v>
      </x:c>
      <x:c r="B126" t="str">
        <x:v>MADHUBHASHINI</x:v>
      </x:c>
      <x:c r="C126" t="str">
        <x:v>bhashijayasekara@gmail.com</x:v>
      </x:c>
      <x:c r="D126" t="str">
        <x:v>9/07/26, 9:54:50 AM</x:v>
      </x:c>
      <x:c r="E126" t="str">
        <x:v>Registrado</x:v>
      </x:c>
      <x:c r="F126" t="str">
        <x:v>Sri Lanka</x:v>
      </x:c>
      <x:c r="G126" t="str">
        <x:v>Undergraduate at University of Ruhuna </x:v>
      </x:c>
    </x:row>
    <x:row r="127">
      <x:c r="A127" t="str">
        <x:v>Lakmal</x:v>
      </x:c>
      <x:c r="B127" t="str">
        <x:v>Rathnayaka</x:v>
      </x:c>
      <x:c r="C127" t="str">
        <x:v>qa@qualitea.lk</x:v>
      </x:c>
      <x:c r="D127" t="str">
        <x:v>9/07/26, 10:15:46 AM</x:v>
      </x:c>
      <x:c r="E127" t="str">
        <x:v>Registrado</x:v>
      </x:c>
      <x:c r="F127" t="str">
        <x:v>Sri Lanka</x:v>
      </x:c>
      <x:c r="G127" t="str">
        <x:v>Qualitea Ceylon</x:v>
      </x:c>
    </x:row>
    <x:row r="128">
      <x:c r="A128" t="str">
        <x:v>Florencia</x:v>
      </x:c>
      <x:c r="B128" t="str">
        <x:v>Cantú</x:v>
      </x:c>
      <x:c r="C128" t="str">
        <x:v>fcantu@controlunion.com</x:v>
      </x:c>
      <x:c r="D128" t="str">
        <x:v>9/07/26, 11:33:56 AM</x:v>
      </x:c>
      <x:c r="E128" t="str">
        <x:v>Registrado</x:v>
      </x:c>
      <x:c r="F128" t="str">
        <x:v>México</x:v>
      </x:c>
      <x:c r="G128" t="str">
        <x:v>Control Union</x:v>
      </x:c>
    </x:row>
    <x:row r="129">
      <x:c r="A129" t="str">
        <x:v>Fatin Athilia</x:v>
      </x:c>
      <x:c r="B129" t="str">
        <x:v>Aidi Zameri</x:v>
      </x:c>
      <x:c r="C129" t="str">
        <x:v>fatinathilia@dcm-dic.com.my</x:v>
      </x:c>
      <x:c r="D129" t="str">
        <x:v>9/07/26, 2:29:05 PM</x:v>
      </x:c>
      <x:c r="E129" t="str">
        <x:v>Registrado</x:v>
      </x:c>
      <x:c r="F129" t="str">
        <x:v>Malaysia</x:v>
      </x:c>
      <x:c r="G129" t="str">
        <x:v>DIC COMPOUNDS (MALAYSIA)</x:v>
      </x:c>
    </x:row>
    <x:row r="130">
      <x:c r="A130" t="str">
        <x:v>sharon</x:v>
      </x:c>
      <x:c r="B130" t="str">
        <x:v>Raymond</x:v>
      </x:c>
      <x:c r="C130" t="str">
        <x:v>sharonr@rpet.co.il</x:v>
      </x:c>
      <x:c r="D130" t="str">
        <x:v>9/07/26, 3:05:24 PM</x:v>
      </x:c>
      <x:c r="E130" t="str">
        <x:v>Registrado</x:v>
      </x:c>
      <x:c r="F130" t="str">
        <x:v>Israel </x:v>
      </x:c>
      <x:c r="G130" t="str"/>
    </x:row>
    <x:row r="131">
      <x:c r="A131" t="str">
        <x:v>Maleesha</x:v>
      </x:c>
      <x:c r="B131" t="str">
        <x:v>Denuwan</x:v>
      </x:c>
      <x:c r="C131" t="str">
        <x:v>maleeshalrcc@gmail.com</x:v>
      </x:c>
      <x:c r="D131" t="str">
        <x:v>9/07/26, 10:23:19 PM</x:v>
      </x:c>
      <x:c r="E131" t="str">
        <x:v>Registrado</x:v>
      </x:c>
      <x:c r="F131" t="str">
        <x:v>Sri Lanka</x:v>
      </x:c>
      <x:c r="G131" t="str">
        <x:v>Lanka Responsible Care Council </x:v>
      </x:c>
    </x:row>
    <x:row r="132">
      <x:c r="A132" t="str">
        <x:v>Sepalika</x:v>
      </x:c>
      <x:c r="B132" t="str">
        <x:v>Thilakarathne</x:v>
      </x:c>
      <x:c r="C132" t="str">
        <x:v>sthilakarathne@controlunion.com</x:v>
      </x:c>
      <x:c r="D132" t="str">
        <x:v>9/08/26, 1:16:25 AM</x:v>
      </x:c>
      <x:c r="E132" t="str">
        <x:v>Registrado</x:v>
      </x:c>
      <x:c r="F132" t="str">
        <x:v>Sri Lanka</x:v>
      </x:c>
      <x:c r="G132" t="str">
        <x:v> CUSL</x:v>
      </x:c>
    </x:row>
    <x:row r="133">
      <x:c r="A133" t="str">
        <x:v>Line</x:v>
      </x:c>
      <x:c r="B133" t="str">
        <x:v>Kerbech</x:v>
      </x:c>
      <x:c r="C133" t="str">
        <x:v>line.kerbech@everrest.com</x:v>
      </x:c>
      <x:c r="D133" t="str">
        <x:v>9/08/26, 3:23:10 AM</x:v>
      </x:c>
      <x:c r="E133" t="str">
        <x:v>Registrado</x:v>
      </x:c>
      <x:c r="F133" t="str">
        <x:v>Danmark</x:v>
      </x:c>
      <x:c r="G133" t="str">
        <x:v>EverRest ApS</x:v>
      </x:c>
    </x:row>
    <x:row r="134">
      <x:c r="A134" t="str">
        <x:v>Juan</x:v>
      </x:c>
      <x:c r="B134" t="str">
        <x:v>Rico Zamorano</x:v>
      </x:c>
      <x:c r="C134" t="str">
        <x:v>juan.rico@alcaliber.com</x:v>
      </x:c>
      <x:c r="D134" t="str">
        <x:v>9/08/26, 4:29:19 AM</x:v>
      </x:c>
      <x:c r="E134" t="str">
        <x:v>Registrado</x:v>
      </x:c>
      <x:c r="F134" t="str">
        <x:v>España</x:v>
      </x:c>
      <x:c r="G134" t="str">
        <x:v>Alcaliber S.A.</x:v>
      </x:c>
    </x:row>
    <x:row r="135">
      <x:c r="A135" t="str">
        <x:v>andre</x:v>
      </x:c>
      <x:c r="B135" t="str">
        <x:v>Perez alonso</x:v>
      </x:c>
      <x:c r="C135" t="str">
        <x:v>a.perezalonso@kolmargroup.com</x:v>
      </x:c>
      <x:c r="D135" t="str">
        <x:v>9/08/26, 4:58:41 AM</x:v>
      </x:c>
      <x:c r="E135" t="str">
        <x:v>Registrado</x:v>
      </x:c>
      <x:c r="F135" t="str">
        <x:v>Suiza</x:v>
      </x:c>
      <x:c r="G135" t="str">
        <x:v>Kolmar Group AG</x:v>
      </x:c>
    </x:row>
    <x:row r="136">
      <x:c r="A136" t="str">
        <x:v>Shehara</x:v>
      </x:c>
      <x:c r="B136" t="str">
        <x:v>Fernando</x:v>
      </x:c>
      <x:c r="C136" t="str">
        <x:v>sheharamf@gmail.com</x:v>
      </x:c>
      <x:c r="D136" t="str">
        <x:v>9/08/26, 5:40:10 AM</x:v>
      </x:c>
      <x:c r="E136" t="str">
        <x:v>Registrado</x:v>
      </x:c>
      <x:c r="F136" t="str">
        <x:v>Sri Lanka </x:v>
      </x:c>
      <x:c r="G136" t="str">
        <x:v>Hayleys Aventura Pvt Ltd.</x:v>
      </x:c>
    </x:row>
    <x:row r="137">
      <x:c r="A137" t="str">
        <x:v>Vishal</x:v>
      </x:c>
      <x:c r="B137" t="str">
        <x:v>Borate</x:v>
      </x:c>
      <x:c r="C137" t="str">
        <x:v>vborate@controlunion.com</x:v>
      </x:c>
      <x:c r="D137" t="str">
        <x:v>9/08/26, 7:34:14 AM</x:v>
      </x:c>
      <x:c r="E137" t="str">
        <x:v>Registrado</x:v>
      </x:c>
      <x:c r="F137" t="str">
        <x:v>India</x:v>
      </x:c>
      <x:c r="G137" t="str">
        <x:v>Control Union India</x:v>
      </x:c>
    </x:row>
    <x:row r="138">
      <x:c r="A138" t="str">
        <x:v>Romulo</x:v>
      </x:c>
      <x:c r="B138" t="str">
        <x:v>Pereira</x:v>
      </x:c>
      <x:c r="C138" t="str">
        <x:v>romulo.pereira@archroma.com</x:v>
      </x:c>
      <x:c r="D138" t="str">
        <x:v>9/08/26, 8:27:41 AM</x:v>
      </x:c>
      <x:c r="E138" t="str">
        <x:v>Registrado</x:v>
      </x:c>
      <x:c r="F138" t="str">
        <x:v>Brazil</x:v>
      </x:c>
      <x:c r="G138" t="str">
        <x:v>Archroma</x:v>
      </x:c>
    </x:row>
    <x:row r="139">
      <x:c r="A139" t="str">
        <x:v>Abira</x:v>
      </x:c>
      <x:c r="B139" t="str">
        <x:v>Sivakumaran</x:v>
      </x:c>
      <x:c r="C139" t="str">
        <x:v>abira91siva@gmail.com</x:v>
      </x:c>
      <x:c r="D139" t="str">
        <x:v>9/08/26, 9:01:46 AM</x:v>
      </x:c>
      <x:c r="E139" t="str">
        <x:v>Registrado</x:v>
      </x:c>
      <x:c r="F139" t="str">
        <x:v>Sri Lanka</x:v>
      </x:c>
      <x:c r="G139" t="str">
        <x:v>Northern cooperative development bank </x:v>
      </x:c>
    </x:row>
    <x:row r="140">
      <x:c r="A140" t="str">
        <x:v>Taha</x:v>
      </x:c>
      <x:c r="B140" t="str">
        <x:v>Sulaiman</x:v>
      </x:c>
      <x:c r="C140" t="str">
        <x:v>taha_sulaiman@yahoo.com</x:v>
      </x:c>
      <x:c r="D140" t="str">
        <x:v>9/08/26, 10:49:19 AM</x:v>
      </x:c>
      <x:c r="E140" t="str">
        <x:v>Registrado</x:v>
      </x:c>
      <x:c r="F140" t="str">
        <x:v>Pakistan </x:v>
      </x:c>
      <x:c r="G140" t="str">
        <x:v>Aspin Pharma   </x:v>
      </x:c>
    </x:row>
    <x:row r="141">
      <x:c r="A141" t="str">
        <x:v>Paulo Canuto</x:v>
      </x:c>
      <x:c r="B141" t="str">
        <x:v>Barbosa Filho</x:v>
      </x:c>
      <x:c r="C141" t="str">
        <x:v>paulo.canuto@yahoo.com.br</x:v>
      </x:c>
      <x:c r="D141" t="str">
        <x:v>9/08/26, 1:02:33 PM</x:v>
      </x:c>
      <x:c r="E141" t="str">
        <x:v>Registrado</x:v>
      </x:c>
      <x:c r="F141" t="str">
        <x:v>Brasil</x:v>
      </x:c>
      <x:c r="G141" t="str">
        <x:v>N/A</x:v>
      </x:c>
    </x:row>
    <x:row r="142">
      <x:c r="A142" t="str">
        <x:v>Snezhana</x:v>
      </x:c>
      <x:c r="B142" t="str">
        <x:v>Terzieva</x:v>
      </x:c>
      <x:c r="C142" t="str">
        <x:v>lovekorn.st@gmail.com</x:v>
      </x:c>
      <x:c r="D142" t="str">
        <x:v>9/08/26, 1:17:44 PM</x:v>
      </x:c>
      <x:c r="E142" t="str">
        <x:v>Registrado</x:v>
      </x:c>
      <x:c r="F142" t="str">
        <x:v>United Kingdom</x:v>
      </x:c>
      <x:c r="G142" t="str"/>
    </x:row>
    <x:row r="143">
      <x:c r="A143" t="str">
        <x:v>Jean Carlo</x:v>
      </x:c>
      <x:c r="B143" t="str">
        <x:v>Rivera</x:v>
      </x:c>
      <x:c r="C143" t="str">
        <x:v>jrivera@controlunion.com</x:v>
      </x:c>
      <x:c r="D143" t="str">
        <x:v>9/08/26, 1:33:39 PM</x:v>
      </x:c>
      <x:c r="E143" t="str">
        <x:v>Registrado</x:v>
      </x:c>
      <x:c r="F143" t="str">
        <x:v>Perú </x:v>
      </x:c>
      <x:c r="G143" t="str">
        <x:v>Control Union</x:v>
      </x:c>
    </x:row>
    <x:row r="144">
      <x:c r="A144" t="str">
        <x:v>Venislava</x:v>
      </x:c>
      <x:c r="B144" t="str">
        <x:v>Lilova</x:v>
      </x:c>
      <x:c r="C144" t="str">
        <x:v>office@jlnpack.com</x:v>
      </x:c>
      <x:c r="D144" t="str">
        <x:v>9/08/26, 3:21:18 PM</x:v>
      </x:c>
      <x:c r="E144" t="str">
        <x:v>Registrado</x:v>
      </x:c>
      <x:c r="F144" t="str">
        <x:v>Bulgaria</x:v>
      </x:c>
      <x:c r="G144" t="str">
        <x:v>SD Jivkov Lilov Neshev</x:v>
      </x:c>
    </x:row>
    <x:row r="145">
      <x:c r="A145" t="str">
        <x:v>SHEHBAZ</x:v>
      </x:c>
      <x:c r="B145" t="str">
        <x:v>AHMED</x:v>
      </x:c>
      <x:c r="C145" t="str">
        <x:v>shehbazahmed743@gmail.com</x:v>
      </x:c>
      <x:c r="D145" t="str">
        <x:v>9/09/26, 2:29:34 AM</x:v>
      </x:c>
      <x:c r="E145" t="str">
        <x:v>Registrado</x:v>
      </x:c>
      <x:c r="F145" t="str">
        <x:v>PAKISTAN</x:v>
      </x:c>
      <x:c r="G145" t="str">
        <x:v>LIBERTY MILLS LIMITED</x:v>
      </x:c>
    </x:row>
    <x:row r="146">
      <x:c r="A146" t="str">
        <x:v>Rosa</x:v>
      </x:c>
      <x:c r="B146" t="str">
        <x:v>Cabezudo alvarado</x:v>
      </x:c>
      <x:c r="C146" t="str">
        <x:v>rlca1981@hotmail.com</x:v>
      </x:c>
      <x:c r="D146" t="str">
        <x:v>9/09/26, 3:07:11 AM</x:v>
      </x:c>
      <x:c r="E146" t="str">
        <x:v>Registrado</x:v>
      </x:c>
      <x:c r="F146" t="str">
        <x:v>España</x:v>
      </x:c>
      <x:c r="G146" t="str"/>
    </x:row>
    <x:row r="147">
      <x:c r="A147" t="str">
        <x:v>Baptiste</x:v>
      </x:c>
      <x:c r="B147" t="str">
        <x:v>Hardouin</x:v>
      </x:c>
      <x:c r="C147" t="str">
        <x:v>bhardouin@controlunion.com</x:v>
      </x:c>
      <x:c r="D147" t="str">
        <x:v>9/09/26, 4:16:32 AM</x:v>
      </x:c>
      <x:c r="E147" t="str">
        <x:v>Registrado</x:v>
      </x:c>
      <x:c r="F147" t="str">
        <x:v>France</x:v>
      </x:c>
      <x:c r="G147" t="str">
        <x:v>Control Union</x:v>
      </x:c>
    </x:row>
    <x:row r="148">
      <x:c r="A148" t="str">
        <x:v>Danijela</x:v>
      </x:c>
      <x:c r="B148" t="str">
        <x:v>Antov-Bozalo</x:v>
      </x:c>
      <x:c r="C148" t="str">
        <x:v>danijela.antovbozalo@jokey.com</x:v>
      </x:c>
      <x:c r="D148" t="str">
        <x:v>9/09/26, 4:41:27 AM</x:v>
      </x:c>
      <x:c r="E148" t="str">
        <x:v>Registrado</x:v>
      </x:c>
      <x:c r="F148" t="str">
        <x:v>Serbia</x:v>
      </x:c>
      <x:c r="G148" t="str">
        <x:v>Jokey BG d.o.o.</x:v>
      </x:c>
    </x:row>
    <x:row r="149">
      <x:c r="A149" t="str">
        <x:v>Saba</x:v>
      </x:c>
      <x:c r="B149" t="str">
        <x:v>Noreen</x:v>
      </x:c>
      <x:c r="C149" t="str">
        <x:v>noreensaba370@gmail.com</x:v>
      </x:c>
      <x:c r="D149" t="str">
        <x:v>9/09/26, 4:49:38 AM</x:v>
      </x:c>
      <x:c r="E149" t="str">
        <x:v>Registrado</x:v>
      </x:c>
      <x:c r="F149" t="str">
        <x:v>Pakistan</x:v>
      </x:c>
      <x:c r="G149" t="str">
        <x:v>Ihsan cotton products </x:v>
      </x:c>
    </x:row>
    <x:row r="150">
      <x:c r="A150" t="str">
        <x:v>Mahnoor</x:v>
      </x:c>
      <x:c r="B150" t="str">
        <x:v>Alam</x:v>
      </x:c>
      <x:c r="C150" t="str">
        <x:v>mahnooralam749@gmail.com</x:v>
      </x:c>
      <x:c r="D150" t="str">
        <x:v>9/09/26, 4:57:08 AM</x:v>
      </x:c>
      <x:c r="E150" t="str">
        <x:v>Registrado</x:v>
      </x:c>
      <x:c r="F150" t="str">
        <x:v>Pakistan</x:v>
      </x:c>
      <x:c r="G150" t="str">
        <x:v>Peterson Solutions </x:v>
      </x:c>
    </x:row>
    <x:row r="151">
      <x:c r="A151" t="str">
        <x:v>Muhammad Shahid</x:v>
      </x:c>
      <x:c r="B151" t="str">
        <x:v>Kamran</x:v>
      </x:c>
      <x:c r="C151" t="str">
        <x:v>shahid.kamran@fatima-group.com</x:v>
      </x:c>
      <x:c r="D151" t="str">
        <x:v>9/09/26, 6:16:40 AM</x:v>
      </x:c>
      <x:c r="E151" t="str">
        <x:v>Registrado</x:v>
      </x:c>
      <x:c r="F151" t="str">
        <x:v>Pakistan </x:v>
      </x:c>
      <x:c r="G151" t="str">
        <x:v>Reliance Weaving Mills Ltd. (Fatima Group)</x:v>
      </x:c>
    </x:row>
    <x:row r="152">
      <x:c r="A152" t="str">
        <x:v>Dilyana</x:v>
      </x:c>
      <x:c r="B152" t="str">
        <x:v>Popova</x:v>
      </x:c>
      <x:c r="C152" t="str">
        <x:v>office@amb-bg.com</x:v>
      </x:c>
      <x:c r="D152" t="str">
        <x:v>9/09/26, 6:19:14 AM</x:v>
      </x:c>
      <x:c r="E152" t="str">
        <x:v>Registrado</x:v>
      </x:c>
      <x:c r="F152" t="str">
        <x:v>Bulgaria</x:v>
      </x:c>
      <x:c r="G152" t="str">
        <x:v>AMB</x:v>
      </x:c>
    </x:row>
    <x:row r="153">
      <x:c r="A153" t="str">
        <x:v>Harry</x:v>
      </x:c>
      <x:c r="B153" t="str">
        <x:v>Lin</x:v>
      </x:c>
      <x:c r="C153" t="str">
        <x:v>harry1260@gmail.com</x:v>
      </x:c>
      <x:c r="D153" t="str">
        <x:v>9/09/26, 8:14:41 AM</x:v>
      </x:c>
      <x:c r="E153" t="str">
        <x:v>Registrado</x:v>
      </x:c>
      <x:c r="F153" t="str">
        <x:v>台灣</x:v>
      </x:c>
      <x:c r="G153" t="str"/>
    </x:row>
    <x:row r="154">
      <x:c r="A154" t="str">
        <x:v>Carina</x:v>
      </x:c>
      <x:c r="B154" t="str">
        <x:v>Gonçalves</x:v>
      </x:c>
      <x:c r="C154" t="str">
        <x:v>cgoncalves@controlunion.com</x:v>
      </x:c>
      <x:c r="D154" t="str">
        <x:v>9/09/26, 8:22:04 AM</x:v>
      </x:c>
      <x:c r="E154" t="str">
        <x:v>Registrado</x:v>
      </x:c>
      <x:c r="F154" t="str">
        <x:v>Portugal</x:v>
      </x:c>
      <x:c r="G154" t="str">
        <x:v>Control Union</x:v>
      </x:c>
    </x:row>
    <x:row r="155">
      <x:c r="A155" t="str">
        <x:v>Vanessa</x:v>
      </x:c>
      <x:c r="B155" t="str">
        <x:v>Leiva</x:v>
      </x:c>
      <x:c r="C155" t="str">
        <x:v>vleiva@controlunion.com</x:v>
      </x:c>
      <x:c r="D155" t="str">
        <x:v>9/09/26, 9:57:57 AM</x:v>
      </x:c>
      <x:c r="E155" t="str">
        <x:v>Registrado</x:v>
      </x:c>
      <x:c r="F155" t="str">
        <x:v>Chile</x:v>
      </x:c>
      <x:c r="G155" t="str">
        <x:v>Control Unión</x:v>
      </x:c>
    </x:row>
    <x:row r="156">
      <x:c r="A156" t="str">
        <x:v>Celeste</x:v>
      </x:c>
      <x:c r="B156" t="str">
        <x:v>van Rensburg</x:v>
      </x:c>
      <x:c r="C156" t="str">
        <x:v>cvrensburg@controlunion.com</x:v>
      </x:c>
      <x:c r="D156" t="str">
        <x:v>9/09/26, 10:49:14 AM</x:v>
      </x:c>
      <x:c r="E156" t="str">
        <x:v>Registrado</x:v>
      </x:c>
      <x:c r="F156" t="str">
        <x:v>South Africa</x:v>
      </x:c>
      <x:c r="G156" t="str">
        <x:v>Control Union </x:v>
      </x:c>
    </x:row>
    <x:row r="157">
      <x:c r="A157" t="str">
        <x:v>Sandra</x:v>
      </x:c>
      <x:c r="B157" t="str">
        <x:v>Gomes</x:v>
      </x:c>
      <x:c r="C157" t="str">
        <x:v>sandrag@publiambiente.pt</x:v>
      </x:c>
      <x:c r="D157" t="str">
        <x:v>9/09/26, 11:00:39 AM</x:v>
      </x:c>
      <x:c r="E157" t="str">
        <x:v>Registrado</x:v>
      </x:c>
      <x:c r="F157" t="str">
        <x:v>Portugal</x:v>
      </x:c>
      <x:c r="G157" t="str">
        <x:v>Publiambiente</x:v>
      </x:c>
    </x:row>
    <x:row r="158">
      <x:c r="A158" t="str">
        <x:v>Daniela</x:v>
      </x:c>
      <x:c r="B158" t="str">
        <x:v>Gomes</x:v>
      </x:c>
      <x:c r="C158" t="str">
        <x:v>daniela@publiambiente.pt</x:v>
      </x:c>
      <x:c r="D158" t="str">
        <x:v>9/09/26, 11:00:47 AM</x:v>
      </x:c>
      <x:c r="E158" t="str">
        <x:v>Registrado</x:v>
      </x:c>
      <x:c r="F158" t="str">
        <x:v>Portugal</x:v>
      </x:c>
      <x:c r="G158" t="str">
        <x:v>Publiambiente</x:v>
      </x:c>
    </x:row>
    <x:row r="159">
      <x:c r="A159" t="str">
        <x:v>Emily</x:v>
      </x:c>
      <x:c r="B159" t="str">
        <x:v>Gitonga</x:v>
      </x:c>
      <x:c r="C159" t="str">
        <x:v>egitonga@controlunion.com</x:v>
      </x:c>
      <x:c r="D159" t="str">
        <x:v>9/09/26, 11:01:27 AM</x:v>
      </x:c>
      <x:c r="E159" t="str">
        <x:v>Registrado</x:v>
      </x:c>
      <x:c r="F159" t="str"/>
      <x:c r="G159" t="str"/>
    </x:row>
    <x:row r="160">
      <x:c r="A160" t="str">
        <x:v>Dimitar</x:v>
      </x:c>
      <x:c r="B160" t="str">
        <x:v>Dyankov</x:v>
      </x:c>
      <x:c r="C160" t="str">
        <x:v>dimitar.diankov@cchellenic.com</x:v>
      </x:c>
      <x:c r="D160" t="str">
        <x:v>9/09/26, 11:02:30 AM</x:v>
      </x:c>
      <x:c r="E160" t="str">
        <x:v>Registrado</x:v>
      </x:c>
      <x:c r="F160" t="str">
        <x:v>Bulgaria</x:v>
      </x:c>
      <x:c r="G160" t="str">
        <x:v>Coca-Cola HBC</x:v>
      </x:c>
    </x:row>
    <x:row r="161">
      <x:c r="A161" t="str">
        <x:v>Ernesto</x:v>
      </x:c>
      <x:c r="B161" t="str">
        <x:v>Cabañas Pérez</x:v>
      </x:c>
      <x:c r="C161" t="str">
        <x:v>ecabanas@controlunion.com</x:v>
      </x:c>
      <x:c r="D161" t="str">
        <x:v>9/09/26, 11:07:49 AM</x:v>
      </x:c>
      <x:c r="E161" t="str">
        <x:v>Registrado</x:v>
      </x:c>
      <x:c r="F161" t="str">
        <x:v>España</x:v>
      </x:c>
      <x:c r="G161" t="str">
        <x:v>CU spain</x:v>
      </x:c>
    </x:row>
    <x:row r="162">
      <x:c r="A162" t="str">
        <x:v>Nidhi</x:v>
      </x:c>
      <x:c r="B162" t="str">
        <x:v>Thakkar</x:v>
      </x:c>
      <x:c r="C162" t="str">
        <x:v>nidhi.thakkar@cyclos.de</x:v>
      </x:c>
      <x:c r="D162" t="str">
        <x:v>9/09/26, 11:08:39 AM</x:v>
      </x:c>
      <x:c r="E162" t="str">
        <x:v>Registrado</x:v>
      </x:c>
      <x:c r="F162" t="str">
        <x:v>Germany</x:v>
      </x:c>
      <x:c r="G162" t="str">
        <x:v>cyclos</x:v>
      </x:c>
    </x:row>
    <x:row r="163">
      <x:c r="A163" t="str">
        <x:v>Frank</x:v>
      </x:c>
      <x:c r="B163" t="str">
        <x:v>Hattem, van</x:v>
      </x:c>
      <x:c r="C163" t="str">
        <x:v>frank.van.hattem@kiwa.com</x:v>
      </x:c>
      <x:c r="D163" t="str">
        <x:v>9/09/26, 11:11:03 AM</x:v>
      </x:c>
      <x:c r="E163" t="str">
        <x:v>Registrado</x:v>
      </x:c>
      <x:c r="F163" t="str">
        <x:v>Netherlands</x:v>
      </x:c>
      <x:c r="G163" t="str">
        <x:v>Kiwa</x:v>
      </x:c>
    </x:row>
    <x:row r="164">
      <x:c r="A164" t="str">
        <x:v>Miguel</x:v>
      </x:c>
      <x:c r="B164" t="str">
        <x:v>Villanueva</x:v>
      </x:c>
      <x:c r="C164" t="str">
        <x:v>miguel.villanueva@nutrisco.com</x:v>
      </x:c>
      <x:c r="D164" t="str">
        <x:v>9/09/26, 11:13:51 AM</x:v>
      </x:c>
      <x:c r="E164" t="str">
        <x:v>Registrado</x:v>
      </x:c>
      <x:c r="F164" t="str">
        <x:v>Chile</x:v>
      </x:c>
      <x:c r="G164" t="str">
        <x:v>Nutrisco</x:v>
      </x:c>
    </x:row>
  </x:sheetData>
  <x:pageMargins left="0.7" right="0.7" top="0.75" bottom="0.75" header="0.3" footer="0.3"/>
  <x:tableParts count="1">
    <x:tablePart xmlns:r="http://schemas.openxmlformats.org/officeDocument/2006/relationships" r:id="R48a3943643844d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6" t="str">
        <x:v>Nombre</x:v>
      </x:c>
      <x:c r="B1" s="56" t="str">
        <x:v>Primera entrada</x:v>
      </x:c>
      <x:c r="C1" s="56" t="str">
        <x:v>Última salida</x:v>
      </x:c>
      <x:c r="D1" s="56" t="str">
        <x:v>Duración de la reunión</x:v>
      </x:c>
      <x:c r="E1" s="56" t="str">
        <x:v>Correo electrónico</x:v>
      </x:c>
      <x:c r="F1" s="56" t="str">
        <x:v>Id. de participante (UPN)</x:v>
      </x:c>
      <x:c r="G1" s="56" t="str">
        <x:v>Rol</x:v>
      </x:c>
      <x:c r="H1" s="56" t="str">
        <x:v>Nombre de registro</x:v>
      </x:c>
      <x:c r="I1" s="56" t="str">
        <x:v>Apellidos de registro</x:v>
      </x:c>
      <x:c r="J1" s="56" t="str">
        <x:v>Correo electrónico de registro</x:v>
      </x:c>
      <x:c r="K1" s="56" t="str">
        <x:v>Hora de registro</x:v>
      </x:c>
      <x:c r="L1" s="56" t="str">
        <x:v>Estado del registro</x:v>
      </x:c>
      <x:c r="M1" s="56" t="str">
        <x:v>País o región</x:v>
      </x:c>
      <x:c r="N1" s="56" t="str">
        <x:v>Organización</x:v>
      </x:c>
      <x:c r="O1" s="56" t="str">
        <x:v>Interacción: preguntas de Preguntas y respuestas</x:v>
      </x:c>
      <x:c r="P1" s="56" t="str">
        <x:v>Interacción: respuestas de Preguntas y respuestas</x:v>
      </x:c>
      <x:c r="Q1" s="56" t="str">
        <x:v>Interacción: mejores respuestas de Preguntas y respuestas</x:v>
      </x:c>
      <x:c r="R1" s="56" t="str">
        <x:v>Interacción: discusiones de Preguntas y respuestas</x:v>
      </x:c>
      <x:c r="S1" s="56" t="str">
        <x:v>Interacción: Reacción-Aplauso</x:v>
      </x:c>
      <x:c r="T1" s="56" t="str">
        <x:v>Interacción: Reacción-Me divierte</x:v>
      </x:c>
      <x:c r="U1" s="56" t="str">
        <x:v>Interacción: Reacción-Me gusta</x:v>
      </x:c>
      <x:c r="V1" s="56" t="str">
        <x:v>Interacción: Reacción-Me encanta</x:v>
      </x:c>
      <x:c r="W1" s="56" t="str">
        <x:v>Interacción: Reacción-Me asombra</x:v>
      </x:c>
      <x:c r="X1" s="56" t="str">
        <x:v>Interacción: Cámara encendida</x:v>
      </x:c>
      <x:c r="Y1" s="56" t="str">
        <x:v>Interacción: Manos levantadas</x:v>
      </x:c>
      <x:c r="Z1" s="56" t="str">
        <x:v>Interacción: Audio activado</x:v>
      </x:c>
    </x:row>
    <x:row r="2">
      <x:c r="A2" t="str">
        <x:v>Francisco Capoulat</x:v>
      </x:c>
      <x:c r="B2" t="str">
        <x:v>9/09/26, 10:49:27 AM</x:v>
      </x:c>
      <x:c r="C2" t="str">
        <x:v>9/09/26, 12:33:21 PM</x:v>
      </x:c>
      <x:c r="D2" t="str">
        <x:v>1 h 43 min 53s</x:v>
      </x:c>
      <x:c r="E2" t="str">
        <x:v>fcapoulat@onepeterson.com</x:v>
      </x:c>
      <x:c r="F2" t="str">
        <x:v>fcapoulat@pcugroup.com</x:v>
      </x:c>
      <x:c r="G2" t="str">
        <x:v>Organizador</x:v>
      </x:c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>
        <x:v>5</x:v>
      </x:c>
      <x:c r="Y2" t="str"/>
      <x:c r="Z2" t="str">
        <x:v>2</x:v>
      </x:c>
    </x:row>
    <x:row r="3">
      <x:c r="A3" t="str">
        <x:v>Sebastian Ortega (Externo)</x:v>
      </x:c>
      <x:c r="B3" t="str">
        <x:v>9/09/26, 10:48:27 AM</x:v>
      </x:c>
      <x:c r="C3" t="str">
        <x:v>9/09/26, 11:18:05 AM</x:v>
      </x:c>
      <x:c r="D3" t="str">
        <x:v>29 min 37s</x:v>
      </x:c>
      <x:c r="E3" t="str">
        <x:v>sortega@silchron.com</x:v>
      </x:c>
      <x:c r="F3" t="str">
        <x:v>sortega@silchron.com</x:v>
      </x:c>
      <x:c r="G3" t="str">
        <x:v>Asistente</x:v>
      </x:c>
      <x:c r="H3" t="str">
        <x:v>Sebastian</x:v>
      </x:c>
      <x:c r="I3" t="str">
        <x:v>Ortega</x:v>
      </x:c>
      <x:c r="J3" t="str">
        <x:v>sortega@silchron.com</x:v>
      </x:c>
      <x:c r="K3" t="str">
        <x:v>8/28/26, 10:59:35 AM</x:v>
      </x:c>
      <x:c r="L3" t="str">
        <x:v>Registrado</x:v>
      </x:c>
      <x:c r="M3" t="str">
        <x:v>Chile</x:v>
      </x:c>
      <x:c r="N3" t="str">
        <x:v>Silchron</x:v>
      </x:c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>
        <x:v>1</x:v>
      </x:c>
    </x:row>
    <x:row r="4">
      <x:c r="A4" t="str">
        <x:v>Krizsan Adam (Invitado)</x:v>
      </x:c>
      <x:c r="B4" t="str">
        <x:v>9/09/26, 10:49:13 AM</x:v>
      </x:c>
      <x:c r="C4" t="str">
        <x:v>9/09/26, 12:09:54 PM</x:v>
      </x:c>
      <x:c r="D4" t="str">
        <x:v>1 h 18 min 37s</x:v>
      </x:c>
      <x:c r="E4" t="str">
        <x:v>Adam.krizsan@alpla.com</x:v>
      </x:c>
      <x:c r="F4" t="str">
        <x:v>Adam.krizsan_alpla.com#EXT#@pcugroup.onmicrosoft.com</x:v>
      </x:c>
      <x:c r="G4" t="str">
        <x:v>Moderador</x:v>
      </x:c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>
        <x:v>3</x:v>
      </x:c>
      <x:c r="Y4" t="str"/>
      <x:c r="Z4" t="str">
        <x:v>2</x:v>
      </x:c>
    </x:row>
    <x:row r="5">
      <x:c r="A5" t="str">
        <x:v>Celeste van Rensburg</x:v>
      </x:c>
      <x:c r="B5" t="str">
        <x:v>9/09/26, 10:49:39 AM</x:v>
      </x:c>
      <x:c r="C5" t="str">
        <x:v>9/09/26, 12:31:44 PM</x:v>
      </x:c>
      <x:c r="D5" t="str">
        <x:v>1 h 42 min 4s</x:v>
      </x:c>
      <x:c r="E5" t="str">
        <x:v>cvrensburg@controlunion.com</x:v>
      </x:c>
      <x:c r="F5" t="str">
        <x:v>cvrensburg@pcugroup.com</x:v>
      </x:c>
      <x:c r="G5" t="str">
        <x:v>Asistente</x:v>
      </x:c>
      <x:c r="H5" t="str">
        <x:v>Celeste</x:v>
      </x:c>
      <x:c r="I5" t="str">
        <x:v>van Rensburg</x:v>
      </x:c>
      <x:c r="J5" t="str">
        <x:v>cvrensburg@controlunion.com</x:v>
      </x:c>
      <x:c r="K5" t="str">
        <x:v>9/09/26, 10:49:14 AM</x:v>
      </x:c>
      <x:c r="L5" t="str">
        <x:v>Registrado</x:v>
      </x:c>
      <x:c r="M5" t="str">
        <x:v>South Africa</x:v>
      </x:c>
      <x:c r="N5" t="str">
        <x:v>Control Union </x:v>
      </x:c>
      <x:c r="O5" t="str">
        <x:v>1</x:v>
      </x:c>
      <x:c r="P5" t="str"/>
      <x:c r="Q5" t="str"/>
      <x:c r="R5" t="str"/>
      <x:c r="S5" t="str"/>
      <x:c r="T5" t="str"/>
      <x:c r="U5" t="str">
        <x:v>1</x:v>
      </x:c>
      <x:c r="V5" t="str"/>
      <x:c r="W5" t="str"/>
      <x:c r="X5" t="str"/>
      <x:c r="Y5" t="str"/>
      <x:c r="Z5" t="str"/>
    </x:row>
    <x:row r="6">
      <x:c r="A6" t="str">
        <x:v>Carlos Merida (Externo)</x:v>
      </x:c>
      <x:c r="B6" t="str">
        <x:v>9/09/26, 10:51:01 AM</x:v>
      </x:c>
      <x:c r="C6" t="str">
        <x:v>9/09/26, 12:33:20 PM</x:v>
      </x:c>
      <x:c r="D6" t="str">
        <x:v>1 h 42 min 19s</x:v>
      </x:c>
      <x:c r="E6" t="str">
        <x:v>merida@iscc-system.org</x:v>
      </x:c>
      <x:c r="F6" t="str">
        <x:v>merida@iscc-system.org</x:v>
      </x:c>
      <x:c r="G6" t="str">
        <x:v>Moderador externo</x:v>
      </x:c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>
        <x:v>4</x:v>
      </x:c>
      <x:c r="Y6" t="str"/>
      <x:c r="Z6" t="str">
        <x:v>3</x:v>
      </x:c>
    </x:row>
    <x:row r="7">
      <x:c r="A7" t="str">
        <x:v>Tanja Tiede</x:v>
      </x:c>
      <x:c r="B7" t="str">
        <x:v>9/09/26, 10:51:35 AM</x:v>
      </x:c>
      <x:c r="C7" t="str">
        <x:v>9/09/26, 12:31:47 PM</x:v>
      </x:c>
      <x:c r="D7" t="str">
        <x:v>1 h 40 min 11s</x:v>
      </x:c>
      <x:c r="E7" t="str">
        <x:v>ttiede@controlunion.com</x:v>
      </x:c>
      <x:c r="F7" t="str">
        <x:v>ttiede@pcugroup.com</x:v>
      </x:c>
      <x:c r="G7" t="str">
        <x:v>Moderador</x:v>
      </x:c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>
        <x:v>2</x:v>
      </x:c>
      <x:c r="Y7" t="str"/>
      <x:c r="Z7" t="str">
        <x:v>2</x:v>
      </x:c>
    </x:row>
    <x:row r="8">
      <x:c r="A8" t="str">
        <x:v>Dimitrina Shuleva</x:v>
      </x:c>
      <x:c r="B8" t="str">
        <x:v>9/09/26, 10:52:27 AM</x:v>
      </x:c>
      <x:c r="C8" t="str">
        <x:v>9/09/26, 12:31:46 PM</x:v>
      </x:c>
      <x:c r="D8" t="str">
        <x:v>1 h 39 min 19s</x:v>
      </x:c>
      <x:c r="E8" t="str">
        <x:v>dshuleva@controlunion.com</x:v>
      </x:c>
      <x:c r="F8" t="str">
        <x:v>dshuleva@pcugroup.com</x:v>
      </x:c>
      <x:c r="G8" t="str">
        <x:v>Asistente</x:v>
      </x:c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</x:row>
    <x:row r="9">
      <x:c r="A9" t="str">
        <x:v>Adelaida Alarcón</x:v>
      </x:c>
      <x:c r="B9" t="str">
        <x:v>9/09/26, 10:53:19 AM</x:v>
      </x:c>
      <x:c r="C9" t="str">
        <x:v>9/09/26, 12:31:46 PM</x:v>
      </x:c>
      <x:c r="D9" t="str">
        <x:v>1 h 38 min 26s</x:v>
      </x:c>
      <x:c r="E9" t="str">
        <x:v>aalarcon@controlunion.com</x:v>
      </x:c>
      <x:c r="F9" t="str">
        <x:v>aalarcon@pcugroup.com</x:v>
      </x:c>
      <x:c r="G9" t="str">
        <x:v>Moderador</x:v>
      </x:c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>
        <x:v>4</x:v>
      </x:c>
      <x:c r="Y9" t="str">
        <x:v>1</x:v>
      </x:c>
      <x:c r="Z9" t="str">
        <x:v>2</x:v>
      </x:c>
    </x:row>
    <x:row r="10">
      <x:c r="A10" t="str">
        <x:v>Muhammad Junaid (No comprobado)</x:v>
      </x:c>
      <x:c r="B10" t="str">
        <x:v>9/09/26, 10:56:28 AM</x:v>
      </x:c>
      <x:c r="C10" t="str">
        <x:v>9/09/26, 12:31:51 PM</x:v>
      </x:c>
      <x:c r="D10" t="str">
        <x:v>1 h 35 min 22s</x:v>
      </x:c>
      <x:c r="E10" t="str"/>
      <x:c r="F10" t="str"/>
      <x:c r="G10" t="str">
        <x:v>Asistente</x:v>
      </x:c>
      <x:c r="H10" t="str">
        <x:v>Muhammad</x:v>
      </x:c>
      <x:c r="I10" t="str">
        <x:v>Junaid</x:v>
      </x:c>
      <x:c r="J10" t="str">
        <x:v>junaid.upax@gmail.com</x:v>
      </x:c>
      <x:c r="K10" t="str">
        <x:v>8/27/26, 11:23:20 PM</x:v>
      </x:c>
      <x:c r="L10" t="str">
        <x:v>Registrado</x:v>
      </x:c>
      <x:c r="M10" t="str">
        <x:v>Pakistan</x:v>
      </x:c>
      <x:c r="N10" t="str">
        <x:v>Printech Packages pvt Ltd </x:v>
      </x:c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>
        <x:v>1</x:v>
      </x:c>
      <x:c r="Z10" t="str">
        <x:v>1</x:v>
      </x:c>
    </x:row>
    <x:row r="11">
      <x:c r="A11" t="str">
        <x:v>J. Metodieva (No comprobado)</x:v>
      </x:c>
      <x:c r="B11" t="str">
        <x:v>9/09/26, 10:56:35 AM</x:v>
      </x:c>
      <x:c r="C11" t="str">
        <x:v>9/09/26, 10:58:16 AM</x:v>
      </x:c>
      <x:c r="D11" t="str">
        <x:v>1 min 41s</x:v>
      </x:c>
      <x:c r="E11" t="str"/>
      <x:c r="F11" t="str"/>
      <x:c r="G11" t="str">
        <x:v>Asistente</x:v>
      </x:c>
      <x:c r="H11" t="str">
        <x:v>Jacquelina</x:v>
      </x:c>
      <x:c r="I11" t="str">
        <x:v>Metodieva</x:v>
      </x:c>
      <x:c r="J11" t="str">
        <x:v>zhmetodieva@moew.government.bg</x:v>
      </x:c>
      <x:c r="K11" t="str">
        <x:v>8/27/26, 5:09:08 AM</x:v>
      </x:c>
      <x:c r="L11" t="str">
        <x:v>Registrado</x:v>
      </x:c>
      <x:c r="M11" t="str">
        <x:v>Bulgaria</x:v>
      </x:c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</x:row>
    <x:row r="12">
      <x:c r="A12" t="str">
        <x:v>Harry (No comprobado)</x:v>
      </x:c>
      <x:c r="B12" t="str">
        <x:v>9/09/26, 10:56:53 AM</x:v>
      </x:c>
      <x:c r="C12" t="str">
        <x:v>9/09/26, 12:31:51 PM</x:v>
      </x:c>
      <x:c r="D12" t="str">
        <x:v>1 h 34 min 57s</x:v>
      </x:c>
      <x:c r="E12" t="str"/>
      <x:c r="F12" t="str"/>
      <x:c r="G12" t="str">
        <x:v>Asistente</x:v>
      </x:c>
      <x:c r="H12" t="str">
        <x:v>Harry</x:v>
      </x:c>
      <x:c r="I12" t="str">
        <x:v>Lin</x:v>
      </x:c>
      <x:c r="J12" t="str">
        <x:v>harry1260@gmail.com</x:v>
      </x:c>
      <x:c r="K12" t="str">
        <x:v>9/09/26, 8:14:41 AM</x:v>
      </x:c>
      <x:c r="L12" t="str">
        <x:v>Registrado</x:v>
      </x:c>
      <x:c r="M12" t="str">
        <x:v>台灣</x:v>
      </x:c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</x:row>
    <x:row r="13">
      <x:c r="A13" t="str">
        <x:v>Dragana Radenkovic</x:v>
      </x:c>
      <x:c r="B13" t="str">
        <x:v>9/09/26, 10:57:00 AM</x:v>
      </x:c>
      <x:c r="C13" t="str">
        <x:v>9/09/26, 12:31:45 PM</x:v>
      </x:c>
      <x:c r="D13" t="str">
        <x:v>1 h 34 min 45s</x:v>
      </x:c>
      <x:c r="E13" t="str"/>
      <x:c r="F13" t="str"/>
      <x:c r="G13" t="str">
        <x:v>Asistente</x:v>
      </x:c>
      <x:c r="H13" t="str">
        <x:v>Dragana</x:v>
      </x:c>
      <x:c r="I13" t="str">
        <x:v>Radenkovic</x:v>
      </x:c>
      <x:c r="J13" t="str">
        <x:v>dradenkovic@controlunion.com</x:v>
      </x:c>
      <x:c r="K13" t="str">
        <x:v>8/14/26, 7:58:28 AM</x:v>
      </x:c>
      <x:c r="L13" t="str">
        <x:v>Registrado</x:v>
      </x:c>
      <x:c r="M13" t="str">
        <x:v>Serbia</x:v>
      </x:c>
      <x:c r="N13" t="str">
        <x:v>Control Union Danube</x:v>
      </x:c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</x:row>
    <x:row r="14">
      <x:c r="A14" t="str">
        <x:v>Diego Rozo (Externo)</x:v>
      </x:c>
      <x:c r="B14" t="str">
        <x:v>9/09/26, 10:57:01 AM</x:v>
      </x:c>
      <x:c r="C14" t="str">
        <x:v>9/09/26, 12:31:44 PM</x:v>
      </x:c>
      <x:c r="D14" t="str">
        <x:v>1 h 30 min 9s</x:v>
      </x:c>
      <x:c r="E14" t="str">
        <x:v>diego.rozo@plasticsrecyclers.eu</x:v>
      </x:c>
      <x:c r="F14" t="str">
        <x:v>diego.rozo@plasticsrecyclers.eu</x:v>
      </x:c>
      <x:c r="G14" t="str">
        <x:v>Moderador externo</x:v>
      </x:c>
      <x:c r="H14" t="str"/>
      <x:c r="I14" t="str"/>
      <x:c r="J14" t="str"/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>
        <x:v>3</x:v>
      </x:c>
      <x:c r="Y14" t="str"/>
      <x:c r="Z14" t="str">
        <x:v>2</x:v>
      </x:c>
    </x:row>
    <x:row r="15">
      <x:c r="A15" t="str">
        <x:v>Edita Kala (Externo)</x:v>
      </x:c>
      <x:c r="B15" t="str">
        <x:v>9/09/26, 10:57:04 AM</x:v>
      </x:c>
      <x:c r="C15" t="str">
        <x:v>9/09/26, 11:26:23 AM</x:v>
      </x:c>
      <x:c r="D15" t="str">
        <x:v>29 min 18s</x:v>
      </x:c>
      <x:c r="E15" t="str">
        <x:v>e.kala@intersnackgroup.com</x:v>
      </x:c>
      <x:c r="F15" t="str">
        <x:v>e.kala@intersnackgroup.com</x:v>
      </x:c>
      <x:c r="G15" t="str">
        <x:v>Asistente</x:v>
      </x:c>
      <x:c r="H15" t="str">
        <x:v>Edita</x:v>
      </x:c>
      <x:c r="I15" t="str">
        <x:v>Kala</x:v>
      </x:c>
      <x:c r="J15" t="str">
        <x:v>e.kala@intersnackgroup.com</x:v>
      </x:c>
      <x:c r="K15" t="str">
        <x:v>9/07/26, 4:24:41 AM</x:v>
      </x:c>
      <x:c r="L15" t="str">
        <x:v>Registrado</x:v>
      </x:c>
      <x:c r="M15" t="str">
        <x:v>Germany</x:v>
      </x:c>
      <x:c r="N15" t="str">
        <x:v>Intersnack</x:v>
      </x:c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</x:row>
    <x:row r="16">
      <x:c r="A16" t="str">
        <x:v>Sukanya Dathong</x:v>
      </x:c>
      <x:c r="B16" t="str">
        <x:v>9/09/26, 10:58:02 AM</x:v>
      </x:c>
      <x:c r="C16" t="str">
        <x:v>9/09/26, 12:31:43 PM</x:v>
      </x:c>
      <x:c r="D16" t="str">
        <x:v>1 h 33 min 41s</x:v>
      </x:c>
      <x:c r="E16" t="str">
        <x:v>Sukanya.Dathong@doleintl.com</x:v>
      </x:c>
      <x:c r="F16" t="str">
        <x:v>Sukanya.Dathong@DOLEINTL.COM</x:v>
      </x:c>
      <x:c r="G16" t="str">
        <x:v>Asistente</x:v>
      </x:c>
      <x:c r="H16" t="str">
        <x:v>Sukanya</x:v>
      </x:c>
      <x:c r="I16" t="str">
        <x:v>Dathong</x:v>
      </x:c>
      <x:c r="J16" t="str">
        <x:v>sukanya.dathong@doleintl.com</x:v>
      </x:c>
      <x:c r="K16" t="str">
        <x:v>8/21/26, 5:50:01 AM</x:v>
      </x:c>
      <x:c r="L16" t="str">
        <x:v>Registrado</x:v>
      </x:c>
      <x:c r="M16" t="str">
        <x:v>Thailand</x:v>
      </x:c>
      <x:c r="N16" t="str">
        <x:v>Dole</x:v>
      </x:c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</x:row>
    <x:row r="17">
      <x:c r="A17" t="str">
        <x:v>Baptiste Hardouin</x:v>
      </x:c>
      <x:c r="B17" t="str">
        <x:v>9/09/26, 10:58:11 AM</x:v>
      </x:c>
      <x:c r="C17" t="str">
        <x:v>9/09/26, 12:32:25 PM</x:v>
      </x:c>
      <x:c r="D17" t="str">
        <x:v>1 h 34 min 14s</x:v>
      </x:c>
      <x:c r="E17" t="str">
        <x:v>bhardouin@controlunion.com</x:v>
      </x:c>
      <x:c r="F17" t="str">
        <x:v>bhardouin@pcugroup.com</x:v>
      </x:c>
      <x:c r="G17" t="str">
        <x:v>Asistente</x:v>
      </x:c>
      <x:c r="H17" t="str"/>
      <x:c r="I17" t="str"/>
      <x:c r="J17" t="str"/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/>
      <x:c r="Y17" t="str"/>
      <x:c r="Z17" t="str"/>
    </x:row>
    <x:row r="18">
      <x:c r="A18" t="str">
        <x:v>Joppe Ireland | GoodPlanet Belgium (Externo)</x:v>
      </x:c>
      <x:c r="B18" t="str">
        <x:v>9/09/26, 10:58:12 AM</x:v>
      </x:c>
      <x:c r="C18" t="str">
        <x:v>9/09/26, 11:26:14 AM</x:v>
      </x:c>
      <x:c r="D18" t="str">
        <x:v>28 min 2s</x:v>
      </x:c>
      <x:c r="E18" t="str">
        <x:v>j.ireland@goodplanet.be</x:v>
      </x:c>
      <x:c r="F18" t="str">
        <x:v>j.ireland@goodplanet.be</x:v>
      </x:c>
      <x:c r="G18" t="str">
        <x:v>Asistente</x:v>
      </x:c>
      <x:c r="H18" t="str"/>
      <x:c r="I18" t="str"/>
      <x:c r="J18" t="str"/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/>
      <x:c r="Z18" t="str"/>
    </x:row>
    <x:row r="19">
      <x:c r="A19" t="str">
        <x:v>V-T Trade</x:v>
      </x:c>
      <x:c r="B19" t="str">
        <x:v>9/09/26, 10:58:26 AM</x:v>
      </x:c>
      <x:c r="C19" t="str">
        <x:v>9/09/26, 11:04:32 AM</x:v>
      </x:c>
      <x:c r="D19" t="str">
        <x:v>6 min 5s</x:v>
      </x:c>
      <x:c r="E19" t="str"/>
      <x:c r="F19" t="str"/>
      <x:c r="G19" t="str">
        <x:v>Asistente</x:v>
      </x:c>
      <x:c r="H19" t="str">
        <x:v>Dilyana</x:v>
      </x:c>
      <x:c r="I19" t="str">
        <x:v>Popova</x:v>
      </x:c>
      <x:c r="J19" t="str">
        <x:v>office@amb-bg.com</x:v>
      </x:c>
      <x:c r="K19" t="str">
        <x:v>9/09/26, 6:19:14 AM</x:v>
      </x:c>
      <x:c r="L19" t="str">
        <x:v>Registrado</x:v>
      </x:c>
      <x:c r="M19" t="str">
        <x:v>Bulgaria</x:v>
      </x:c>
      <x:c r="N19" t="str">
        <x:v>AMB</x:v>
      </x:c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/>
      <x:c r="Y19" t="str"/>
      <x:c r="Z19" t="str"/>
    </x:row>
    <x:row r="20">
      <x:c r="A20" t="str">
        <x:v>Costel Suditu</x:v>
      </x:c>
      <x:c r="B20" t="str">
        <x:v>9/09/26, 10:58:52 AM</x:v>
      </x:c>
      <x:c r="C20" t="str">
        <x:v>9/09/26, 12:35:28 PM</x:v>
      </x:c>
      <x:c r="D20" t="str">
        <x:v>1 h 36 min 36s</x:v>
      </x:c>
      <x:c r="E20" t="str">
        <x:v>costel.suditu@greentech.ro</x:v>
      </x:c>
      <x:c r="F20" t="str">
        <x:v>costel.suditu@greenfiber.ro</x:v>
      </x:c>
      <x:c r="G20" t="str">
        <x:v>Asistente</x:v>
      </x:c>
      <x:c r="H20" t="str"/>
      <x:c r="I20" t="str"/>
      <x:c r="J20" t="str"/>
      <x:c r="K20" t="str"/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  <x:c r="X20" t="str"/>
      <x:c r="Y20" t="str"/>
      <x:c r="Z20" t="str"/>
    </x:row>
    <x:row r="21">
      <x:c r="A21" t="str">
        <x:v>Pakuote Ratu (Externo)</x:v>
      </x:c>
      <x:c r="B21" t="str">
        <x:v>9/09/26, 10:59:06 AM</x:v>
      </x:c>
      <x:c r="C21" t="str">
        <x:v>9/09/26, 12:31:29 PM</x:v>
      </x:c>
      <x:c r="D21" t="str">
        <x:v>1 h 32 min 23s</x:v>
      </x:c>
      <x:c r="E21" t="str">
        <x:v>info@pakuoteratu.lt</x:v>
      </x:c>
      <x:c r="F21" t="str">
        <x:v>info@pakuoteratu.lt</x:v>
      </x:c>
      <x:c r="G21" t="str">
        <x:v>Asistente</x:v>
      </x:c>
      <x:c r="H21" t="str">
        <x:v>Morta</x:v>
      </x:c>
      <x:c r="I21" t="str">
        <x:v>Ramoskaite</x:v>
      </x:c>
      <x:c r="J21" t="str">
        <x:v>info@pakuoteratu.lt</x:v>
      </x:c>
      <x:c r="K21" t="str">
        <x:v>8/26/26, 6:53:03 AM</x:v>
      </x:c>
      <x:c r="L21" t="str">
        <x:v>Registrado</x:v>
      </x:c>
      <x:c r="M21" t="str">
        <x:v>Lithuania</x:v>
      </x:c>
      <x:c r="N21" t="str">
        <x:v>Pakuote Ratu VsI</x:v>
      </x:c>
      <x:c r="O21" t="str"/>
      <x:c r="P21" t="str"/>
      <x:c r="Q21" t="str"/>
      <x:c r="R21" t="str"/>
      <x:c r="S21" t="str"/>
      <x:c r="T21" t="str"/>
      <x:c r="U21" t="str"/>
      <x:c r="V21" t="str"/>
      <x:c r="W21" t="str"/>
      <x:c r="X21" t="str"/>
      <x:c r="Y21" t="str"/>
      <x:c r="Z21" t="str"/>
    </x:row>
    <x:row r="22">
      <x:c r="A22" t="str">
        <x:v>Douglas, Jerome (Externo)</x:v>
      </x:c>
      <x:c r="B22" t="str">
        <x:v>9/09/26, 10:59:08 AM</x:v>
      </x:c>
      <x:c r="C22" t="str">
        <x:v>9/09/26, 12:30:26 PM</x:v>
      </x:c>
      <x:c r="D22" t="str">
        <x:v>1 h 31 min 18s</x:v>
      </x:c>
      <x:c r="E22" t="str">
        <x:v>Jerome.Douglas@nl.bolsius.com</x:v>
      </x:c>
      <x:c r="F22" t="str">
        <x:v>Jerome.Douglas@nl.bolsius.com</x:v>
      </x:c>
      <x:c r="G22" t="str">
        <x:v>Asistente</x:v>
      </x:c>
      <x:c r="H22" t="str">
        <x:v>Jerome</x:v>
      </x:c>
      <x:c r="I22" t="str">
        <x:v>Douglas</x:v>
      </x:c>
      <x:c r="J22" t="str">
        <x:v>jerome.douglas@nl.bolsius.com</x:v>
      </x:c>
      <x:c r="K22" t="str">
        <x:v>8/18/26, 8:03:48 AM</x:v>
      </x:c>
      <x:c r="L22" t="str">
        <x:v>Registrado</x:v>
      </x:c>
      <x:c r="M22" t="str">
        <x:v>Netherlands</x:v>
      </x:c>
      <x:c r="N22" t="str">
        <x:v>Bolsius</x:v>
      </x:c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>
        <x:v>1</x:v>
      </x:c>
    </x:row>
    <x:row r="23">
      <x:c r="A23" t="str">
        <x:v>Ormaza Mullo, Cindy (C)</x:v>
      </x:c>
      <x:c r="B23" t="str">
        <x:v>9/09/26, 10:59:27 AM</x:v>
      </x:c>
      <x:c r="C23" t="str">
        <x:v>9/09/26, 12:26:58 PM</x:v>
      </x:c>
      <x:c r="D23" t="str">
        <x:v>1 h 27 min 30s</x:v>
      </x:c>
      <x:c r="E23" t="str">
        <x:v>cormazamullo@trinseo.com</x:v>
      </x:c>
      <x:c r="F23" t="str">
        <x:v>T684505@trinseocorp.com</x:v>
      </x:c>
      <x:c r="G23" t="str">
        <x:v>Asistente</x:v>
      </x:c>
      <x:c r="H23" t="str">
        <x:v>Cindy</x:v>
      </x:c>
      <x:c r="I23" t="str">
        <x:v>Ormaza Mullo</x:v>
      </x:c>
      <x:c r="J23" t="str">
        <x:v>cormazamullo@trinseo.com</x:v>
      </x:c>
      <x:c r="K23" t="str">
        <x:v>8/21/26, 6:44:43 AM</x:v>
      </x:c>
      <x:c r="L23" t="str">
        <x:v>Registrado</x:v>
      </x:c>
      <x:c r="M23" t="str">
        <x:v>Netherlands</x:v>
      </x:c>
      <x:c r="N23" t="str">
        <x:v>Trinseo</x:v>
      </x:c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</x:row>
    <x:row r="24">
      <x:c r="A24" t="str">
        <x:v>Jayathri Disanayaka</x:v>
      </x:c>
      <x:c r="B24" t="str">
        <x:v>9/09/26, 10:59:27 AM</x:v>
      </x:c>
      <x:c r="C24" t="str">
        <x:v>9/09/26, 12:32:09 PM</x:v>
      </x:c>
      <x:c r="D24" t="str">
        <x:v>1 h 29 min 18s</x:v>
      </x:c>
      <x:c r="E24" t="str">
        <x:v>jdisanayaka@controlunion.com</x:v>
      </x:c>
      <x:c r="F24" t="str">
        <x:v>jdisanayaka@pcugroup.com</x:v>
      </x:c>
      <x:c r="G24" t="str">
        <x:v>Asistente</x:v>
      </x:c>
      <x:c r="H24" t="str">
        <x:v>Jayathri</x:v>
      </x:c>
      <x:c r="I24" t="str">
        <x:v>Disanayaka</x:v>
      </x:c>
      <x:c r="J24" t="str">
        <x:v>jdisanayaka@controlunion.com</x:v>
      </x:c>
      <x:c r="K24" t="str">
        <x:v>8/19/26, 10:59:53 PM</x:v>
      </x:c>
      <x:c r="L24" t="str">
        <x:v>Registrado</x:v>
      </x:c>
      <x:c r="M24" t="str">
        <x:v>Sri Lanka </x:v>
      </x:c>
      <x:c r="N24" t="str">
        <x:v>Control Union</x:v>
      </x:c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</x:row>
    <x:row r="25">
      <x:c r="A25" t="str">
        <x:v>Ashish Dev (No comprobado)</x:v>
      </x:c>
      <x:c r="B25" t="str">
        <x:v>9/09/26, 10:59:33 AM</x:v>
      </x:c>
      <x:c r="C25" t="str">
        <x:v>9/09/26, 11:15:09 AM</x:v>
      </x:c>
      <x:c r="D25" t="str">
        <x:v>15 min 36s</x:v>
      </x:c>
      <x:c r="E25" t="str"/>
      <x:c r="F25" t="str"/>
      <x:c r="G25" t="str">
        <x:v>Asistente</x:v>
      </x:c>
      <x:c r="H25" t="str">
        <x:v>Ashish</x:v>
      </x:c>
      <x:c r="I25" t="str">
        <x:v>Dev</x:v>
      </x:c>
      <x:c r="J25" t="str">
        <x:v>ashishchoorakkadan@gmail.com</x:v>
      </x:c>
      <x:c r="K25" t="str">
        <x:v>9/07/26, 3:14:42 AM</x:v>
      </x:c>
      <x:c r="L25" t="str">
        <x:v>Registrado</x:v>
      </x:c>
      <x:c r="M25" t="str">
        <x:v>India</x:v>
      </x:c>
      <x:c r="N25" t="str">
        <x:v>Consultant</x:v>
      </x:c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</x:row>
    <x:row r="26">
      <x:c r="A26" t="str">
        <x:v>Brecht Deschuymer (Externo)</x:v>
      </x:c>
      <x:c r="B26" t="str">
        <x:v>9/09/26, 10:59:47 AM</x:v>
      </x:c>
      <x:c r="C26" t="str">
        <x:v>9/09/26, 12:10:38 PM</x:v>
      </x:c>
      <x:c r="D26" t="str">
        <x:v>1 h 10 min 50s</x:v>
      </x:c>
      <x:c r="E26" t="str">
        <x:v>Brecht.Deschuymer@baltagroup.com</x:v>
      </x:c>
      <x:c r="F26" t="str">
        <x:v>brecht.deschuymer@baltagroup.com</x:v>
      </x:c>
      <x:c r="G26" t="str">
        <x:v>Asistente</x:v>
      </x:c>
      <x:c r="H26" t="str">
        <x:v>Brecht</x:v>
      </x:c>
      <x:c r="I26" t="str">
        <x:v>Deschuymer</x:v>
      </x:c>
      <x:c r="J26" t="str">
        <x:v>brecht.deschuymer@baltagroup.com</x:v>
      </x:c>
      <x:c r="K26" t="str">
        <x:v>8/17/26, 8:52:07 AM</x:v>
      </x:c>
      <x:c r="L26" t="str">
        <x:v>Registrado</x:v>
      </x:c>
      <x:c r="M26" t="str">
        <x:v>Belgium</x:v>
      </x:c>
      <x:c r="N26" t="str">
        <x:v>Balta Industries</x:v>
      </x:c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</x:row>
    <x:row r="27">
      <x:c r="A27" t="str">
        <x:v>SCAMPINI Sylvana (Externo)</x:v>
      </x:c>
      <x:c r="B27" t="str">
        <x:v>9/09/26, 11:00:12 AM</x:v>
      </x:c>
      <x:c r="C27" t="str">
        <x:v>9/09/26, 12:25:04 PM</x:v>
      </x:c>
      <x:c r="D27" t="str">
        <x:v>1 h 24 min 51s</x:v>
      </x:c>
      <x:c r="E27" t="str">
        <x:v>sylvana.scampini@ecocert.com</x:v>
      </x:c>
      <x:c r="F27" t="str">
        <x:v>sscampini@ecocert.com</x:v>
      </x:c>
      <x:c r="G27" t="str">
        <x:v>Asistente</x:v>
      </x:c>
      <x:c r="H27" t="str">
        <x:v>Sylvana</x:v>
      </x:c>
      <x:c r="I27" t="str">
        <x:v>SCAMPINI</x:v>
      </x:c>
      <x:c r="J27" t="str">
        <x:v>sylvana.scampini@ecocert.com</x:v>
      </x:c>
      <x:c r="K27" t="str">
        <x:v>8/24/26, 12:18:07 PM</x:v>
      </x:c>
      <x:c r="L27" t="str">
        <x:v>Registrado</x:v>
      </x:c>
      <x:c r="M27" t="str">
        <x:v>France</x:v>
      </x:c>
      <x:c r="N27" t="str">
        <x:v>ECOCERT GREENLIFE</x:v>
      </x:c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</x:row>
    <x:row r="28">
      <x:c r="A28" t="str">
        <x:v>Bianca de Wit (Externo)</x:v>
      </x:c>
      <x:c r="B28" t="str">
        <x:v>9/09/26, 11:00:23 AM</x:v>
      </x:c>
      <x:c r="C28" t="str">
        <x:v>9/09/26, 12:31:43 PM</x:v>
      </x:c>
      <x:c r="D28" t="str">
        <x:v>1 h 31 min 20s</x:v>
      </x:c>
      <x:c r="E28" t="str">
        <x:v>biancadewit@primo.com</x:v>
      </x:c>
      <x:c r="F28" t="str">
        <x:v>biancadewit@primo.com</x:v>
      </x:c>
      <x:c r="G28" t="str">
        <x:v>Asistente</x:v>
      </x:c>
      <x:c r="H28" t="str">
        <x:v>Bianca</x:v>
      </x:c>
      <x:c r="I28" t="str">
        <x:v>Wit</x:v>
      </x:c>
      <x:c r="J28" t="str">
        <x:v>biancadewit@primo.com</x:v>
      </x:c>
      <x:c r="K28" t="str">
        <x:v>8/27/26, 9:21:18 AM</x:v>
      </x:c>
      <x:c r="L28" t="str">
        <x:v>Registrado</x:v>
      </x:c>
      <x:c r="M28" t="str">
        <x:v>Netherlands</x:v>
      </x:c>
      <x:c r="N28" t="str">
        <x:v>Enitor Primo</x:v>
      </x:c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/>
      <x:c r="Y28" t="str"/>
      <x:c r="Z28" t="str">
        <x:v>1</x:v>
      </x:c>
    </x:row>
    <x:row r="29">
      <x:c r="A29" t="str">
        <x:v>Philippe Doliger (Externo)</x:v>
      </x:c>
      <x:c r="B29" t="str">
        <x:v>9/09/26, 11:00:33 AM</x:v>
      </x:c>
      <x:c r="C29" t="str">
        <x:v>9/09/26, 11:56:42 AM</x:v>
      </x:c>
      <x:c r="D29" t="str">
        <x:v>56 min 8s</x:v>
      </x:c>
      <x:c r="E29" t="str">
        <x:v>pdoliger@recyclingeurope.org</x:v>
      </x:c>
      <x:c r="F29" t="str">
        <x:v>pdoliger@euric.org</x:v>
      </x:c>
      <x:c r="G29" t="str">
        <x:v>Asistente</x:v>
      </x:c>
      <x:c r="H29" t="str">
        <x:v>Philippe</x:v>
      </x:c>
      <x:c r="I29" t="str">
        <x:v>Doliger</x:v>
      </x:c>
      <x:c r="J29" t="str">
        <x:v>pdoliger@recyclingeurope.org</x:v>
      </x:c>
      <x:c r="K29" t="str">
        <x:v>8/26/26, 4:48:25 AM</x:v>
      </x:c>
      <x:c r="L29" t="str">
        <x:v>Registrado</x:v>
      </x:c>
      <x:c r="M29" t="str">
        <x:v>Belgium</x:v>
      </x:c>
      <x:c r="N29" t="str">
        <x:v>Recycling Europe </x:v>
      </x:c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  <x:c r="Z29" t="str"/>
    </x:row>
    <x:row r="30">
      <x:c r="A30" t="str">
        <x:v>Vitalij Salikov (Externo)</x:v>
      </x:c>
      <x:c r="B30" t="str">
        <x:v>9/09/26, 11:00:47 AM</x:v>
      </x:c>
      <x:c r="C30" t="str">
        <x:v>9/09/26, 12:09:15 PM</x:v>
      </x:c>
      <x:c r="D30" t="str">
        <x:v>1 h 8 min 27s</x:v>
      </x:c>
      <x:c r="E30" t="str">
        <x:v>salikov@matterr.de</x:v>
      </x:c>
      <x:c r="F30" t="str">
        <x:v>salikov@matterr.de</x:v>
      </x:c>
      <x:c r="G30" t="str">
        <x:v>Asistente</x:v>
      </x:c>
      <x:c r="H30" t="str">
        <x:v>Vitalij</x:v>
      </x:c>
      <x:c r="I30" t="str">
        <x:v>Salikov</x:v>
      </x:c>
      <x:c r="J30" t="str">
        <x:v>salikov@matterr.de</x:v>
      </x:c>
      <x:c r="K30" t="str">
        <x:v>8/17/26, 6:13:45 AM</x:v>
      </x:c>
      <x:c r="L30" t="str">
        <x:v>Registrado</x:v>
      </x:c>
      <x:c r="M30" t="str">
        <x:v>Germany</x:v>
      </x:c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/>
    </x:row>
    <x:row r="31">
      <x:c r="A31" t="str">
        <x:v>Dr. Szilvássy Blanka (Externo)</x:v>
      </x:c>
      <x:c r="B31" t="str">
        <x:v>9/09/26, 11:00:57 AM</x:v>
      </x:c>
      <x:c r="C31" t="str">
        <x:v>9/09/26, 12:31:38 PM</x:v>
      </x:c>
      <x:c r="D31" t="str">
        <x:v>1 h 30 min 40s</x:v>
      </x:c>
      <x:c r="E31" t="str">
        <x:v>SzilvassyB@nebih.onmicrosoft.com</x:v>
      </x:c>
      <x:c r="F31" t="str">
        <x:v>SzilvassyB@nebih.onmicrosoft.com</x:v>
      </x:c>
      <x:c r="G31" t="str">
        <x:v>Asistente</x:v>
      </x:c>
      <x:c r="H31" t="str">
        <x:v>Blanka</x:v>
      </x:c>
      <x:c r="I31" t="str">
        <x:v>Szilvássy</x:v>
      </x:c>
      <x:c r="J31" t="str">
        <x:v>szilvassyb@nebih.gov.hu</x:v>
      </x:c>
      <x:c r="K31" t="str">
        <x:v>8/27/26, 3:06:51 PM</x:v>
      </x:c>
      <x:c r="L31" t="str">
        <x:v>Registrado</x:v>
      </x:c>
      <x:c r="M31" t="str">
        <x:v>Magyarország</x:v>
      </x:c>
      <x:c r="N31" t="str">
        <x:v>Nébih </x:v>
      </x:c>
      <x:c r="O31" t="str"/>
      <x:c r="P31" t="str"/>
      <x:c r="Q31" t="str"/>
      <x:c r="R31" t="str"/>
      <x:c r="S31" t="str"/>
      <x:c r="T31" t="str"/>
      <x:c r="U31" t="str"/>
      <x:c r="V31" t="str"/>
      <x:c r="W31" t="str"/>
      <x:c r="X31" t="str"/>
      <x:c r="Y31" t="str"/>
      <x:c r="Z31" t="str"/>
    </x:row>
    <x:row r="32">
      <x:c r="A32" t="str">
        <x:v>Ignacia Novoa (No comprobado)</x:v>
      </x:c>
      <x:c r="B32" t="str">
        <x:v>9/09/26, 11:01:07 AM</x:v>
      </x:c>
      <x:c r="C32" t="str">
        <x:v>9/09/26, 11:07:10 AM</x:v>
      </x:c>
      <x:c r="D32" t="str">
        <x:v>6 min 2s</x:v>
      </x:c>
      <x:c r="E32" t="str"/>
      <x:c r="F32" t="str"/>
      <x:c r="G32" t="str">
        <x:v>Asistente</x:v>
      </x:c>
      <x:c r="H32" t="str">
        <x:v>Ignacia</x:v>
      </x:c>
      <x:c r="I32" t="str">
        <x:v>Novoa</x:v>
      </x:c>
      <x:c r="J32" t="str">
        <x:v>ignacia.novoa@nutrisco.com</x:v>
      </x:c>
      <x:c r="K32" t="str">
        <x:v>8/28/26, 9:24:57 AM</x:v>
      </x:c>
      <x:c r="L32" t="str">
        <x:v>Registrado</x:v>
      </x:c>
      <x:c r="M32" t="str">
        <x:v>Chile</x:v>
      </x:c>
      <x:c r="N32" t="str">
        <x:v>Nutrisco </x:v>
      </x:c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/>
      <x:c r="Y32" t="str"/>
      <x:c r="Z32" t="str"/>
    </x:row>
    <x:row r="33">
      <x:c r="A33" t="str">
        <x:v>Soriano, Norberto (Externo)</x:v>
      </x:c>
      <x:c r="B33" t="str">
        <x:v>9/09/26, 11:01:19 AM</x:v>
      </x:c>
      <x:c r="C33" t="str">
        <x:v>9/09/26, 12:08:19 PM</x:v>
      </x:c>
      <x:c r="D33" t="str">
        <x:v>1 h 6 min 59s</x:v>
      </x:c>
      <x:c r="E33" t="str">
        <x:v>NSoriano@gategroup.com</x:v>
      </x:c>
      <x:c r="F33" t="str">
        <x:v>NSoriano@gategroup.com</x:v>
      </x:c>
      <x:c r="G33" t="str">
        <x:v>Asistente</x:v>
      </x:c>
      <x:c r="H33" t="str">
        <x:v>Norberto</x:v>
      </x:c>
      <x:c r="I33" t="str">
        <x:v>Fernandez Soriano</x:v>
      </x:c>
      <x:c r="J33" t="str">
        <x:v>nsoriano@gategroup.com</x:v>
      </x:c>
      <x:c r="K33" t="str">
        <x:v>8/26/26, 12:10:53 PM</x:v>
      </x:c>
      <x:c r="L33" t="str">
        <x:v>Registrado</x:v>
      </x:c>
      <x:c r="M33" t="str">
        <x:v>Belgium</x:v>
      </x:c>
      <x:c r="N33" t="str">
        <x:v>deSter </x:v>
      </x:c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  <x:c r="Z33" t="str"/>
    </x:row>
    <x:row r="34">
      <x:c r="A34" t="str">
        <x:v>Emily Gitonga</x:v>
      </x:c>
      <x:c r="B34" t="str">
        <x:v>9/09/26, 11:02:02 AM</x:v>
      </x:c>
      <x:c r="C34" t="str">
        <x:v>9/09/26, 11:45:33 AM</x:v>
      </x:c>
      <x:c r="D34" t="str">
        <x:v>43 min 31s</x:v>
      </x:c>
      <x:c r="E34" t="str">
        <x:v>egitonga@controlunion.com</x:v>
      </x:c>
      <x:c r="F34" t="str">
        <x:v>egitonga@pcugroup.com</x:v>
      </x:c>
      <x:c r="G34" t="str">
        <x:v>Asistente</x:v>
      </x:c>
      <x:c r="H34" t="str">
        <x:v>Emily</x:v>
      </x:c>
      <x:c r="I34" t="str">
        <x:v>Gitonga</x:v>
      </x:c>
      <x:c r="J34" t="str">
        <x:v>egitonga@controlunion.com</x:v>
      </x:c>
      <x:c r="K34" t="str">
        <x:v>9/09/26, 11:01:27 AM</x:v>
      </x:c>
      <x:c r="L34" t="str">
        <x:v>Registrado</x:v>
      </x:c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</x:row>
    <x:row r="35">
      <x:c r="A35" t="str">
        <x:v>Daniela Gomes (Externo)</x:v>
      </x:c>
      <x:c r="B35" t="str">
        <x:v>9/09/26, 11:02:02 AM</x:v>
      </x:c>
      <x:c r="C35" t="str">
        <x:v>9/09/26, 12:31:46 PM</x:v>
      </x:c>
      <x:c r="D35" t="str">
        <x:v>1 h 29 min 44s</x:v>
      </x:c>
      <x:c r="E35" t="str">
        <x:v>daniela@publiambiente.pt</x:v>
      </x:c>
      <x:c r="F35" t="str">
        <x:v>daniela@publiambiente.pt</x:v>
      </x:c>
      <x:c r="G35" t="str">
        <x:v>Asistente</x:v>
      </x:c>
      <x:c r="H35" t="str">
        <x:v>Daniela</x:v>
      </x:c>
      <x:c r="I35" t="str">
        <x:v>Gomes</x:v>
      </x:c>
      <x:c r="J35" t="str">
        <x:v>daniela@publiambiente.pt</x:v>
      </x:c>
      <x:c r="K35" t="str">
        <x:v>9/09/26, 11:00:47 AM</x:v>
      </x:c>
      <x:c r="L35" t="str">
        <x:v>Registrado</x:v>
      </x:c>
      <x:c r="M35" t="str">
        <x:v>Portugal</x:v>
      </x:c>
      <x:c r="N35" t="str">
        <x:v>Publiambiente</x:v>
      </x:c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</x:row>
    <x:row r="36">
      <x:c r="A36" t="str">
        <x:v>Erin S. (No comprobado)</x:v>
      </x:c>
      <x:c r="B36" t="str">
        <x:v>9/09/26, 11:02:12 AM</x:v>
      </x:c>
      <x:c r="C36" t="str">
        <x:v>9/09/26, 12:21:06 PM</x:v>
      </x:c>
      <x:c r="D36" t="str">
        <x:v>1 h 18 min 54s</x:v>
      </x:c>
      <x:c r="E36" t="str"/>
      <x:c r="F36" t="str"/>
      <x:c r="G36" t="str">
        <x:v>Asistente</x:v>
      </x:c>
      <x:c r="H36" t="str">
        <x:v>Erin</x:v>
      </x:c>
      <x:c r="I36" t="str">
        <x:v>Semple</x:v>
      </x:c>
      <x:c r="J36" t="str">
        <x:v>erin.semple@averydennison.com</x:v>
      </x:c>
      <x:c r="K36" t="str">
        <x:v>9/01/26, 8:10:52 AM</x:v>
      </x:c>
      <x:c r="L36" t="str">
        <x:v>Registrado</x:v>
      </x:c>
      <x:c r="M36" t="str">
        <x:v>United States</x:v>
      </x:c>
      <x:c r="N36" t="str">
        <x:v>Avery Dennison</x:v>
      </x:c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</x:row>
    <x:row r="37">
      <x:c r="A37" t="str">
        <x:v>Dilyana Popova (No comprobado)</x:v>
      </x:c>
      <x:c r="B37" t="str">
        <x:v>9/09/26, 11:02:13 AM</x:v>
      </x:c>
      <x:c r="C37" t="str">
        <x:v>9/09/26, 11:36:23 AM</x:v>
      </x:c>
      <x:c r="D37" t="str">
        <x:v>34 min 10s</x:v>
      </x:c>
      <x:c r="E37" t="str"/>
      <x:c r="F37" t="str"/>
      <x:c r="G37" t="str">
        <x:v>Asistente</x:v>
      </x:c>
      <x:c r="H37" t="str">
        <x:v>Dilyana</x:v>
      </x:c>
      <x:c r="I37" t="str">
        <x:v>Popova</x:v>
      </x:c>
      <x:c r="J37" t="str">
        <x:v>office@amb-bg.com</x:v>
      </x:c>
      <x:c r="K37" t="str">
        <x:v>9/09/26, 6:19:14 AM</x:v>
      </x:c>
      <x:c r="L37" t="str">
        <x:v>Registrado</x:v>
      </x:c>
      <x:c r="M37" t="str">
        <x:v>Bulgaria</x:v>
      </x:c>
      <x:c r="N37" t="str">
        <x:v>AMB</x:v>
      </x:c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</x:row>
    <x:row r="38">
      <x:c r="A38" t="str">
        <x:v>Sandra Gomes (Externo)</x:v>
      </x:c>
      <x:c r="B38" t="str">
        <x:v>9/09/26, 11:02:14 AM</x:v>
      </x:c>
      <x:c r="C38" t="str">
        <x:v>9/09/26, 12:33:37 PM</x:v>
      </x:c>
      <x:c r="D38" t="str">
        <x:v>1 h 31 min 23s</x:v>
      </x:c>
      <x:c r="E38" t="str">
        <x:v>sandrag@publiambiente.pt</x:v>
      </x:c>
      <x:c r="F38" t="str">
        <x:v>sandrag@publiambiente.pt</x:v>
      </x:c>
      <x:c r="G38" t="str">
        <x:v>Asistente</x:v>
      </x:c>
      <x:c r="H38" t="str">
        <x:v>Sandra</x:v>
      </x:c>
      <x:c r="I38" t="str">
        <x:v>Gomes</x:v>
      </x:c>
      <x:c r="J38" t="str">
        <x:v>sandrag@publiambiente.pt</x:v>
      </x:c>
      <x:c r="K38" t="str">
        <x:v>9/09/26, 11:00:39 AM</x:v>
      </x:c>
      <x:c r="L38" t="str">
        <x:v>Registrado</x:v>
      </x:c>
      <x:c r="M38" t="str">
        <x:v>Portugal</x:v>
      </x:c>
      <x:c r="N38" t="str">
        <x:v>Publiambiente</x:v>
      </x:c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</x:row>
    <x:row r="39">
      <x:c r="A39" t="str">
        <x:v>Olha Biriukova</x:v>
      </x:c>
      <x:c r="B39" t="str">
        <x:v>9/09/26, 11:02:20 AM</x:v>
      </x:c>
      <x:c r="C39" t="str">
        <x:v>9/09/26, 12:28:23 PM</x:v>
      </x:c>
      <x:c r="D39" t="str">
        <x:v>1 h 26 min 2s</x:v>
      </x:c>
      <x:c r="E39" t="str">
        <x:v>obiriukova@controlunion.com</x:v>
      </x:c>
      <x:c r="F39" t="str">
        <x:v>obiriukova@pcugroup.com</x:v>
      </x:c>
      <x:c r="G39" t="str">
        <x:v>Asistente</x:v>
      </x:c>
      <x:c r="H39" t="str"/>
      <x:c r="I39" t="str"/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</x:row>
    <x:row r="40">
      <x:c r="A40" t="str">
        <x:v>Nattarika Siripunt</x:v>
      </x:c>
      <x:c r="B40" t="str">
        <x:v>9/09/26, 11:02:20 AM</x:v>
      </x:c>
      <x:c r="C40" t="str">
        <x:v>9/09/26, 12:31:50 PM</x:v>
      </x:c>
      <x:c r="D40" t="str">
        <x:v>1 h 29 min 29s</x:v>
      </x:c>
      <x:c r="E40" t="str">
        <x:v>Nattarika.Siripunt@doleintl.com</x:v>
      </x:c>
      <x:c r="F40" t="str">
        <x:v>Nattarika.Siripunt@DOLEINTL.COM</x:v>
      </x:c>
      <x:c r="G40" t="str">
        <x:v>Asistente</x:v>
      </x:c>
      <x:c r="H40" t="str">
        <x:v>Nattarika</x:v>
      </x:c>
      <x:c r="I40" t="str">
        <x:v>Siripunt</x:v>
      </x:c>
      <x:c r="J40" t="str">
        <x:v>nattarika.siripunt@doleintl.com</x:v>
      </x:c>
      <x:c r="K40" t="str">
        <x:v>8/21/26, 5:51:39 AM</x:v>
      </x:c>
      <x:c r="L40" t="str">
        <x:v>Registrado</x:v>
      </x:c>
      <x:c r="M40" t="str">
        <x:v>Thailand</x:v>
      </x:c>
      <x:c r="N40" t="str">
        <x:v>Dole Food and Beverage group </x:v>
      </x:c>
      <x:c r="O40" t="str"/>
      <x:c r="P40" t="str"/>
      <x:c r="Q40" t="str"/>
      <x:c r="R40" t="str"/>
      <x:c r="S40" t="str"/>
      <x:c r="T40" t="str"/>
      <x:c r="U40" t="str"/>
      <x:c r="V40" t="str"/>
      <x:c r="W40" t="str"/>
      <x:c r="X40" t="str"/>
      <x:c r="Y40" t="str"/>
      <x:c r="Z40" t="str"/>
    </x:row>
    <x:row r="41">
      <x:c r="A41" t="str">
        <x:v>Esther Espina Tejeda</x:v>
      </x:c>
      <x:c r="B41" t="str">
        <x:v>9/09/26, 11:02:32 AM</x:v>
      </x:c>
      <x:c r="C41" t="str">
        <x:v>9/09/26, 12:33:27 PM</x:v>
      </x:c>
      <x:c r="D41" t="str">
        <x:v>1 h 30 min 55s</x:v>
      </x:c>
      <x:c r="E41" t="str">
        <x:v>eespina@controlunion.com</x:v>
      </x:c>
      <x:c r="F41" t="str">
        <x:v>eespina@pcugroup.com</x:v>
      </x:c>
      <x:c r="G41" t="str">
        <x:v>Asistente</x:v>
      </x:c>
      <x:c r="H41" t="str">
        <x:v>Esther</x:v>
      </x:c>
      <x:c r="I41" t="str">
        <x:v>Espina Tejeda</x:v>
      </x:c>
      <x:c r="J41" t="str">
        <x:v>eespina@controlunion.com</x:v>
      </x:c>
      <x:c r="K41" t="str">
        <x:v>9/07/26, 4:45:56 AM</x:v>
      </x:c>
      <x:c r="L41" t="str">
        <x:v>Registrado</x:v>
      </x:c>
      <x:c r="M41" t="str">
        <x:v>España</x:v>
      </x:c>
      <x:c r="N41" t="str">
        <x:v>CONTROL UNION WG SPAIN S.A.</x:v>
      </x:c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</x:row>
    <x:row r="42">
      <x:c r="A42" t="str">
        <x:v>Linda Gustafsson (No comprobado)</x:v>
      </x:c>
      <x:c r="B42" t="str">
        <x:v>9/09/26, 11:02:58 AM</x:v>
      </x:c>
      <x:c r="C42" t="str">
        <x:v>9/09/26, 12:31:46 PM</x:v>
      </x:c>
      <x:c r="D42" t="str">
        <x:v>1 h 28 min 48s</x:v>
      </x:c>
      <x:c r="E42" t="str"/>
      <x:c r="F42" t="str"/>
      <x:c r="G42" t="str">
        <x:v>Asistente</x:v>
      </x:c>
      <x:c r="H42" t="str">
        <x:v>Linda</x:v>
      </x:c>
      <x:c r="I42" t="str">
        <x:v>Gustafssson</x:v>
      </x:c>
      <x:c r="J42" t="str">
        <x:v>linda.gustafsson@toteme.com</x:v>
      </x:c>
      <x:c r="K42" t="str">
        <x:v>8/17/26, 6:15:56 AM</x:v>
      </x:c>
      <x:c r="L42" t="str">
        <x:v>Registrado</x:v>
      </x:c>
      <x:c r="M42" t="str">
        <x:v>Sweden</x:v>
      </x:c>
      <x:c r="N42" t="str">
        <x:v>TOTEME AB</x:v>
      </x:c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</x:row>
    <x:row r="43">
      <x:c r="A43" t="str">
        <x:v>Dimitar Dyankov</x:v>
      </x:c>
      <x:c r="B43" t="str">
        <x:v>9/09/26, 11:03:11 AM</x:v>
      </x:c>
      <x:c r="C43" t="str">
        <x:v>9/09/26, 12:31:44 PM</x:v>
      </x:c>
      <x:c r="D43" t="str">
        <x:v>1 h 28 min 32s</x:v>
      </x:c>
      <x:c r="E43" t="str">
        <x:v>Dimitar.Diankov@cchellenic.com</x:v>
      </x:c>
      <x:c r="F43" t="str">
        <x:v>Dimitar.Diankov@cchellenic.com</x:v>
      </x:c>
      <x:c r="G43" t="str">
        <x:v>Asistente</x:v>
      </x:c>
      <x:c r="H43" t="str">
        <x:v>Dimitar</x:v>
      </x:c>
      <x:c r="I43" t="str">
        <x:v>Dyankov</x:v>
      </x:c>
      <x:c r="J43" t="str">
        <x:v>dimitar.diankov@cchellenic.com</x:v>
      </x:c>
      <x:c r="K43" t="str">
        <x:v>9/09/26, 11:02:30 AM</x:v>
      </x:c>
      <x:c r="L43" t="str">
        <x:v>Registrado</x:v>
      </x:c>
      <x:c r="M43" t="str">
        <x:v>Bulgaria</x:v>
      </x:c>
      <x:c r="N43" t="str">
        <x:v>Coca-Cola HBC</x:v>
      </x:c>
      <x:c r="O43" t="str"/>
      <x:c r="P43" t="str"/>
      <x:c r="Q43" t="str"/>
      <x:c r="R43" t="str"/>
      <x:c r="S43" t="str"/>
      <x:c r="T43" t="str"/>
      <x:c r="U43" t="str"/>
      <x:c r="V43" t="str"/>
      <x:c r="W43" t="str"/>
      <x:c r="X43" t="str"/>
      <x:c r="Y43" t="str"/>
      <x:c r="Z43" t="str"/>
    </x:row>
    <x:row r="44">
      <x:c r="A44" t="str">
        <x:v>Hansani Lakshani</x:v>
      </x:c>
      <x:c r="B44" t="str">
        <x:v>9/09/26, 11:03:12 AM</x:v>
      </x:c>
      <x:c r="C44" t="str">
        <x:v>9/09/26, 11:14:03 AM</x:v>
      </x:c>
      <x:c r="D44" t="str">
        <x:v>10 min 51s</x:v>
      </x:c>
      <x:c r="E44" t="str"/>
      <x:c r="F44" t="str"/>
      <x:c r="G44" t="str">
        <x:v>Asistente</x:v>
      </x:c>
      <x:c r="H44" t="str">
        <x:v>Hansani</x:v>
      </x:c>
      <x:c r="I44" t="str">
        <x:v>Lakshani</x:v>
      </x:c>
      <x:c r="J44" t="str">
        <x:v>hansanilakshani55@gmail.com</x:v>
      </x:c>
      <x:c r="K44" t="str">
        <x:v>9/07/26, 2:55:16 AM</x:v>
      </x:c>
      <x:c r="L44" t="str">
        <x:v>Registrado</x:v>
      </x:c>
      <x:c r="M44" t="str">
        <x:v>Sri Lanka </x:v>
      </x:c>
      <x:c r="N44" t="str">
        <x:v>Bio extracts Pvt Ltd</x:v>
      </x:c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</x:row>
    <x:row r="45">
      <x:c r="A45" t="str">
        <x:v>lilach winebloom</x:v>
      </x:c>
      <x:c r="B45" t="str">
        <x:v>9/09/26, 11:03:13 AM</x:v>
      </x:c>
      <x:c r="C45" t="str">
        <x:v>9/09/26, 12:31:44 PM</x:v>
      </x:c>
      <x:c r="D45" t="str">
        <x:v>1 h 28 min 31s</x:v>
      </x:c>
      <x:c r="E45" t="str"/>
      <x:c r="F45" t="str"/>
      <x:c r="G45" t="str">
        <x:v>Asistente</x:v>
      </x:c>
      <x:c r="H45" t="str">
        <x:v>Lilach</x:v>
      </x:c>
      <x:c r="I45" t="str">
        <x:v>Winebloom</x:v>
      </x:c>
      <x:c r="J45" t="str">
        <x:v>lilach.quality@gmail.com</x:v>
      </x:c>
      <x:c r="K45" t="str">
        <x:v>8/26/26, 8:27:25 AM</x:v>
      </x:c>
      <x:c r="L45" t="str">
        <x:v>Registrado</x:v>
      </x:c>
      <x:c r="M45" t="str">
        <x:v>ישראל</x:v>
      </x:c>
      <x:c r="N45" t="str">
        <x:v>Estia Consulting</x:v>
      </x:c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</x:row>
    <x:row r="46">
      <x:c r="A46" t="str">
        <x:v>María Camila Gaitán Vásquez</x:v>
      </x:c>
      <x:c r="B46" t="str">
        <x:v>9/09/26, 11:03:19 AM</x:v>
      </x:c>
      <x:c r="C46" t="str">
        <x:v>9/09/26, 12:51:37 PM</x:v>
      </x:c>
      <x:c r="D46" t="str">
        <x:v>1 h 48 min 18s</x:v>
      </x:c>
      <x:c r="E46" t="str">
        <x:v>mgaitan@controlunion.com</x:v>
      </x:c>
      <x:c r="F46" t="str">
        <x:v>mgaitan@pcugroup.com</x:v>
      </x:c>
      <x:c r="G46" t="str">
        <x:v>Asistente</x:v>
      </x:c>
      <x:c r="H46" t="str">
        <x:v>Maria</x:v>
      </x:c>
      <x:c r="I46" t="str">
        <x:v>Gaitan</x:v>
      </x:c>
      <x:c r="J46" t="str">
        <x:v>mgaitan@onepeterson.com</x:v>
      </x:c>
      <x:c r="K46" t="str">
        <x:v>8/21/26, 7:44:19 PM</x:v>
      </x:c>
      <x:c r="L46" t="str">
        <x:v>Registrado</x:v>
      </x:c>
      <x:c r="M46" t="str">
        <x:v>Colombia</x:v>
      </x:c>
      <x:c r="N46" t="str">
        <x:v>Peterson Solutions</x:v>
      </x:c>
      <x:c r="O46" t="str"/>
      <x:c r="P46" t="str"/>
      <x:c r="Q46" t="str"/>
      <x:c r="R46" t="str"/>
      <x:c r="S46" t="str"/>
      <x:c r="T46" t="str"/>
      <x:c r="U46" t="str"/>
      <x:c r="V46" t="str"/>
      <x:c r="W46" t="str"/>
      <x:c r="X46" t="str"/>
      <x:c r="Y46" t="str"/>
      <x:c r="Z46" t="str"/>
    </x:row>
    <x:row r="47">
      <x:c r="A47" t="str">
        <x:v>Martin Gabriel Sorkin</x:v>
      </x:c>
      <x:c r="B47" t="str">
        <x:v>9/09/26, 11:03:20 AM</x:v>
      </x:c>
      <x:c r="C47" t="str">
        <x:v>9/09/26, 12:31:20 PM</x:v>
      </x:c>
      <x:c r="D47" t="str">
        <x:v>1 h 28 min</x:v>
      </x:c>
      <x:c r="E47" t="str">
        <x:v>msorkin@controlunion.com</x:v>
      </x:c>
      <x:c r="F47" t="str">
        <x:v>msorkin@pcugroup.com</x:v>
      </x:c>
      <x:c r="G47" t="str">
        <x:v>Asistente</x:v>
      </x:c>
      <x:c r="H47" t="str">
        <x:v>Martin Gabriel</x:v>
      </x:c>
      <x:c r="I47" t="str">
        <x:v>Sorkin</x:v>
      </x:c>
      <x:c r="J47" t="str">
        <x:v>msorkin@controlunion.com</x:v>
      </x:c>
      <x:c r="K47" t="str">
        <x:v>8/24/26, 4:25:56 PM</x:v>
      </x:c>
      <x:c r="L47" t="str">
        <x:v>Registrado</x:v>
      </x:c>
      <x:c r="M47" t="str">
        <x:v>Argentina</x:v>
      </x:c>
      <x:c r="N47" t="str"/>
      <x:c r="O47" t="str">
        <x:v>1</x:v>
      </x:c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</x:row>
    <x:row r="48">
      <x:c r="A48" t="str">
        <x:v>J. Metodieva (No comprobado)</x:v>
      </x:c>
      <x:c r="B48" t="str">
        <x:v>9/09/26, 11:04:00 AM</x:v>
      </x:c>
      <x:c r="C48" t="str">
        <x:v>9/09/26, 11:19:59 AM</x:v>
      </x:c>
      <x:c r="D48" t="str">
        <x:v>15 min 58s</x:v>
      </x:c>
      <x:c r="E48" t="str"/>
      <x:c r="F48" t="str"/>
      <x:c r="G48" t="str">
        <x:v>Asistente</x:v>
      </x:c>
      <x:c r="H48" t="str">
        <x:v>Jacquelina</x:v>
      </x:c>
      <x:c r="I48" t="str">
        <x:v>Metodieva</x:v>
      </x:c>
      <x:c r="J48" t="str">
        <x:v>zhmetodieva@moew.government.bg</x:v>
      </x:c>
      <x:c r="K48" t="str">
        <x:v>8/27/26, 5:09:08 AM</x:v>
      </x:c>
      <x:c r="L48" t="str">
        <x:v>Registrado</x:v>
      </x:c>
      <x:c r="M48" t="str">
        <x:v>Bulgaria</x:v>
      </x:c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</x:row>
    <x:row r="49">
      <x:c r="A49" t="str">
        <x:v>Carina Gonçalves</x:v>
      </x:c>
      <x:c r="B49" t="str">
        <x:v>9/09/26, 11:04:11 AM</x:v>
      </x:c>
      <x:c r="C49" t="str">
        <x:v>9/09/26, 12:11:15 PM</x:v>
      </x:c>
      <x:c r="D49" t="str">
        <x:v>1 h 7 min 4s</x:v>
      </x:c>
      <x:c r="E49" t="str">
        <x:v>cgoncalves@controlunion.com</x:v>
      </x:c>
      <x:c r="F49" t="str">
        <x:v>cgoncalves@pcugroup.com</x:v>
      </x:c>
      <x:c r="G49" t="str">
        <x:v>Asistente</x:v>
      </x:c>
      <x:c r="H49" t="str">
        <x:v>Carina</x:v>
      </x:c>
      <x:c r="I49" t="str">
        <x:v>Gonçalves</x:v>
      </x:c>
      <x:c r="J49" t="str">
        <x:v>cgoncalves@controlunion.com</x:v>
      </x:c>
      <x:c r="K49" t="str">
        <x:v>9/09/26, 8:22:04 AM</x:v>
      </x:c>
      <x:c r="L49" t="str">
        <x:v>Registrado</x:v>
      </x:c>
      <x:c r="M49" t="str">
        <x:v>Portugal</x:v>
      </x:c>
      <x:c r="N49" t="str">
        <x:v>Control Union</x:v>
      </x:c>
      <x:c r="O49" t="str"/>
      <x:c r="P49" t="str"/>
      <x:c r="Q49" t="str"/>
      <x:c r="R49" t="str"/>
      <x:c r="S49" t="str"/>
      <x:c r="T49" t="str"/>
      <x:c r="U49" t="str"/>
      <x:c r="V49" t="str"/>
      <x:c r="W49" t="str"/>
      <x:c r="X49" t="str"/>
      <x:c r="Y49" t="str"/>
      <x:c r="Z49" t="str"/>
    </x:row>
    <x:row r="50">
      <x:c r="A50" t="str">
        <x:v>Hausmann Thorsten</x:v>
      </x:c>
      <x:c r="B50" t="str">
        <x:v>9/09/26, 11:04:20 AM</x:v>
      </x:c>
      <x:c r="C50" t="str">
        <x:v>9/09/26, 12:31:47 PM</x:v>
      </x:c>
      <x:c r="D50" t="str">
        <x:v>1 h 27 min 26s</x:v>
      </x:c>
      <x:c r="E50" t="str">
        <x:v>Thorsten.Hausmann@jokey.com</x:v>
      </x:c>
      <x:c r="F50" t="str">
        <x:v>Thorsten.Hausmann@jokey.com</x:v>
      </x:c>
      <x:c r="G50" t="str">
        <x:v>Asistente</x:v>
      </x:c>
      <x:c r="H50" t="str">
        <x:v>Thorsten</x:v>
      </x:c>
      <x:c r="I50" t="str">
        <x:v>Hausmann</x:v>
      </x:c>
      <x:c r="J50" t="str">
        <x:v>thorsten.hausmann@jokey.com</x:v>
      </x:c>
      <x:c r="K50" t="str">
        <x:v>9/07/26, 8:44:56 AM</x:v>
      </x:c>
      <x:c r="L50" t="str">
        <x:v>Registrado</x:v>
      </x:c>
      <x:c r="M50" t="str">
        <x:v>Deutschland</x:v>
      </x:c>
      <x:c r="N50" t="str">
        <x:v>DE123239087</x:v>
      </x:c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</x:row>
    <x:row r="51">
      <x:c r="A51" t="str">
        <x:v>Venislava (No comprobado)</x:v>
      </x:c>
      <x:c r="B51" t="str">
        <x:v>9/09/26, 11:04:36 AM</x:v>
      </x:c>
      <x:c r="C51" t="str">
        <x:v>9/09/26, 12:33:16 PM</x:v>
      </x:c>
      <x:c r="D51" t="str">
        <x:v>1 h 28 min 39s</x:v>
      </x:c>
      <x:c r="E51" t="str"/>
      <x:c r="F51" t="str"/>
      <x:c r="G51" t="str">
        <x:v>Asistente</x:v>
      </x:c>
      <x:c r="H51" t="str">
        <x:v>Venislava</x:v>
      </x:c>
      <x:c r="I51" t="str">
        <x:v>Lilova</x:v>
      </x:c>
      <x:c r="J51" t="str">
        <x:v>office@jlnpack.com</x:v>
      </x:c>
      <x:c r="K51" t="str">
        <x:v>9/08/26, 3:21:18 PM</x:v>
      </x:c>
      <x:c r="L51" t="str">
        <x:v>Registrado</x:v>
      </x:c>
      <x:c r="M51" t="str">
        <x:v>Bulgaria</x:v>
      </x:c>
      <x:c r="N51" t="str">
        <x:v>SD Jivkov Lilov Neshev</x:v>
      </x:c>
      <x:c r="O51" t="str"/>
      <x:c r="P51" t="str"/>
      <x:c r="Q51" t="str"/>
      <x:c r="R51" t="str"/>
      <x:c r="S51" t="str"/>
      <x:c r="T51" t="str"/>
      <x:c r="U51" t="str"/>
      <x:c r="V51" t="str"/>
      <x:c r="W51" t="str"/>
      <x:c r="X51" t="str"/>
      <x:c r="Y51" t="str"/>
      <x:c r="Z51" t="str"/>
    </x:row>
    <x:row r="52">
      <x:c r="A52" t="str">
        <x:v>Shehani Fernando</x:v>
      </x:c>
      <x:c r="B52" t="str">
        <x:v>9/09/26, 11:04:43 AM</x:v>
      </x:c>
      <x:c r="C52" t="str">
        <x:v>9/09/26, 11:20:17 AM</x:v>
      </x:c>
      <x:c r="D52" t="str">
        <x:v>15 min 34s</x:v>
      </x:c>
      <x:c r="E52" t="str"/>
      <x:c r="F52" t="str"/>
      <x:c r="G52" t="str">
        <x:v>Asistente</x:v>
      </x:c>
      <x:c r="H52" t="str">
        <x:v>Shehani</x:v>
      </x:c>
      <x:c r="I52" t="str">
        <x:v>Fernando</x:v>
      </x:c>
      <x:c r="J52" t="str">
        <x:v>sfernando9014@gmail.com</x:v>
      </x:c>
      <x:c r="K52" t="str">
        <x:v>9/07/26, 4:14:53 AM</x:v>
      </x:c>
      <x:c r="L52" t="str">
        <x:v>Registrado</x:v>
      </x:c>
      <x:c r="M52" t="str">
        <x:v>Sri Lanka</x:v>
      </x:c>
      <x:c r="N52" t="str">
        <x:v>Bio Extracts (Pvt) Ltd</x:v>
      </x:c>
      <x:c r="O52" t="str"/>
      <x:c r="P52" t="str"/>
      <x:c r="Q52" t="str"/>
      <x:c r="R52" t="str"/>
      <x:c r="S52" t="str"/>
      <x:c r="T52" t="str"/>
      <x:c r="U52" t="str"/>
      <x:c r="V52" t="str"/>
      <x:c r="W52" t="str"/>
      <x:c r="X52" t="str"/>
      <x:c r="Y52" t="str"/>
      <x:c r="Z52" t="str"/>
    </x:row>
    <x:row r="53">
      <x:c r="A53" t="str">
        <x:v>Rosa Cabezudo  Intertek (Externo)</x:v>
      </x:c>
      <x:c r="B53" t="str">
        <x:v>9/09/26, 11:05:18 AM</x:v>
      </x:c>
      <x:c r="C53" t="str">
        <x:v>9/09/26, 11:07:47 AM</x:v>
      </x:c>
      <x:c r="D53" t="str">
        <x:v>2 min 29s</x:v>
      </x:c>
      <x:c r="E53" t="str">
        <x:v>rosa.cabezudo@intertek.com</x:v>
      </x:c>
      <x:c r="F53" t="str">
        <x:v>rosa.cabezudo@intertek.com</x:v>
      </x:c>
      <x:c r="G53" t="str">
        <x:v>Asistente</x:v>
      </x:c>
      <x:c r="H53" t="str">
        <x:v>Rosa</x:v>
      </x:c>
      <x:c r="I53" t="str">
        <x:v>Cabezudo alvarado</x:v>
      </x:c>
      <x:c r="J53" t="str">
        <x:v>rlca1981@hotmail.com</x:v>
      </x:c>
      <x:c r="K53" t="str">
        <x:v>9/09/26, 3:07:11 AM</x:v>
      </x:c>
      <x:c r="L53" t="str">
        <x:v>Registrado</x:v>
      </x:c>
      <x:c r="M53" t="str">
        <x:v>España</x:v>
      </x:c>
      <x:c r="N53" t="str"/>
      <x:c r="O53" t="str"/>
      <x:c r="P53" t="str"/>
      <x:c r="Q53" t="str"/>
      <x:c r="R53" t="str"/>
      <x:c r="S53" t="str"/>
      <x:c r="T53" t="str"/>
      <x:c r="U53" t="str"/>
      <x:c r="V53" t="str"/>
      <x:c r="W53" t="str"/>
      <x:c r="X53" t="str"/>
      <x:c r="Y53" t="str"/>
      <x:c r="Z53" t="str"/>
    </x:row>
    <x:row r="54">
      <x:c r="A54" t="str">
        <x:v>Vanessa Leiva</x:v>
      </x:c>
      <x:c r="B54" t="str">
        <x:v>9/09/26, 11:05:22 AM</x:v>
      </x:c>
      <x:c r="C54" t="str">
        <x:v>9/09/26, 12:31:45 PM</x:v>
      </x:c>
      <x:c r="D54" t="str">
        <x:v>1 h 26 min 22s</x:v>
      </x:c>
      <x:c r="E54" t="str">
        <x:v>vleiva@controlunion.com</x:v>
      </x:c>
      <x:c r="F54" t="str">
        <x:v>vleiva@pcugroup.com</x:v>
      </x:c>
      <x:c r="G54" t="str">
        <x:v>Asistente</x:v>
      </x:c>
      <x:c r="H54" t="str">
        <x:v>Vanessa</x:v>
      </x:c>
      <x:c r="I54" t="str">
        <x:v>Leiva</x:v>
      </x:c>
      <x:c r="J54" t="str">
        <x:v>vleiva@controlunion.com</x:v>
      </x:c>
      <x:c r="K54" t="str">
        <x:v>9/09/26, 9:57:57 AM</x:v>
      </x:c>
      <x:c r="L54" t="str">
        <x:v>Registrado</x:v>
      </x:c>
      <x:c r="M54" t="str">
        <x:v>Chile</x:v>
      </x:c>
      <x:c r="N54" t="str">
        <x:v>Control Unión</x:v>
      </x:c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</x:row>
    <x:row r="55">
      <x:c r="A55" t="str">
        <x:v>Richard van Huissteden</x:v>
      </x:c>
      <x:c r="B55" t="str">
        <x:v>9/09/26, 11:05:23 AM</x:v>
      </x:c>
      <x:c r="C55" t="str">
        <x:v>9/09/26, 11:18:07 AM</x:v>
      </x:c>
      <x:c r="D55" t="str">
        <x:v>12 min 43s</x:v>
      </x:c>
      <x:c r="E55" t="str">
        <x:v>richard.van.huissteden@shimano-eu.com</x:v>
      </x:c>
      <x:c r="F55" t="str">
        <x:v>richard.van.huissteden@shimano-eu.com</x:v>
      </x:c>
      <x:c r="G55" t="str">
        <x:v>Asistente</x:v>
      </x:c>
      <x:c r="H55" t="str">
        <x:v>Richard van</x:v>
      </x:c>
      <x:c r="I55" t="str">
        <x:v>Huissteden</x:v>
      </x:c>
      <x:c r="J55" t="str">
        <x:v>richard.van.huissteden@shimano-eu.com</x:v>
      </x:c>
      <x:c r="K55" t="str">
        <x:v>9/01/26, 6:32:57 AM</x:v>
      </x:c>
      <x:c r="L55" t="str">
        <x:v>Registrado</x:v>
      </x:c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</x:row>
    <x:row r="56">
      <x:c r="A56" t="str">
        <x:v>Antov-Bozalo Danijela</x:v>
      </x:c>
      <x:c r="B56" t="str">
        <x:v>9/09/26, 11:05:28 AM</x:v>
      </x:c>
      <x:c r="C56" t="str">
        <x:v>9/09/26, 12:31:49 PM</x:v>
      </x:c>
      <x:c r="D56" t="str">
        <x:v>1 h 26 min 21s</x:v>
      </x:c>
      <x:c r="E56" t="str">
        <x:v>Danijela.AntovBozalo@jokey.com</x:v>
      </x:c>
      <x:c r="F56" t="str">
        <x:v>Danijela.AntovBozalo@jokey.com</x:v>
      </x:c>
      <x:c r="G56" t="str">
        <x:v>Asistente</x:v>
      </x:c>
      <x:c r="H56" t="str">
        <x:v>Danijela</x:v>
      </x:c>
      <x:c r="I56" t="str">
        <x:v>Antov-Bozalo</x:v>
      </x:c>
      <x:c r="J56" t="str">
        <x:v>danijela.antovbozalo@jokey.com</x:v>
      </x:c>
      <x:c r="K56" t="str">
        <x:v>9/09/26, 4:41:27 AM</x:v>
      </x:c>
      <x:c r="L56" t="str">
        <x:v>Registrado</x:v>
      </x:c>
      <x:c r="M56" t="str">
        <x:v>Serbia</x:v>
      </x:c>
      <x:c r="N56" t="str">
        <x:v>Jokey BG d.o.o.</x:v>
      </x:c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</x:row>
    <x:row r="57">
      <x:c r="A57" t="str">
        <x:v>V&amp;T Trade (No comprobado)</x:v>
      </x:c>
      <x:c r="B57" t="str">
        <x:v>9/09/26, 11:05:40 AM</x:v>
      </x:c>
      <x:c r="C57" t="str">
        <x:v>9/09/26, 12:33:47 PM</x:v>
      </x:c>
      <x:c r="D57" t="str">
        <x:v>1 h 28 min 7s</x:v>
      </x:c>
      <x:c r="E57" t="str"/>
      <x:c r="F57" t="str"/>
      <x:c r="G57" t="str">
        <x:v>Asistente</x:v>
      </x:c>
      <x:c r="H57" t="str">
        <x:v>Dilyana</x:v>
      </x:c>
      <x:c r="I57" t="str">
        <x:v>Popova</x:v>
      </x:c>
      <x:c r="J57" t="str">
        <x:v>office@amb-bg.com</x:v>
      </x:c>
      <x:c r="K57" t="str">
        <x:v>9/09/26, 6:19:14 AM</x:v>
      </x:c>
      <x:c r="L57" t="str">
        <x:v>Registrado</x:v>
      </x:c>
      <x:c r="M57" t="str">
        <x:v>Bulgaria</x:v>
      </x:c>
      <x:c r="N57" t="str">
        <x:v>AMB</x:v>
      </x:c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</x:row>
    <x:row r="58">
      <x:c r="A58" t="str">
        <x:v>Juan Rico | Alcaliber (Externo)</x:v>
      </x:c>
      <x:c r="B58" t="str">
        <x:v>9/09/26, 11:06:33 AM</x:v>
      </x:c>
      <x:c r="C58" t="str">
        <x:v>9/09/26, 11:55:15 AM</x:v>
      </x:c>
      <x:c r="D58" t="str">
        <x:v>48 min 41s</x:v>
      </x:c>
      <x:c r="E58" t="str">
        <x:v>juan.rico@alcaliber.com</x:v>
      </x:c>
      <x:c r="F58" t="str">
        <x:v>juan.rico@alcaliber.com</x:v>
      </x:c>
      <x:c r="G58" t="str">
        <x:v>Asistente</x:v>
      </x:c>
      <x:c r="H58" t="str">
        <x:v>Juan</x:v>
      </x:c>
      <x:c r="I58" t="str">
        <x:v>Rico Zamorano</x:v>
      </x:c>
      <x:c r="J58" t="str">
        <x:v>juan.rico@alcaliber.com</x:v>
      </x:c>
      <x:c r="K58" t="str">
        <x:v>9/08/26, 4:29:19 AM</x:v>
      </x:c>
      <x:c r="L58" t="str">
        <x:v>Registrado</x:v>
      </x:c>
      <x:c r="M58" t="str">
        <x:v>España</x:v>
      </x:c>
      <x:c r="N58" t="str">
        <x:v>Alcaliber S.A.</x:v>
      </x:c>
      <x:c r="O58" t="str"/>
      <x:c r="P58" t="str"/>
      <x:c r="Q58" t="str"/>
      <x:c r="R58" t="str"/>
      <x:c r="S58" t="str"/>
      <x:c r="T58" t="str"/>
      <x:c r="U58" t="str"/>
      <x:c r="V58" t="str"/>
      <x:c r="W58" t="str"/>
      <x:c r="X58" t="str"/>
      <x:c r="Y58" t="str"/>
      <x:c r="Z58" t="str"/>
    </x:row>
    <x:row r="59">
      <x:c r="A59" t="str">
        <x:v>M.H.F Sasna (No comprobado)</x:v>
      </x:c>
      <x:c r="B59" t="str">
        <x:v>9/09/26, 11:06:41 AM</x:v>
      </x:c>
      <x:c r="C59" t="str">
        <x:v>9/09/26, 11:13:06 AM</x:v>
      </x:c>
      <x:c r="D59" t="str">
        <x:v>6 min 24s</x:v>
      </x:c>
      <x:c r="E59" t="str"/>
      <x:c r="F59" t="str"/>
      <x:c r="G59" t="str">
        <x:v>Asistente</x:v>
      </x:c>
      <x:c r="H59" t="str">
        <x:v>Fathima</x:v>
      </x:c>
      <x:c r="I59" t="str">
        <x:v>Sasna</x:v>
      </x:c>
      <x:c r="J59" t="str">
        <x:v>hsasna19@gmail.com</x:v>
      </x:c>
      <x:c r="K59" t="str">
        <x:v>9/07/26, 3:45:33 AM</x:v>
      </x:c>
      <x:c r="L59" t="str">
        <x:v>Registrado</x:v>
      </x:c>
      <x:c r="M59" t="str">
        <x:v>Sri Lanka </x:v>
      </x:c>
      <x:c r="N59" t="str">
        <x:v>Asian sciences research pvtltd</x:v>
      </x:c>
      <x:c r="O59" t="str"/>
      <x:c r="P59" t="str"/>
      <x:c r="Q59" t="str"/>
      <x:c r="R59" t="str"/>
      <x:c r="S59" t="str"/>
      <x:c r="T59" t="str"/>
      <x:c r="U59" t="str"/>
      <x:c r="V59" t="str"/>
      <x:c r="W59" t="str"/>
      <x:c r="X59" t="str"/>
      <x:c r="Y59" t="str"/>
      <x:c r="Z59" t="str"/>
    </x:row>
    <x:row r="60">
      <x:c r="A60" t="str">
        <x:v>Leena (No comprobado)</x:v>
      </x:c>
      <x:c r="B60" t="str">
        <x:v>9/09/26, 11:07:21 AM</x:v>
      </x:c>
      <x:c r="C60" t="str">
        <x:v>9/09/26, 12:31:54 PM</x:v>
      </x:c>
      <x:c r="D60" t="str">
        <x:v>1 h 24 min 32s</x:v>
      </x:c>
      <x:c r="E60" t="str"/>
      <x:c r="F60" t="str"/>
      <x:c r="G60" t="str">
        <x:v>Asistente</x:v>
      </x:c>
      <x:c r="H60" t="str">
        <x:v>Leena</x:v>
      </x:c>
      <x:c r="I60" t="str">
        <x:v>Taha-Salaime</x:v>
      </x:c>
      <x:c r="J60" t="str">
        <x:v>leena.ta.salaime@gmail.com</x:v>
      </x:c>
      <x:c r="K60" t="str">
        <x:v>9/04/26, 5:33:52 AM</x:v>
      </x:c>
      <x:c r="L60" t="str">
        <x:v>Registrado</x:v>
      </x:c>
      <x:c r="M60" t="str">
        <x:v>Israel</x:v>
      </x:c>
      <x:c r="N60" t="str">
        <x:v>Senior International Scientific, Regulatory &amp; Strategic Consultant</x:v>
      </x:c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</x:row>
    <x:row r="61">
      <x:c r="A61" t="str">
        <x:v>Oxana  (No comprobado)</x:v>
      </x:c>
      <x:c r="B61" t="str">
        <x:v>9/09/26, 11:08:28 AM</x:v>
      </x:c>
      <x:c r="C61" t="str">
        <x:v>9/09/26, 12:31:46 PM</x:v>
      </x:c>
      <x:c r="D61" t="str">
        <x:v>1 h 23 min 18s</x:v>
      </x:c>
      <x:c r="E61" t="str"/>
      <x:c r="F61" t="str"/>
      <x:c r="G61" t="str">
        <x:v>Asistente</x:v>
      </x:c>
      <x:c r="H61" t="str">
        <x:v>Oksana</x:v>
      </x:c>
      <x:c r="I61" t="str">
        <x:v>Mironova</x:v>
      </x:c>
      <x:c r="J61" t="str">
        <x:v>qa@rpet.co.il</x:v>
      </x:c>
      <x:c r="K61" t="str">
        <x:v>8/26/26, 10:52:07 AM</x:v>
      </x:c>
      <x:c r="L61" t="str">
        <x:v>Registrado</x:v>
      </x:c>
      <x:c r="M61" t="str">
        <x:v>Israel</x:v>
      </x:c>
      <x:c r="N61" t="str">
        <x:v>Rpet</x:v>
      </x:c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>
        <x:v>1</x:v>
      </x:c>
    </x:row>
    <x:row r="62">
      <x:c r="A62" t="str">
        <x:v>Ernesto Cabañas Pérez</x:v>
      </x:c>
      <x:c r="B62" t="str">
        <x:v>9/09/26, 11:08:33 AM</x:v>
      </x:c>
      <x:c r="C62" t="str">
        <x:v>9/09/26, 12:31:47 PM</x:v>
      </x:c>
      <x:c r="D62" t="str">
        <x:v>1 h 23 min 13s</x:v>
      </x:c>
      <x:c r="E62" t="str">
        <x:v>ecabanas@controlunion.com</x:v>
      </x:c>
      <x:c r="F62" t="str">
        <x:v>ecabanas@pcugroup.com</x:v>
      </x:c>
      <x:c r="G62" t="str">
        <x:v>Asistente</x:v>
      </x:c>
      <x:c r="H62" t="str">
        <x:v>Ernesto</x:v>
      </x:c>
      <x:c r="I62" t="str">
        <x:v>Cabañas Pérez</x:v>
      </x:c>
      <x:c r="J62" t="str">
        <x:v>ecabanas@controlunion.com</x:v>
      </x:c>
      <x:c r="K62" t="str">
        <x:v>9/09/26, 11:07:49 AM</x:v>
      </x:c>
      <x:c r="L62" t="str">
        <x:v>Registrado</x:v>
      </x:c>
      <x:c r="M62" t="str">
        <x:v>España</x:v>
      </x:c>
      <x:c r="N62" t="str">
        <x:v>CU spain</x:v>
      </x:c>
      <x:c r="O62" t="str"/>
      <x:c r="P62" t="str"/>
      <x:c r="Q62" t="str"/>
      <x:c r="R62" t="str"/>
      <x:c r="S62" t="str"/>
      <x:c r="T62" t="str"/>
      <x:c r="U62" t="str"/>
      <x:c r="V62" t="str"/>
      <x:c r="W62" t="str"/>
      <x:c r="X62" t="str"/>
      <x:c r="Y62" t="str"/>
      <x:c r="Z62" t="str"/>
    </x:row>
    <x:row r="63">
      <x:c r="A63" t="str">
        <x:v>Hailyn Gutierrez (Externo)</x:v>
      </x:c>
      <x:c r="B63" t="str">
        <x:v>9/09/26, 11:08:58 AM</x:v>
      </x:c>
      <x:c r="C63" t="str">
        <x:v>9/09/26, 11:11:03 AM</x:v>
      </x:c>
      <x:c r="D63" t="str">
        <x:v>2 min 5s</x:v>
      </x:c>
      <x:c r="E63" t="str">
        <x:v>hgutierrez@silchron.com</x:v>
      </x:c>
      <x:c r="F63" t="str">
        <x:v>hgutierrez@silchron.com</x:v>
      </x:c>
      <x:c r="G63" t="str">
        <x:v>Asistente</x:v>
      </x:c>
      <x:c r="H63" t="str">
        <x:v>Hailyn</x:v>
      </x:c>
      <x:c r="I63" t="str">
        <x:v>Gutierrez</x:v>
      </x:c>
      <x:c r="J63" t="str">
        <x:v>hgutierrez@silchron.com</x:v>
      </x:c>
      <x:c r="K63" t="str">
        <x:v>8/28/26, 10:06:24 AM</x:v>
      </x:c>
      <x:c r="L63" t="str">
        <x:v>Registrado</x:v>
      </x:c>
      <x:c r="M63" t="str">
        <x:v>chile</x:v>
      </x:c>
      <x:c r="N63" t="str">
        <x:v>Silchron</x:v>
      </x:c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>
        <x:v>1</x:v>
      </x:c>
    </x:row>
    <x:row r="64">
      <x:c r="A64" t="str">
        <x:v>Nidhi Thakkar (Externo)</x:v>
      </x:c>
      <x:c r="B64" t="str">
        <x:v>9/09/26, 11:09:08 AM</x:v>
      </x:c>
      <x:c r="C64" t="str">
        <x:v>9/09/26, 11:31:14 AM</x:v>
      </x:c>
      <x:c r="D64" t="str">
        <x:v>22 min 6s</x:v>
      </x:c>
      <x:c r="E64" t="str">
        <x:v>Nidhi.Thakkar@cyclos.de</x:v>
      </x:c>
      <x:c r="F64" t="str">
        <x:v>nidhi.thakkar@cyclos.de</x:v>
      </x:c>
      <x:c r="G64" t="str">
        <x:v>Asistente</x:v>
      </x:c>
      <x:c r="H64" t="str">
        <x:v>Nidhi</x:v>
      </x:c>
      <x:c r="I64" t="str">
        <x:v>Thakkar</x:v>
      </x:c>
      <x:c r="J64" t="str">
        <x:v>nidhi.thakkar@cyclos.de</x:v>
      </x:c>
      <x:c r="K64" t="str">
        <x:v>9/09/26, 11:08:39 AM</x:v>
      </x:c>
      <x:c r="L64" t="str">
        <x:v>Registrado</x:v>
      </x:c>
      <x:c r="M64" t="str">
        <x:v>Germany</x:v>
      </x:c>
      <x:c r="N64" t="str">
        <x:v>cyclos</x:v>
      </x:c>
      <x:c r="O64" t="str"/>
      <x:c r="P64" t="str"/>
      <x:c r="Q64" t="str"/>
      <x:c r="R64" t="str"/>
      <x:c r="S64" t="str"/>
      <x:c r="T64" t="str"/>
      <x:c r="U64" t="str"/>
      <x:c r="V64" t="str"/>
      <x:c r="W64" t="str"/>
      <x:c r="X64" t="str"/>
      <x:c r="Y64" t="str"/>
      <x:c r="Z64" t="str"/>
    </x:row>
    <x:row r="65">
      <x:c r="A65" t="str">
        <x:v>Midori Kawazo</x:v>
      </x:c>
      <x:c r="B65" t="str">
        <x:v>9/09/26, 11:09:28 AM</x:v>
      </x:c>
      <x:c r="C65" t="str">
        <x:v>9/09/26, 12:38:01 PM</x:v>
      </x:c>
      <x:c r="D65" t="str">
        <x:v>1 h 28 min 33s</x:v>
      </x:c>
      <x:c r="E65" t="str">
        <x:v>skawazo@controlunion.com</x:v>
      </x:c>
      <x:c r="F65" t="str">
        <x:v>skawazo@pcugroup.com</x:v>
      </x:c>
      <x:c r="G65" t="str">
        <x:v>Asistente</x:v>
      </x:c>
      <x:c r="H65" t="str">
        <x:v>Midori</x:v>
      </x:c>
      <x:c r="I65" t="str">
        <x:v>Kawazo</x:v>
      </x:c>
      <x:c r="J65" t="str">
        <x:v>skawazo@controlunion.com</x:v>
      </x:c>
      <x:c r="K65" t="str">
        <x:v>8/21/26, 10:25:13 AM</x:v>
      </x:c>
      <x:c r="L65" t="str">
        <x:v>Registrado</x:v>
      </x:c>
      <x:c r="M65" t="str">
        <x:v>Peru</x:v>
      </x:c>
      <x:c r="N65" t="str">
        <x:v>CU</x:v>
      </x:c>
      <x:c r="O65" t="str"/>
      <x:c r="P65" t="str"/>
      <x:c r="Q65" t="str"/>
      <x:c r="R65" t="str"/>
      <x:c r="S65" t="str"/>
      <x:c r="T65" t="str"/>
      <x:c r="U65" t="str"/>
      <x:c r="V65" t="str"/>
      <x:c r="W65" t="str"/>
      <x:c r="X65" t="str"/>
      <x:c r="Y65" t="str"/>
      <x:c r="Z65" t="str"/>
    </x:row>
    <x:row r="66">
      <x:c r="A66" t="str">
        <x:v>Frank van Hattem (Externo)</x:v>
      </x:c>
      <x:c r="B66" t="str">
        <x:v>9/09/26, 11:12:19 AM</x:v>
      </x:c>
      <x:c r="C66" t="str">
        <x:v>9/09/26, 12:32:05 PM</x:v>
      </x:c>
      <x:c r="D66" t="str">
        <x:v>1 h 19 min 45s</x:v>
      </x:c>
      <x:c r="E66" t="str">
        <x:v>Frank.van.Hattem@kiwa.com</x:v>
      </x:c>
      <x:c r="F66" t="str">
        <x:v>Frank.van.Hattem@kiwa.com</x:v>
      </x:c>
      <x:c r="G66" t="str">
        <x:v>Asistente</x:v>
      </x:c>
      <x:c r="H66" t="str">
        <x:v>Frank</x:v>
      </x:c>
      <x:c r="I66" t="str">
        <x:v>Hattem, van</x:v>
      </x:c>
      <x:c r="J66" t="str">
        <x:v>frank.van.hattem@kiwa.com</x:v>
      </x:c>
      <x:c r="K66" t="str">
        <x:v>9/09/26, 11:11:03 AM</x:v>
      </x:c>
      <x:c r="L66" t="str">
        <x:v>Registrado</x:v>
      </x:c>
      <x:c r="M66" t="str">
        <x:v>Netherlands</x:v>
      </x:c>
      <x:c r="N66" t="str">
        <x:v>Kiwa</x:v>
      </x:c>
      <x:c r="O66" t="str"/>
      <x:c r="P66" t="str"/>
      <x:c r="Q66" t="str"/>
      <x:c r="R66" t="str"/>
      <x:c r="S66" t="str"/>
      <x:c r="T66" t="str"/>
      <x:c r="U66" t="str"/>
      <x:c r="V66" t="str"/>
      <x:c r="W66" t="str"/>
      <x:c r="X66" t="str"/>
      <x:c r="Y66" t="str"/>
      <x:c r="Z66" t="str">
        <x:v>1</x:v>
      </x:c>
    </x:row>
    <x:row r="67">
      <x:c r="A67" t="str">
        <x:v>David Peñarrubia Navarro (Externo)</x:v>
      </x:c>
      <x:c r="B67" t="str">
        <x:v>9/09/26, 11:14:14 AM</x:v>
      </x:c>
      <x:c r="C67" t="str">
        <x:v>9/09/26, 12:01:07 PM</x:v>
      </x:c>
      <x:c r="D67" t="str">
        <x:v>46 min 52s</x:v>
      </x:c>
      <x:c r="E67" t="str">
        <x:v>dpe@fecc.org</x:v>
      </x:c>
      <x:c r="F67" t="str">
        <x:v>dpe@fecc.org</x:v>
      </x:c>
      <x:c r="G67" t="str">
        <x:v>Asistente</x:v>
      </x:c>
      <x:c r="H67" t="str">
        <x:v>David</x:v>
      </x:c>
      <x:c r="I67" t="str">
        <x:v>Peñarrubia Navarro</x:v>
      </x:c>
      <x:c r="J67" t="str">
        <x:v>dpe@fecc.org</x:v>
      </x:c>
      <x:c r="K67" t="str">
        <x:v>8/24/26, 6:02:56 AM</x:v>
      </x:c>
      <x:c r="L67" t="str">
        <x:v>Registrado</x:v>
      </x:c>
      <x:c r="M67" t="str">
        <x:v>Belgium</x:v>
      </x:c>
      <x:c r="N67" t="str">
        <x:v>Fecc</x:v>
      </x:c>
      <x:c r="O67" t="str"/>
      <x:c r="P67" t="str"/>
      <x:c r="Q67" t="str"/>
      <x:c r="R67" t="str"/>
      <x:c r="S67" t="str"/>
      <x:c r="T67" t="str"/>
      <x:c r="U67" t="str"/>
      <x:c r="V67" t="str"/>
      <x:c r="W67" t="str"/>
      <x:c r="X67" t="str"/>
      <x:c r="Y67" t="str"/>
      <x:c r="Z67" t="str"/>
    </x:row>
    <x:row r="68">
      <x:c r="A68" t="str">
        <x:v>Miguel Villanueva (No comprobado)</x:v>
      </x:c>
      <x:c r="B68" t="str">
        <x:v>9/09/26, 11:15:01 AM</x:v>
      </x:c>
      <x:c r="C68" t="str">
        <x:v>9/09/26, 12:17:33 PM</x:v>
      </x:c>
      <x:c r="D68" t="str">
        <x:v>1 h 2 min 32s</x:v>
      </x:c>
      <x:c r="E68" t="str"/>
      <x:c r="F68" t="str"/>
      <x:c r="G68" t="str">
        <x:v>Asistente</x:v>
      </x:c>
      <x:c r="H68" t="str">
        <x:v>Miguel</x:v>
      </x:c>
      <x:c r="I68" t="str">
        <x:v>Villanueva</x:v>
      </x:c>
      <x:c r="J68" t="str">
        <x:v>miguel.villanueva@nutrisco.com</x:v>
      </x:c>
      <x:c r="K68" t="str">
        <x:v>9/09/26, 11:13:51 AM</x:v>
      </x:c>
      <x:c r="L68" t="str">
        <x:v>Registrado</x:v>
      </x:c>
      <x:c r="M68" t="str">
        <x:v>Chile</x:v>
      </x:c>
      <x:c r="N68" t="str">
        <x:v>Nutrisco</x:v>
      </x:c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</x:row>
    <x:row r="69">
      <x:c r="A69" t="str">
        <x:v>Ashish Dev (No comprobado)</x:v>
      </x:c>
      <x:c r="B69" t="str">
        <x:v>9/09/26, 11:16:10 AM</x:v>
      </x:c>
      <x:c r="C69" t="str">
        <x:v>9/09/26, 11:59:02 AM</x:v>
      </x:c>
      <x:c r="D69" t="str">
        <x:v>42 min 51s</x:v>
      </x:c>
      <x:c r="E69" t="str"/>
      <x:c r="F69" t="str"/>
      <x:c r="G69" t="str">
        <x:v>Asistente</x:v>
      </x:c>
      <x:c r="H69" t="str"/>
      <x:c r="I69" t="str"/>
      <x:c r="J69" t="str"/>
      <x:c r="K69" t="str"/>
      <x:c r="L69" t="str"/>
      <x:c r="M69" t="str"/>
      <x:c r="N69" t="str"/>
      <x:c r="O69" t="str"/>
      <x:c r="P69" t="str"/>
      <x:c r="Q69" t="str"/>
      <x:c r="R69" t="str"/>
      <x:c r="S69" t="str"/>
      <x:c r="T69" t="str"/>
      <x:c r="U69" t="str"/>
      <x:c r="V69" t="str"/>
      <x:c r="W69" t="str"/>
      <x:c r="X69" t="str"/>
      <x:c r="Y69" t="str"/>
      <x:c r="Z69" t="str"/>
    </x:row>
    <x:row r="70">
      <x:c r="A70" t="str">
        <x:v>Ale (No comprobado)</x:v>
      </x:c>
      <x:c r="B70" t="str">
        <x:v>9/09/26, 11:18:13 AM</x:v>
      </x:c>
      <x:c r="C70" t="str">
        <x:v>9/09/26, 11:59:16 AM</x:v>
      </x:c>
      <x:c r="D70" t="str">
        <x:v>41 min 3s</x:v>
      </x:c>
      <x:c r="E70" t="str"/>
      <x:c r="F70" t="str"/>
      <x:c r="G70" t="str">
        <x:v>Asistente</x:v>
      </x:c>
      <x:c r="H70" t="str">
        <x:v>Maria de Lourdes Alejandra</x:v>
      </x:c>
      <x:c r="I70" t="str">
        <x:v>Aguilar Solis</x:v>
      </x:c>
      <x:c r="J70" t="str">
        <x:v>mdaaguilarsolis81@gmail.com</x:v>
      </x:c>
      <x:c r="K70" t="str">
        <x:v>8/21/26, 10:06:30 AM</x:v>
      </x:c>
      <x:c r="L70" t="str">
        <x:v>Registrado</x:v>
      </x:c>
      <x:c r="M70" t="str">
        <x:v>Italia</x:v>
      </x:c>
      <x:c r="N70" t="str"/>
      <x:c r="O70" t="str"/>
      <x:c r="P70" t="str"/>
      <x:c r="Q70" t="str"/>
      <x:c r="R70" t="str"/>
      <x:c r="S70" t="str"/>
      <x:c r="T70" t="str"/>
      <x:c r="U70" t="str"/>
      <x:c r="V70" t="str"/>
      <x:c r="W70" t="str"/>
      <x:c r="X70" t="str"/>
      <x:c r="Y70" t="str"/>
      <x:c r="Z70" t="str">
        <x:v>1</x:v>
      </x:c>
    </x:row>
    <x:row r="71">
      <x:c r="A71" t="str">
        <x:v>Ashutosh Katkar</x:v>
      </x:c>
      <x:c r="B71" t="str">
        <x:v>9/09/26, 11:18:22 AM</x:v>
      </x:c>
      <x:c r="C71" t="str">
        <x:v>9/09/26, 12:31:48 PM</x:v>
      </x:c>
      <x:c r="D71" t="str">
        <x:v>1 h 13 min 26s</x:v>
      </x:c>
      <x:c r="E71" t="str">
        <x:v>akatkar@controlunion.com</x:v>
      </x:c>
      <x:c r="F71" t="str">
        <x:v>akatkar@pcugroup.com</x:v>
      </x:c>
      <x:c r="G71" t="str">
        <x:v>Asistente</x:v>
      </x:c>
      <x:c r="H71" t="str"/>
      <x:c r="I71" t="str"/>
      <x:c r="J71" t="str"/>
      <x:c r="K71" t="str"/>
      <x:c r="L71" t="str"/>
      <x:c r="M71" t="str"/>
      <x:c r="N71" t="str"/>
      <x:c r="O71" t="str"/>
      <x:c r="P71" t="str"/>
      <x:c r="Q71" t="str"/>
      <x:c r="R71" t="str"/>
      <x:c r="S71" t="str"/>
      <x:c r="T71" t="str"/>
      <x:c r="U71" t="str"/>
      <x:c r="V71" t="str"/>
      <x:c r="W71" t="str"/>
      <x:c r="X71" t="str"/>
      <x:c r="Y71" t="str"/>
      <x:c r="Z71" t="str"/>
    </x:row>
    <x:row r="72">
      <x:c r="A72" t="str">
        <x:v>Qualitea QA - Lakmal (Externo)</x:v>
      </x:c>
      <x:c r="B72" t="str">
        <x:v>9/09/26, 11:18:52 AM</x:v>
      </x:c>
      <x:c r="C72" t="str">
        <x:v>9/09/26, 11:27:48 AM</x:v>
      </x:c>
      <x:c r="D72" t="str">
        <x:v>8 min 56s</x:v>
      </x:c>
      <x:c r="E72" t="str">
        <x:v>qa@qualitea.lk</x:v>
      </x:c>
      <x:c r="F72" t="str">
        <x:v>qa@qualitea.lk</x:v>
      </x:c>
      <x:c r="G72" t="str">
        <x:v>Asistente</x:v>
      </x:c>
      <x:c r="H72" t="str"/>
      <x:c r="I72" t="str"/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</x:row>
    <x:row r="73">
      <x:c r="A73" t="str">
        <x:v>Ana Zamora</x:v>
      </x:c>
      <x:c r="B73" t="str">
        <x:v>9/09/26, 11:20:30 AM</x:v>
      </x:c>
      <x:c r="C73" t="str">
        <x:v>9/09/26, 12:12:22 PM</x:v>
      </x:c>
      <x:c r="D73" t="str">
        <x:v>51 min 51s</x:v>
      </x:c>
      <x:c r="E73" t="str">
        <x:v>azamora@controlunion.com</x:v>
      </x:c>
      <x:c r="F73" t="str">
        <x:v>azamora@pcugroup.com</x:v>
      </x:c>
      <x:c r="G73" t="str">
        <x:v>Asistente</x:v>
      </x:c>
      <x:c r="H73" t="str">
        <x:v>Ana</x:v>
      </x:c>
      <x:c r="I73" t="str">
        <x:v>Zamora</x:v>
      </x:c>
      <x:c r="J73" t="str">
        <x:v>azamora@controlunion.com</x:v>
      </x:c>
      <x:c r="K73" t="str">
        <x:v>8/26/26, 5:48:04 AM</x:v>
      </x:c>
      <x:c r="L73" t="str">
        <x:v>Registrado</x:v>
      </x:c>
      <x:c r="M73" t="str">
        <x:v>Spain</x:v>
      </x:c>
      <x:c r="N73" t="str">
        <x:v>CU</x:v>
      </x:c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</x:row>
    <x:row r="74">
      <x:c r="A74" t="str">
        <x:v>Gyorgyi Acs</x:v>
      </x:c>
      <x:c r="B74" t="str">
        <x:v>9/09/26, 11:21:32 AM</x:v>
      </x:c>
      <x:c r="C74" t="str">
        <x:v>9/09/26, 12:25:21 PM</x:v>
      </x:c>
      <x:c r="D74" t="str">
        <x:v>1 h 3 min 48s</x:v>
      </x:c>
      <x:c r="E74" t="str">
        <x:v>gacs@controlunion.com</x:v>
      </x:c>
      <x:c r="F74" t="str">
        <x:v>gacs@pcugroup.com</x:v>
      </x:c>
      <x:c r="G74" t="str">
        <x:v>Asistente</x:v>
      </x:c>
      <x:c r="H74" t="str">
        <x:v>Gyorgyi</x:v>
      </x:c>
      <x:c r="I74" t="str">
        <x:v>Acs</x:v>
      </x:c>
      <x:c r="J74" t="str">
        <x:v>gacs@controlunion.com</x:v>
      </x:c>
      <x:c r="K74" t="str">
        <x:v>8/14/26, 8:03:41 AM</x:v>
      </x:c>
      <x:c r="L74" t="str">
        <x:v>Registrado</x:v>
      </x:c>
      <x:c r="M74" t="str">
        <x:v>Hungary</x:v>
      </x:c>
      <x:c r="N74" t="str">
        <x:v>Control Union Hungária Kft.</x:v>
      </x:c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>
        <x:v>1</x:v>
      </x:c>
    </x:row>
    <x:row r="75">
      <x:c r="A75" t="str">
        <x:v>Milena Parnigoni</x:v>
      </x:c>
      <x:c r="B75" t="str">
        <x:v>9/09/26, 11:27:13 AM</x:v>
      </x:c>
      <x:c r="C75" t="str">
        <x:v>9/09/26, 12:27:15 PM</x:v>
      </x:c>
      <x:c r="D75" t="str">
        <x:v>1 h 2s</x:v>
      </x:c>
      <x:c r="E75" t="str">
        <x:v>Milena.Parnigoni@logoplaste.com</x:v>
      </x:c>
      <x:c r="F75" t="str">
        <x:v>milena.parnigoni@logoplaste.com</x:v>
      </x:c>
      <x:c r="G75" t="str">
        <x:v>Asistente</x:v>
      </x:c>
      <x:c r="H75" t="str">
        <x:v>Milena Parnigoni</x:v>
      </x:c>
      <x:c r="I75" t="str">
        <x:v>Parnigoni</x:v>
      </x:c>
      <x:c r="J75" t="str">
        <x:v>milena.parnigoni@logoplaste.com</x:v>
      </x:c>
      <x:c r="K75" t="str">
        <x:v>8/21/26, 7:43:41 AM</x:v>
      </x:c>
      <x:c r="L75" t="str">
        <x:v>Registrado</x:v>
      </x:c>
      <x:c r="M75" t="str">
        <x:v>Portugal</x:v>
      </x:c>
      <x:c r="N75" t="str">
        <x:v>Logoplaste Innovation Lab</x:v>
      </x:c>
      <x:c r="O75" t="str"/>
      <x:c r="P75" t="str"/>
      <x:c r="Q75" t="str"/>
      <x:c r="R75" t="str"/>
      <x:c r="S75" t="str"/>
      <x:c r="T75" t="str"/>
      <x:c r="U75" t="str"/>
      <x:c r="V75" t="str"/>
      <x:c r="W75" t="str"/>
      <x:c r="X75" t="str"/>
      <x:c r="Y75" t="str"/>
      <x:c r="Z75" t="str">
        <x:v>1</x:v>
      </x:c>
    </x:row>
    <x:row r="76">
      <x:c r="A76" t="str">
        <x:v>Laura Karpati</x:v>
      </x:c>
      <x:c r="B76" t="str">
        <x:v>9/09/26, 11:37:28 AM</x:v>
      </x:c>
      <x:c r="C76" t="str">
        <x:v>9/09/26, 12:34:24 PM</x:v>
      </x:c>
      <x:c r="D76" t="str">
        <x:v>56 min 55s</x:v>
      </x:c>
      <x:c r="E76" t="str">
        <x:v>lkarpati@controlunion.com</x:v>
      </x:c>
      <x:c r="F76" t="str">
        <x:v>lkarpati@pcugroup.com</x:v>
      </x:c>
      <x:c r="G76" t="str">
        <x:v>Asistente</x:v>
      </x:c>
      <x:c r="H76" t="str">
        <x:v>Laura</x:v>
      </x:c>
      <x:c r="I76" t="str">
        <x:v>Karpati</x:v>
      </x:c>
      <x:c r="J76" t="str">
        <x:v>lkarpati@controlunion.com</x:v>
      </x:c>
      <x:c r="K76" t="str">
        <x:v>8/14/26, 5:47:37 AM</x:v>
      </x:c>
      <x:c r="L76" t="str">
        <x:v>Registrado</x:v>
      </x:c>
      <x:c r="M76" t="str"/>
      <x:c r="N76" t="str">
        <x:v>Control Union</x:v>
      </x:c>
      <x:c r="O76" t="str"/>
      <x:c r="P76" t="str"/>
      <x:c r="Q76" t="str"/>
      <x:c r="R76" t="str"/>
      <x:c r="S76" t="str"/>
      <x:c r="T76" t="str"/>
      <x:c r="U76" t="str"/>
      <x:c r="V76" t="str"/>
      <x:c r="W76" t="str"/>
      <x:c r="X76" t="str"/>
      <x:c r="Y76" t="str"/>
      <x:c r="Z76" t="str"/>
    </x:row>
    <x:row r="77">
      <x:c r="A77" t="str">
        <x:v>azmat (No comprobado)</x:v>
      </x:c>
      <x:c r="B77" t="str">
        <x:v>9/09/26, 11:37:31 AM</x:v>
      </x:c>
      <x:c r="C77" t="str">
        <x:v>9/09/26, 12:31:46 PM</x:v>
      </x:c>
      <x:c r="D77" t="str">
        <x:v>54 min 15s</x:v>
      </x:c>
      <x:c r="E77" t="str"/>
      <x:c r="F77" t="str"/>
      <x:c r="G77" t="str">
        <x:v>Asistente</x:v>
      </x:c>
      <x:c r="H77" t="str"/>
      <x:c r="I77" t="str"/>
      <x:c r="J77" t="str"/>
      <x:c r="K77" t="str"/>
      <x:c r="L77" t="str"/>
      <x:c r="M77" t="str"/>
      <x:c r="N77" t="str"/>
      <x:c r="O77" t="str"/>
      <x:c r="P77" t="str"/>
      <x:c r="Q77" t="str"/>
      <x:c r="R77" t="str"/>
      <x:c r="S77" t="str"/>
      <x:c r="T77" t="str"/>
      <x:c r="U77" t="str"/>
      <x:c r="V77" t="str"/>
      <x:c r="W77" t="str"/>
      <x:c r="X77" t="str"/>
      <x:c r="Y77" t="str"/>
      <x:c r="Z77" t="str"/>
    </x:row>
    <x:row r="78">
      <x:c r="A78" t="str">
        <x:v>Dániel Surányi</x:v>
      </x:c>
      <x:c r="B78" t="str">
        <x:v>9/09/26, 11:37:36 AM</x:v>
      </x:c>
      <x:c r="C78" t="str">
        <x:v>9/09/26, 12:09:41 PM</x:v>
      </x:c>
      <x:c r="D78" t="str">
        <x:v>32 min 4s</x:v>
      </x:c>
      <x:c r="E78" t="str">
        <x:v>dsuranyi@controlunion.com</x:v>
      </x:c>
      <x:c r="F78" t="str">
        <x:v>dsuranyi@pcugroup.com</x:v>
      </x:c>
      <x:c r="G78" t="str">
        <x:v>Asistente</x:v>
      </x:c>
      <x:c r="H78" t="str"/>
      <x:c r="I78" t="str"/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</x:row>
    <x:row r="79">
      <x:c r="A79" t="str">
        <x:v>Andre Perez / Kolmar Group AG</x:v>
      </x:c>
      <x:c r="B79" t="str">
        <x:v>9/09/26, 11:38:53 AM</x:v>
      </x:c>
      <x:c r="C79" t="str">
        <x:v>9/09/26, 12:29:54 PM</x:v>
      </x:c>
      <x:c r="D79" t="str">
        <x:v>51 min</x:v>
      </x:c>
      <x:c r="E79" t="str">
        <x:v>a.perezalonso@kolmargroup.com</x:v>
      </x:c>
      <x:c r="F79" t="str">
        <x:v>a.perezalonso@kolmargroup.com</x:v>
      </x:c>
      <x:c r="G79" t="str">
        <x:v>Asistente</x:v>
      </x:c>
      <x:c r="H79" t="str">
        <x:v>andre</x:v>
      </x:c>
      <x:c r="I79" t="str">
        <x:v>Perez alonso</x:v>
      </x:c>
      <x:c r="J79" t="str">
        <x:v>a.perezalonso@kolmargroup.com</x:v>
      </x:c>
      <x:c r="K79" t="str">
        <x:v>9/08/26, 4:58:41 AM</x:v>
      </x:c>
      <x:c r="L79" t="str">
        <x:v>Registrado</x:v>
      </x:c>
      <x:c r="M79" t="str">
        <x:v>Suiza</x:v>
      </x:c>
      <x:c r="N79" t="str">
        <x:v>Kolmar Group AG</x:v>
      </x:c>
      <x:c r="O79" t="str"/>
      <x:c r="P79" t="str"/>
      <x:c r="Q79" t="str"/>
      <x:c r="R79" t="str"/>
      <x:c r="S79" t="str"/>
      <x:c r="T79" t="str"/>
      <x:c r="U79" t="str"/>
      <x:c r="V79" t="str"/>
      <x:c r="W79" t="str"/>
      <x:c r="X79" t="str"/>
      <x:c r="Y79" t="str"/>
      <x:c r="Z79" t="str"/>
    </x:row>
    <x:row r="80">
      <x:c r="A80" t="str">
        <x:v>Shehbaz Ahmed  (No comprobado)</x:v>
      </x:c>
      <x:c r="B80" t="str">
        <x:v>9/09/26, 11:39:23 AM</x:v>
      </x:c>
      <x:c r="C80" t="str">
        <x:v>9/09/26, 12:37:19 PM</x:v>
      </x:c>
      <x:c r="D80" t="str">
        <x:v>50 min 28s</x:v>
      </x:c>
      <x:c r="E80" t="str"/>
      <x:c r="F80" t="str"/>
      <x:c r="G80" t="str">
        <x:v>Asistente</x:v>
      </x:c>
      <x:c r="H80" t="str">
        <x:v>SHEHBAZ</x:v>
      </x:c>
      <x:c r="I80" t="str">
        <x:v>AHMED</x:v>
      </x:c>
      <x:c r="J80" t="str">
        <x:v>shehbazahmed743@gmail.com</x:v>
      </x:c>
      <x:c r="K80" t="str">
        <x:v>9/09/26, 2:29:34 AM</x:v>
      </x:c>
      <x:c r="L80" t="str">
        <x:v>Registrado</x:v>
      </x:c>
      <x:c r="M80" t="str">
        <x:v>PAKISTAN</x:v>
      </x:c>
      <x:c r="N80" t="str">
        <x:v>LIBERTY MILLS LIMITED</x:v>
      </x:c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</x:row>
    <x:row r="81">
      <x:c r="A81" t="str">
        <x:v>Matheus Siqueira Carpoviki  (No comprobado)</x:v>
      </x:c>
      <x:c r="B81" t="str">
        <x:v>9/09/26, 11:40:27 AM</x:v>
      </x:c>
      <x:c r="C81" t="str">
        <x:v>9/09/26, 11:56:56 AM</x:v>
      </x:c>
      <x:c r="D81" t="str">
        <x:v>16 min 28s</x:v>
      </x:c>
      <x:c r="E81" t="str"/>
      <x:c r="F81" t="str"/>
      <x:c r="G81" t="str">
        <x:v>Asistente</x:v>
      </x:c>
      <x:c r="H81" t="str"/>
      <x:c r="I81" t="str"/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</x:row>
    <x:row r="82">
      <x:c r="A82" t="str">
        <x:v>Miguel Gonzalez (Externo)</x:v>
      </x:c>
      <x:c r="B82" t="str">
        <x:v>9/09/26, 11:42:42 AM</x:v>
      </x:c>
      <x:c r="C82" t="str">
        <x:v>9/09/26, 11:49:47 AM</x:v>
      </x:c>
      <x:c r="D82" t="str">
        <x:v>7 min 5s</x:v>
      </x:c>
      <x:c r="E82" t="str">
        <x:v>mgonzalez@silchron.com</x:v>
      </x:c>
      <x:c r="F82" t="str">
        <x:v>mgonzalez@silchron.com</x:v>
      </x:c>
      <x:c r="G82" t="str">
        <x:v>Asistente</x:v>
      </x:c>
      <x:c r="H82" t="str">
        <x:v>M</x:v>
      </x:c>
      <x:c r="I82" t="str">
        <x:v>G</x:v>
      </x:c>
      <x:c r="J82" t="str">
        <x:v>mgonzalez@silchron.com</x:v>
      </x:c>
      <x:c r="K82" t="str">
        <x:v>8/28/26, 10:20:26 AM</x:v>
      </x:c>
      <x:c r="L82" t="str">
        <x:v>Registrado</x:v>
      </x:c>
      <x:c r="M82" t="str">
        <x:v>Chile</x:v>
      </x:c>
      <x:c r="N82" t="str">
        <x:v>Silchron</x:v>
      </x:c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>
        <x:v>1</x:v>
      </x:c>
    </x:row>
    <x:row r="83">
      <x:c r="A83" t="str">
        <x:v>Snezhana Terzieva (No comprobado)</x:v>
      </x:c>
      <x:c r="B83" t="str">
        <x:v>9/09/26, 11:45:43 AM</x:v>
      </x:c>
      <x:c r="C83" t="str">
        <x:v>9/09/26, 12:11:34 PM</x:v>
      </x:c>
      <x:c r="D83" t="str">
        <x:v>25 min 50s</x:v>
      </x:c>
      <x:c r="E83" t="str"/>
      <x:c r="F83" t="str"/>
      <x:c r="G83" t="str">
        <x:v>Asistente</x:v>
      </x:c>
      <x:c r="H83" t="str">
        <x:v>Snezhana</x:v>
      </x:c>
      <x:c r="I83" t="str">
        <x:v>Terzieva</x:v>
      </x:c>
      <x:c r="J83" t="str">
        <x:v>lovekorn.st@gmail.com</x:v>
      </x:c>
      <x:c r="K83" t="str">
        <x:v>9/08/26, 1:17:44 PM</x:v>
      </x:c>
      <x:c r="L83" t="str">
        <x:v>Registrado</x:v>
      </x:c>
      <x:c r="M83" t="str">
        <x:v>United Kingdom</x:v>
      </x:c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</x:row>
    <x:row r="84">
      <x:c r="A84" t="str">
        <x:v>Stefan Fehringer (Externo)</x:v>
      </x:c>
      <x:c r="B84" t="str">
        <x:v>9/09/26, 11:50:53 AM</x:v>
      </x:c>
      <x:c r="C84" t="str">
        <x:v>9/09/26, 12:15:37 PM</x:v>
      </x:c>
      <x:c r="D84" t="str">
        <x:v>24 min 43s</x:v>
      </x:c>
      <x:c r="E84" t="str">
        <x:v>stefan.fehringer@bkkregau.onmicrosoft.com</x:v>
      </x:c>
      <x:c r="F84" t="str">
        <x:v>stefan.fehringer@bkkregau.onmicrosoft.com</x:v>
      </x:c>
      <x:c r="G84" t="str">
        <x:v>Asistente</x:v>
      </x:c>
      <x:c r="H84" t="str">
        <x:v>Stefan</x:v>
      </x:c>
      <x:c r="I84" t="str">
        <x:v>Fehringer</x:v>
      </x:c>
      <x:c r="J84" t="str">
        <x:v>s.fehringer@greiner-gpi.com</x:v>
      </x:c>
      <x:c r="K84" t="str">
        <x:v>8/31/26, 3:36:04 AM</x:v>
      </x:c>
      <x:c r="L84" t="str">
        <x:v>Registrado</x:v>
      </x:c>
      <x:c r="M84" t="str">
        <x:v>Österreich</x:v>
      </x:c>
      <x:c r="N84" t="str"/>
      <x:c r="O84" t="str"/>
      <x:c r="P84" t="str"/>
      <x:c r="Q84" t="str"/>
      <x:c r="R84" t="str"/>
      <x:c r="S84" t="str"/>
      <x:c r="T84" t="str"/>
      <x:c r="U84" t="str"/>
      <x:c r="V84" t="str"/>
      <x:c r="W84" t="str"/>
      <x:c r="X84" t="str"/>
      <x:c r="Y84" t="str"/>
      <x:c r="Z84" t="str">
        <x:v>1</x:v>
      </x:c>
    </x:row>
    <x:row r="85">
      <x:c r="A85" t="str">
        <x:v>Widya Putri</x:v>
      </x:c>
      <x:c r="B85" t="str">
        <x:v>9/09/26, 11:50:59 AM</x:v>
      </x:c>
      <x:c r="C85" t="str">
        <x:v>9/09/26, 12:10:09 PM</x:v>
      </x:c>
      <x:c r="D85" t="str">
        <x:v>19 min 10s</x:v>
      </x:c>
      <x:c r="E85" t="str">
        <x:v>wputri@controlunion.com</x:v>
      </x:c>
      <x:c r="F85" t="str">
        <x:v>wputri@pcugroup.com</x:v>
      </x:c>
      <x:c r="G85" t="str">
        <x:v>Asistente</x:v>
      </x:c>
      <x:c r="H85" t="str"/>
      <x:c r="I85" t="str"/>
      <x:c r="J85" t="str"/>
      <x:c r="K85" t="str"/>
      <x:c r="L85" t="str"/>
      <x:c r="M85" t="str"/>
      <x:c r="N85" t="str"/>
      <x:c r="O85" t="str"/>
      <x:c r="P85" t="str"/>
      <x:c r="Q85" t="str"/>
      <x:c r="R85" t="str"/>
      <x:c r="S85" t="str"/>
      <x:c r="T85" t="str"/>
      <x:c r="U85" t="str"/>
      <x:c r="V85" t="str"/>
      <x:c r="W85" t="str"/>
      <x:c r="X85" t="str"/>
      <x:c r="Y85" t="str"/>
      <x:c r="Z85" t="str">
        <x:v>1</x:v>
      </x:c>
    </x:row>
    <x:row r="86">
      <x:c r="A86" t="str">
        <x:v>Shehara (No comprobado)</x:v>
      </x:c>
      <x:c r="B86" t="str">
        <x:v>9/09/26, 11:55:03 AM</x:v>
      </x:c>
      <x:c r="C86" t="str">
        <x:v>9/09/26, 12:31:54 PM</x:v>
      </x:c>
      <x:c r="D86" t="str">
        <x:v>36 min 51s</x:v>
      </x:c>
      <x:c r="E86" t="str"/>
      <x:c r="F86" t="str"/>
      <x:c r="G86" t="str">
        <x:v>Asistente</x:v>
      </x:c>
      <x:c r="H86" t="str">
        <x:v>Shehara</x:v>
      </x:c>
      <x:c r="I86" t="str">
        <x:v>Fernando</x:v>
      </x:c>
      <x:c r="J86" t="str">
        <x:v>sheharamf@gmail.com</x:v>
      </x:c>
      <x:c r="K86" t="str">
        <x:v>9/08/26, 5:40:10 AM</x:v>
      </x:c>
      <x:c r="L86" t="str">
        <x:v>Registrado</x:v>
      </x:c>
      <x:c r="M86" t="str">
        <x:v>Sri Lanka </x:v>
      </x:c>
      <x:c r="N86" t="str">
        <x:v>Hayleys Aventura Pvt Ltd.</x:v>
      </x:c>
      <x:c r="O86" t="str"/>
      <x:c r="P86" t="str"/>
      <x:c r="Q86" t="str"/>
      <x:c r="R86" t="str"/>
      <x:c r="S86" t="str"/>
      <x:c r="T86" t="str"/>
      <x:c r="U86" t="str"/>
      <x:c r="V86" t="str"/>
      <x:c r="W86" t="str"/>
      <x:c r="X86" t="str"/>
      <x:c r="Y86" t="str"/>
      <x:c r="Z86" t="str">
        <x:v>1</x:v>
      </x:c>
    </x:row>
    <x:row r="87">
      <x:c r="A87" t="str">
        <x:v>Matheus Siqueira Carpoviki  (No comprobado)</x:v>
      </x:c>
      <x:c r="B87" t="str">
        <x:v>9/09/26, 12:00:10 PM</x:v>
      </x:c>
      <x:c r="C87" t="str">
        <x:v>9/09/26, 12:20:26 PM</x:v>
      </x:c>
      <x:c r="D87" t="str">
        <x:v>20 min 16s</x:v>
      </x:c>
      <x:c r="E87" t="str"/>
      <x:c r="F87" t="str"/>
      <x:c r="G87" t="str">
        <x:v>Asistente</x:v>
      </x:c>
      <x:c r="H87" t="str"/>
      <x:c r="I87" t="str"/>
      <x:c r="J87" t="str"/>
      <x:c r="K87" t="str"/>
      <x:c r="L87" t="str"/>
      <x:c r="M87" t="str"/>
      <x:c r="N87" t="str"/>
      <x:c r="O87" t="str"/>
      <x:c r="P87" t="str"/>
      <x:c r="Q87" t="str"/>
      <x:c r="R87" t="str"/>
      <x:c r="S87" t="str"/>
      <x:c r="T87" t="str"/>
      <x:c r="U87" t="str"/>
      <x:c r="V87" t="str"/>
      <x:c r="W87" t="str"/>
      <x:c r="X87" t="str"/>
      <x:c r="Y87" t="str"/>
      <x:c r="Z87" t="str"/>
    </x:row>
    <x:row r="88">
      <x:c r="A88" t="str">
        <x:v>Darlin Mejia</x:v>
      </x:c>
      <x:c r="B88" t="str">
        <x:v>9/09/26, 12:03:18 PM</x:v>
      </x:c>
      <x:c r="C88" t="str">
        <x:v>9/09/26, 1:09:53 PM</x:v>
      </x:c>
      <x:c r="D88" t="str">
        <x:v>1 h 6 min 35s</x:v>
      </x:c>
      <x:c r="E88" t="str">
        <x:v>dcmejia@pantaleon.com</x:v>
      </x:c>
      <x:c r="F88" t="str">
        <x:v>100679@pantaleon.com</x:v>
      </x:c>
      <x:c r="G88" t="str">
        <x:v>Asistente</x:v>
      </x:c>
      <x:c r="H88" t="str">
        <x:v>Darlin</x:v>
      </x:c>
      <x:c r="I88" t="str">
        <x:v>Mejia</x:v>
      </x:c>
      <x:c r="J88" t="str">
        <x:v>dcmejia@pantaleon.com</x:v>
      </x:c>
      <x:c r="K88" t="str">
        <x:v>9/03/26, 6:47:06 PM</x:v>
      </x:c>
      <x:c r="L88" t="str">
        <x:v>Registrado</x:v>
      </x:c>
      <x:c r="M88" t="str">
        <x:v>Guatemala </x:v>
      </x:c>
      <x:c r="N88" t="str">
        <x:v>Pantaleon S.A.</x:v>
      </x:c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>
        <x:v>1</x:v>
      </x:c>
    </x:row>
    <x:row r="89">
      <x:c r="A89" t="str">
        <x:v>Matheus Siqueira Carpoviki  (No comprobado)</x:v>
      </x:c>
      <x:c r="B89" t="str">
        <x:v>9/09/26, 12:23:12 PM</x:v>
      </x:c>
      <x:c r="C89" t="str">
        <x:v>9/09/26, 12:31:45 PM</x:v>
      </x:c>
      <x:c r="D89" t="str">
        <x:v>8 min 33s</x:v>
      </x:c>
      <x:c r="E89" t="str"/>
      <x:c r="F89" t="str"/>
      <x:c r="G89" t="str">
        <x:v>Asistente</x:v>
      </x:c>
      <x:c r="H89" t="str"/>
      <x:c r="I89" t="str"/>
      <x:c r="J89" t="str"/>
      <x:c r="K89" t="str"/>
      <x:c r="L89" t="str"/>
      <x:c r="M89" t="str"/>
      <x:c r="N89" t="str"/>
      <x:c r="O89" t="str"/>
      <x:c r="P89" t="str"/>
      <x:c r="Q89" t="str"/>
      <x:c r="R89" t="str"/>
      <x:c r="S89" t="str"/>
      <x:c r="T89" t="str"/>
      <x:c r="U89" t="str"/>
      <x:c r="V89" t="str"/>
      <x:c r="W89" t="str"/>
      <x:c r="X89" t="str"/>
      <x:c r="Y89" t="str"/>
      <x:c r="Z89" t="str"/>
    </x:row>
    <x:row r="90">
      <x:c r="A90" t="str"/>
      <x:c r="B90" t="str"/>
      <x:c r="C90" t="str"/>
      <x:c r="D90" t="str"/>
      <x:c r="E90" t="str"/>
      <x:c r="F90" t="str"/>
      <x:c r="G90" t="str"/>
      <x:c r="H90" t="str">
        <x:v>Manuel</x:v>
      </x:c>
      <x:c r="I90" t="str">
        <x:v>Nochez</x:v>
      </x:c>
      <x:c r="J90" t="str">
        <x:v>mnochez@flexpack.consulting</x:v>
      </x:c>
      <x:c r="K90" t="str">
        <x:v>8/13/26, 12:25:45 PM</x:v>
      </x:c>
      <x:c r="L90" t="str">
        <x:v>Registrado</x:v>
      </x:c>
      <x:c r="M90" t="str">
        <x:v>El Salvador</x:v>
      </x:c>
      <x:c r="N90" t="str">
        <x:v>Flexpack &amp; Consulting</x:v>
      </x:c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</x:row>
    <x:row r="91">
      <x:c r="A91" t="str"/>
      <x:c r="B91" t="str"/>
      <x:c r="C91" t="str"/>
      <x:c r="D91" t="str"/>
      <x:c r="E91" t="str"/>
      <x:c r="F91" t="str"/>
      <x:c r="G91" t="str"/>
      <x:c r="H91" t="str">
        <x:v>Darlin</x:v>
      </x:c>
      <x:c r="I91" t="str">
        <x:v>Mejia</x:v>
      </x:c>
      <x:c r="J91" t="str">
        <x:v>dcmejia@hotmail.com</x:v>
      </x:c>
      <x:c r="K91" t="str">
        <x:v>8/13/26, 4:54:44 PM</x:v>
      </x:c>
      <x:c r="L91" t="str">
        <x:v>Registrado</x:v>
      </x:c>
      <x:c r="M91" t="str">
        <x:v>Guatemala</x:v>
      </x:c>
      <x:c r="N91" t="str">
        <x:v>Pantaleon S.A. </x:v>
      </x:c>
      <x:c r="O91" t="str"/>
      <x:c r="P91" t="str"/>
      <x:c r="Q91" t="str"/>
      <x:c r="R91" t="str"/>
      <x:c r="S91" t="str"/>
      <x:c r="T91" t="str"/>
      <x:c r="U91" t="str"/>
      <x:c r="V91" t="str"/>
      <x:c r="W91" t="str"/>
      <x:c r="X91" t="str"/>
      <x:c r="Y91" t="str"/>
      <x:c r="Z91" t="str"/>
    </x:row>
    <x:row r="92">
      <x:c r="A92" t="str"/>
      <x:c r="B92" t="str"/>
      <x:c r="C92" t="str"/>
      <x:c r="D92" t="str"/>
      <x:c r="E92" t="str"/>
      <x:c r="F92" t="str"/>
      <x:c r="G92" t="str"/>
      <x:c r="H92" t="str">
        <x:v>Dániel</x:v>
      </x:c>
      <x:c r="I92" t="str">
        <x:v>Surányi</x:v>
      </x:c>
      <x:c r="J92" t="str">
        <x:v>dsuranyi@controlunion.com</x:v>
      </x:c>
      <x:c r="K92" t="str">
        <x:v>8/14/26, 5:34:09 AM</x:v>
      </x:c>
      <x:c r="L92" t="str">
        <x:v>Registrado</x:v>
      </x:c>
      <x:c r="M92" t="str">
        <x:v>Hungary</x:v>
      </x:c>
      <x:c r="N92" t="str">
        <x:v>Control Union</x:v>
      </x:c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</x:row>
    <x:row r="93">
      <x:c r="A93" t="str"/>
      <x:c r="B93" t="str"/>
      <x:c r="C93" t="str"/>
      <x:c r="D93" t="str"/>
      <x:c r="E93" t="str"/>
      <x:c r="F93" t="str"/>
      <x:c r="G93" t="str"/>
      <x:c r="H93" t="str">
        <x:v>Beatrice</x:v>
      </x:c>
      <x:c r="I93" t="str">
        <x:v>Koci</x:v>
      </x:c>
      <x:c r="J93" t="str">
        <x:v>beatrice.koci@plasticsrecyclers.eu</x:v>
      </x:c>
      <x:c r="K93" t="str">
        <x:v>8/14/26, 6:44:26 AM</x:v>
      </x:c>
      <x:c r="L93" t="str">
        <x:v>Registrado</x:v>
      </x:c>
      <x:c r="M93" t="str">
        <x:v>Belgium</x:v>
      </x:c>
      <x:c r="N93" t="str">
        <x:v>Plastics Recyclers Europe</x:v>
      </x:c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</x:row>
    <x:row r="94">
      <x:c r="A94" t="str"/>
      <x:c r="B94" t="str"/>
      <x:c r="C94" t="str"/>
      <x:c r="D94" t="str"/>
      <x:c r="E94" t="str"/>
      <x:c r="F94" t="str"/>
      <x:c r="G94" t="str"/>
      <x:c r="H94" t="str">
        <x:v>Zdravka</x:v>
      </x:c>
      <x:c r="I94" t="str">
        <x:v>Tsvyatkova</x:v>
      </x:c>
      <x:c r="J94" t="str">
        <x:v>ztsvyatkova@controlunion.com</x:v>
      </x:c>
      <x:c r="K94" t="str">
        <x:v>8/14/26, 7:17:09 AM</x:v>
      </x:c>
      <x:c r="L94" t="str">
        <x:v>Registrado</x:v>
      </x:c>
      <x:c r="M94" t="str">
        <x:v>Bulgaria</x:v>
      </x:c>
      <x:c r="N94" t="str">
        <x:v>Control Union Bulgaria</x:v>
      </x:c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</x:row>
    <x:row r="95">
      <x:c r="A95" t="str"/>
      <x:c r="B95" t="str"/>
      <x:c r="C95" t="str"/>
      <x:c r="D95" t="str"/>
      <x:c r="E95" t="str"/>
      <x:c r="F95" t="str"/>
      <x:c r="G95" t="str"/>
      <x:c r="H95" t="str">
        <x:v>Michiel</x:v>
      </x:c>
      <x:c r="I95" t="str">
        <x:v>Kokken</x:v>
      </x:c>
      <x:c r="J95" t="str">
        <x:v>michiel.kokken@ofi.com</x:v>
      </x:c>
      <x:c r="K95" t="str">
        <x:v>8/17/26, 6:09:20 AM</x:v>
      </x:c>
      <x:c r="L95" t="str">
        <x:v>Registrado</x:v>
      </x:c>
      <x:c r="M95" t="str">
        <x:v>Netherlands</x:v>
      </x:c>
      <x:c r="N95" t="str">
        <x:v>Olam Cocoa BV</x:v>
      </x:c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</x:row>
    <x:row r="96">
      <x:c r="A96" t="str"/>
      <x:c r="B96" t="str"/>
      <x:c r="C96" t="str"/>
      <x:c r="D96" t="str"/>
      <x:c r="E96" t="str"/>
      <x:c r="F96" t="str"/>
      <x:c r="G96" t="str"/>
      <x:c r="H96" t="str">
        <x:v>Ben</x:v>
      </x:c>
      <x:c r="I96" t="str">
        <x:v>Anderson</x:v>
      </x:c>
      <x:c r="J96" t="str">
        <x:v>ben.anderson@ralcoagriculture.com</x:v>
      </x:c>
      <x:c r="K96" t="str">
        <x:v>8/17/26, 11:36:05 AM</x:v>
      </x:c>
      <x:c r="L96" t="str">
        <x:v>Registrado</x:v>
      </x:c>
      <x:c r="M96" t="str"/>
      <x:c r="N96" t="str">
        <x:v>Ralco Nutrition, Inc.</x:v>
      </x:c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</x:row>
    <x:row r="97">
      <x:c r="A97" t="str"/>
      <x:c r="B97" t="str"/>
      <x:c r="C97" t="str"/>
      <x:c r="D97" t="str"/>
      <x:c r="E97" t="str"/>
      <x:c r="F97" t="str"/>
      <x:c r="G97" t="str"/>
      <x:c r="H97" t="str">
        <x:v>Diego</x:v>
      </x:c>
      <x:c r="I97" t="str">
        <x:v>Salgado</x:v>
      </x:c>
      <x:c r="J97" t="str">
        <x:v>dsalgado@artesco.com.pe</x:v>
      </x:c>
      <x:c r="K97" t="str">
        <x:v>8/17/26, 6:27:29 PM</x:v>
      </x:c>
      <x:c r="L97" t="str">
        <x:v>Registrado</x:v>
      </x:c>
      <x:c r="M97" t="str">
        <x:v>Peru</x:v>
      </x:c>
      <x:c r="N97" t="str">
        <x:v>Artesco-Staedtler DE</x:v>
      </x:c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</x:row>
    <x:row r="98">
      <x:c r="A98" t="str"/>
      <x:c r="B98" t="str"/>
      <x:c r="C98" t="str"/>
      <x:c r="D98" t="str"/>
      <x:c r="E98" t="str"/>
      <x:c r="F98" t="str"/>
      <x:c r="G98" t="str"/>
      <x:c r="H98" t="str">
        <x:v>Sabahat</x:v>
      </x:c>
      <x:c r="I98" t="str">
        <x:v>Maqbool</x:v>
      </x:c>
      <x:c r="J98" t="str">
        <x:v>sabahatmaqbool394@gmail.com</x:v>
      </x:c>
      <x:c r="K98" t="str">
        <x:v>8/18/26, 1:55:15 AM</x:v>
      </x:c>
      <x:c r="L98" t="str">
        <x:v>Registrado</x:v>
      </x:c>
      <x:c r="M98" t="str">
        <x:v>Pakistan</x:v>
      </x:c>
      <x:c r="N98" t="str">
        <x:v>Control union Pakistan pvt ltd </x:v>
      </x:c>
      <x:c r="O98" t="str"/>
      <x:c r="P98" t="str"/>
      <x:c r="Q98" t="str"/>
      <x:c r="R98" t="str"/>
      <x:c r="S98" t="str"/>
      <x:c r="T98" t="str"/>
      <x:c r="U98" t="str"/>
      <x:c r="V98" t="str"/>
      <x:c r="W98" t="str"/>
      <x:c r="X98" t="str"/>
      <x:c r="Y98" t="str"/>
      <x:c r="Z98" t="str"/>
    </x:row>
    <x:row r="99">
      <x:c r="A99" t="str"/>
      <x:c r="B99" t="str"/>
      <x:c r="C99" t="str"/>
      <x:c r="D99" t="str"/>
      <x:c r="E99" t="str"/>
      <x:c r="F99" t="str"/>
      <x:c r="G99" t="str"/>
      <x:c r="H99" t="str">
        <x:v>Eliza</x:v>
      </x:c>
      <x:c r="I99" t="str">
        <x:v>Morais Santos</x:v>
      </x:c>
      <x:c r="J99" t="str">
        <x:v>eliza.moraissantos@ofi.com</x:v>
      </x:c>
      <x:c r="K99" t="str">
        <x:v>8/18/26, 8:22:37 AM</x:v>
      </x:c>
      <x:c r="L99" t="str">
        <x:v>Registrado</x:v>
      </x:c>
      <x:c r="M99" t="str">
        <x:v>Netherlands</x:v>
      </x:c>
      <x:c r="N99" t="str">
        <x:v>ofi - Olam Food Ingredients</x:v>
      </x:c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</x:row>
    <x:row r="100">
      <x:c r="A100" t="str"/>
      <x:c r="B100" t="str"/>
      <x:c r="C100" t="str"/>
      <x:c r="D100" t="str"/>
      <x:c r="E100" t="str"/>
      <x:c r="F100" t="str"/>
      <x:c r="G100" t="str"/>
      <x:c r="H100" t="str">
        <x:v>Cole</x:v>
      </x:c>
      <x:c r="I100" t="str">
        <x:v>Hairston</x:v>
      </x:c>
      <x:c r="J100" t="str">
        <x:v>c.hairston@scsstandards.org</x:v>
      </x:c>
      <x:c r="K100" t="str">
        <x:v>8/18/26, 3:26:42 PM</x:v>
      </x:c>
      <x:c r="L100" t="str">
        <x:v>Registrado</x:v>
      </x:c>
      <x:c r="M100" t="str"/>
      <x:c r="N100" t="str">
        <x:v>SCS Standards and Assurance Systems</x:v>
      </x:c>
      <x:c r="O100" t="str"/>
      <x:c r="P100" t="str"/>
      <x:c r="Q100" t="str"/>
      <x:c r="R100" t="str"/>
      <x:c r="S100" t="str"/>
      <x:c r="T100" t="str"/>
      <x:c r="U100" t="str"/>
      <x:c r="V100" t="str"/>
      <x:c r="W100" t="str"/>
      <x:c r="X100" t="str"/>
      <x:c r="Y100" t="str"/>
      <x:c r="Z100" t="str"/>
    </x:row>
    <x:row r="101">
      <x:c r="A101" t="str"/>
      <x:c r="B101" t="str"/>
      <x:c r="C101" t="str"/>
      <x:c r="D101" t="str"/>
      <x:c r="E101" t="str"/>
      <x:c r="F101" t="str"/>
      <x:c r="G101" t="str"/>
      <x:c r="H101" t="str">
        <x:v>Alexander</x:v>
      </x:c>
      <x:c r="I101" t="str">
        <x:v>Schmelzer</x:v>
      </x:c>
      <x:c r="J101" t="str">
        <x:v>schmelzer@verpackung.org</x:v>
      </x:c>
      <x:c r="K101" t="str">
        <x:v>8/19/26, 3:16:54 AM</x:v>
      </x:c>
      <x:c r="L101" t="str">
        <x:v>Registrado</x:v>
      </x:c>
      <x:c r="M101" t="str">
        <x:v>Deutschland</x:v>
      </x:c>
      <x:c r="N101" t="str">
        <x:v>Deutsches Verpackungsinstitut e.V.</x:v>
      </x:c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</x:row>
    <x:row r="102">
      <x:c r="A102" t="str"/>
      <x:c r="B102" t="str"/>
      <x:c r="C102" t="str"/>
      <x:c r="D102" t="str"/>
      <x:c r="E102" t="str"/>
      <x:c r="F102" t="str"/>
      <x:c r="G102" t="str"/>
      <x:c r="H102" t="str">
        <x:v>Muhammad Usman</x:v>
      </x:c>
      <x:c r="I102" t="str">
        <x:v>Ghani</x:v>
      </x:c>
      <x:c r="J102" t="str">
        <x:v>mghani@controlunion.com</x:v>
      </x:c>
      <x:c r="K102" t="str">
        <x:v>8/19/26, 10:59:43 AM</x:v>
      </x:c>
      <x:c r="L102" t="str">
        <x:v>Registrado</x:v>
      </x:c>
      <x:c r="M102" t="str">
        <x:v>Pakistan</x:v>
      </x:c>
      <x:c r="N102" t="str">
        <x:v>Control Union Pakistan Pvt Ltd</x:v>
      </x:c>
      <x:c r="O102" t="str"/>
      <x:c r="P102" t="str"/>
      <x:c r="Q102" t="str"/>
      <x:c r="R102" t="str"/>
      <x:c r="S102" t="str"/>
      <x:c r="T102" t="str"/>
      <x:c r="U102" t="str"/>
      <x:c r="V102" t="str"/>
      <x:c r="W102" t="str"/>
      <x:c r="X102" t="str"/>
      <x:c r="Y102" t="str"/>
      <x:c r="Z102" t="str"/>
    </x:row>
    <x:row r="103">
      <x:c r="A103" t="str"/>
      <x:c r="B103" t="str"/>
      <x:c r="C103" t="str"/>
      <x:c r="D103" t="str"/>
      <x:c r="E103" t="str"/>
      <x:c r="F103" t="str"/>
      <x:c r="G103" t="str"/>
      <x:c r="H103" t="str">
        <x:v>Pepa</x:v>
      </x:c>
      <x:c r="I103" t="str">
        <x:v>Dimova Gocheva</x:v>
      </x:c>
      <x:c r="J103" t="str">
        <x:v>pgocheva@controlunion.com</x:v>
      </x:c>
      <x:c r="K103" t="str">
        <x:v>8/20/26, 10:30:01 AM</x:v>
      </x:c>
      <x:c r="L103" t="str">
        <x:v>Registrado</x:v>
      </x:c>
      <x:c r="M103" t="str">
        <x:v>Bulgaria</x:v>
      </x:c>
      <x:c r="N103" t="str">
        <x:v>Control Union Bulgaria Ltd</x:v>
      </x:c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</x:row>
    <x:row r="104">
      <x:c r="A104" t="str"/>
      <x:c r="B104" t="str"/>
      <x:c r="C104" t="str"/>
      <x:c r="D104" t="str"/>
      <x:c r="E104" t="str"/>
      <x:c r="F104" t="str"/>
      <x:c r="G104" t="str"/>
      <x:c r="H104" t="str">
        <x:v>DM</x:v>
      </x:c>
      <x:c r="I104" t="str">
        <x:v>Certification</x:v>
      </x:c>
      <x:c r="J104" t="str">
        <x:v>dm.certification@aviagri.com</x:v>
      </x:c>
      <x:c r="K104" t="str">
        <x:v>8/21/26, 5:47:37 AM</x:v>
      </x:c>
      <x:c r="L104" t="str">
        <x:v>Registrado</x:v>
      </x:c>
      <x:c r="M104" t="str">
        <x:v>India</x:v>
      </x:c>
      <x:c r="N104" t="str">
        <x:v>Avi Agri Business Pvt. Ltd.</x:v>
      </x:c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</x:row>
    <x:row r="105">
      <x:c r="A105" t="str"/>
      <x:c r="B105" t="str"/>
      <x:c r="C105" t="str"/>
      <x:c r="D105" t="str"/>
      <x:c r="E105" t="str"/>
      <x:c r="F105" t="str"/>
      <x:c r="G105" t="str"/>
      <x:c r="H105" t="str">
        <x:v>Mashan</x:v>
      </x:c>
      <x:c r="I105" t="str">
        <x:v>Murshid</x:v>
      </x:c>
      <x:c r="J105" t="str">
        <x:v>exports@ajpackaging.lk</x:v>
      </x:c>
      <x:c r="K105" t="str">
        <x:v>8/21/26, 5:47:48 AM</x:v>
      </x:c>
      <x:c r="L105" t="str">
        <x:v>Registrado</x:v>
      </x:c>
      <x:c r="M105" t="str">
        <x:v>Sri Lanka</x:v>
      </x:c>
      <x:c r="N105" t="str">
        <x:v>AJ Packaging (Pvt ) Ltd</x:v>
      </x:c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</x:row>
    <x:row r="106">
      <x:c r="A106" t="str"/>
      <x:c r="B106" t="str"/>
      <x:c r="C106" t="str"/>
      <x:c r="D106" t="str"/>
      <x:c r="E106" t="str"/>
      <x:c r="F106" t="str"/>
      <x:c r="G106" t="str"/>
      <x:c r="H106" t="str">
        <x:v>Denitsa</x:v>
      </x:c>
      <x:c r="I106" t="str">
        <x:v>Hvarchilkova</x:v>
      </x:c>
      <x:c r="J106" t="str">
        <x:v>d.hvarchilkova@pelintex.bg</x:v>
      </x:c>
      <x:c r="K106" t="str">
        <x:v>8/21/26, 5:48:36 AM</x:v>
      </x:c>
      <x:c r="L106" t="str">
        <x:v>Registrado</x:v>
      </x:c>
      <x:c r="M106" t="str">
        <x:v>Bulgaria</x:v>
      </x:c>
      <x:c r="N106" t="str">
        <x:v>Pelintex Bulgaria</x:v>
      </x:c>
      <x:c r="O106" t="str"/>
      <x:c r="P106" t="str"/>
      <x:c r="Q106" t="str"/>
      <x:c r="R106" t="str"/>
      <x:c r="S106" t="str"/>
      <x:c r="T106" t="str"/>
      <x:c r="U106" t="str"/>
      <x:c r="V106" t="str"/>
      <x:c r="W106" t="str"/>
      <x:c r="X106" t="str"/>
      <x:c r="Y106" t="str"/>
      <x:c r="Z106" t="str"/>
    </x:row>
    <x:row r="107">
      <x:c r="A107" t="str"/>
      <x:c r="B107" t="str"/>
      <x:c r="C107" t="str"/>
      <x:c r="D107" t="str"/>
      <x:c r="E107" t="str"/>
      <x:c r="F107" t="str"/>
      <x:c r="G107" t="str"/>
      <x:c r="H107" t="str">
        <x:v>Mohd Rizal</x:v>
      </x:c>
      <x:c r="I107" t="str">
        <x:v>Johari</x:v>
      </x:c>
      <x:c r="J107" t="str">
        <x:v>rizalkassim@gmail.com</x:v>
      </x:c>
      <x:c r="K107" t="str">
        <x:v>8/21/26, 6:41:37 AM</x:v>
      </x:c>
      <x:c r="L107" t="str">
        <x:v>Registrado</x:v>
      </x:c>
      <x:c r="M107" t="str">
        <x:v>malaysia</x:v>
      </x:c>
      <x:c r="N107" t="str">
        <x:v>Green Sustainability Resources</x:v>
      </x:c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</x:row>
    <x:row r="108">
      <x:c r="A108" t="str"/>
      <x:c r="B108" t="str"/>
      <x:c r="C108" t="str"/>
      <x:c r="D108" t="str"/>
      <x:c r="E108" t="str"/>
      <x:c r="F108" t="str"/>
      <x:c r="G108" t="str"/>
      <x:c r="H108" t="str">
        <x:v>Zaman</x:v>
      </x:c>
      <x:c r="I108" t="str">
        <x:v>Ali</x:v>
      </x:c>
      <x:c r="J108" t="str">
        <x:v>zaman@samatextiles.com</x:v>
      </x:c>
      <x:c r="K108" t="str">
        <x:v>8/21/26, 6:43:09 AM</x:v>
      </x:c>
      <x:c r="L108" t="str">
        <x:v>Registrado</x:v>
      </x:c>
      <x:c r="M108" t="str">
        <x:v>Lahore, Pakistan </x:v>
      </x:c>
      <x:c r="N108" t="str">
        <x:v>SAMA Textiles (Pvt) Ltd.</x:v>
      </x:c>
      <x:c r="O108" t="str"/>
      <x:c r="P108" t="str"/>
      <x:c r="Q108" t="str"/>
      <x:c r="R108" t="str"/>
      <x:c r="S108" t="str"/>
      <x:c r="T108" t="str"/>
      <x:c r="U108" t="str"/>
      <x:c r="V108" t="str"/>
      <x:c r="W108" t="str"/>
      <x:c r="X108" t="str"/>
      <x:c r="Y108" t="str"/>
      <x:c r="Z108" t="str"/>
    </x:row>
    <x:row r="109">
      <x:c r="A109" t="str"/>
      <x:c r="B109" t="str"/>
      <x:c r="C109" t="str"/>
      <x:c r="D109" t="str"/>
      <x:c r="E109" t="str"/>
      <x:c r="F109" t="str"/>
      <x:c r="G109" t="str"/>
      <x:c r="H109" t="str">
        <x:v>Costel</x:v>
      </x:c>
      <x:c r="I109" t="str">
        <x:v>Suditu</x:v>
      </x:c>
      <x:c r="J109" t="str">
        <x:v>costel.suditu@greentech.ro</x:v>
      </x:c>
      <x:c r="K109" t="str">
        <x:v>8/21/26, 8:02:32 AM</x:v>
      </x:c>
      <x:c r="L109" t="str">
        <x:v>Registrado</x:v>
      </x:c>
      <x:c r="M109" t="str">
        <x:v>Romania</x:v>
      </x:c>
      <x:c r="N109" t="str">
        <x:v>Greentech S.A.</x:v>
      </x:c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</x:row>
    <x:row r="110">
      <x:c r="A110" t="str"/>
      <x:c r="B110" t="str"/>
      <x:c r="C110" t="str"/>
      <x:c r="D110" t="str"/>
      <x:c r="E110" t="str"/>
      <x:c r="F110" t="str"/>
      <x:c r="G110" t="str"/>
      <x:c r="H110" t="str">
        <x:v>Jeffrey</x:v>
      </x:c>
      <x:c r="I110" t="str">
        <x:v>Magayano</x:v>
      </x:c>
      <x:c r="J110" t="str">
        <x:v>jeffrey.magayano@doleintl.com</x:v>
      </x:c>
      <x:c r="K110" t="str">
        <x:v>8/21/26, 9:15:58 AM</x:v>
      </x:c>
      <x:c r="L110" t="str">
        <x:v>Registrado</x:v>
      </x:c>
      <x:c r="M110" t="str">
        <x:v>Philippines</x:v>
      </x:c>
      <x:c r="N110" t="str">
        <x:v>Dole Philippines Inc.</x:v>
      </x:c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</x:row>
    <x:row r="111">
      <x:c r="A111" t="str"/>
      <x:c r="B111" t="str"/>
      <x:c r="C111" t="str"/>
      <x:c r="D111" t="str"/>
      <x:c r="E111" t="str"/>
      <x:c r="F111" t="str"/>
      <x:c r="G111" t="str"/>
      <x:c r="H111" t="str">
        <x:v>Veneta</x:v>
      </x:c>
      <x:c r="I111" t="str">
        <x:v>Yordanova-Grigorova</x:v>
      </x:c>
      <x:c r="J111" t="str">
        <x:v>veneta.grigorova@ficosota.com</x:v>
      </x:c>
      <x:c r="K111" t="str">
        <x:v>8/21/26, 10:43:21 AM</x:v>
      </x:c>
      <x:c r="L111" t="str">
        <x:v>Registrado</x:v>
      </x:c>
      <x:c r="M111" t="str">
        <x:v>Bulgaria</x:v>
      </x:c>
      <x:c r="N111" t="str">
        <x:v>Ficosota</x:v>
      </x:c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</x:row>
    <x:row r="112">
      <x:c r="A112" t="str"/>
      <x:c r="B112" t="str"/>
      <x:c r="C112" t="str"/>
      <x:c r="D112" t="str"/>
      <x:c r="E112" t="str"/>
      <x:c r="F112" t="str"/>
      <x:c r="G112" t="str"/>
      <x:c r="H112" t="str">
        <x:v>Aviv</x:v>
      </x:c>
      <x:c r="I112" t="str">
        <x:v>Cohen Sela</x:v>
      </x:c>
      <x:c r="J112" t="str">
        <x:v>aviv.cohen@logpac.com</x:v>
      </x:c>
      <x:c r="K112" t="str">
        <x:v>8/23/26, 4:52:08 AM</x:v>
      </x:c>
      <x:c r="L112" t="str">
        <x:v>Registrado</x:v>
      </x:c>
      <x:c r="M112" t="str">
        <x:v>Israel</x:v>
      </x:c>
      <x:c r="N112" t="str">
        <x:v>LOG Pharma Plastic Packaging</x:v>
      </x:c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</x:row>
    <x:row r="113">
      <x:c r="A113" t="str"/>
      <x:c r="B113" t="str"/>
      <x:c r="C113" t="str"/>
      <x:c r="D113" t="str"/>
      <x:c r="E113" t="str"/>
      <x:c r="F113" t="str"/>
      <x:c r="G113" t="str"/>
      <x:c r="H113" t="str">
        <x:v>Johann</x:v>
      </x:c>
      <x:c r="I113" t="str">
        <x:v>Tranchell</x:v>
      </x:c>
      <x:c r="J113" t="str">
        <x:v>johann@polydime.com</x:v>
      </x:c>
      <x:c r="K113" t="str">
        <x:v>8/24/26, 12:02:11 AM</x:v>
      </x:c>
      <x:c r="L113" t="str">
        <x:v>Registrado</x:v>
      </x:c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</x:row>
    <x:row r="114">
      <x:c r="A114" t="str"/>
      <x:c r="B114" t="str"/>
      <x:c r="C114" t="str"/>
      <x:c r="D114" t="str"/>
      <x:c r="E114" t="str"/>
      <x:c r="F114" t="str"/>
      <x:c r="G114" t="str"/>
      <x:c r="H114" t="str">
        <x:v>SAYANTAN</x:v>
      </x:c>
      <x:c r="I114" t="str">
        <x:v>BASAK</x:v>
      </x:c>
      <x:c r="J114" t="str">
        <x:v>sayantan.basak@sinarindah.co.in</x:v>
      </x:c>
      <x:c r="K114" t="str">
        <x:v>8/24/26, 2:22:54 AM</x:v>
      </x:c>
      <x:c r="L114" t="str">
        <x:v>Registrado</x:v>
      </x:c>
      <x:c r="M114" t="str">
        <x:v>India</x:v>
      </x:c>
      <x:c r="N114" t="str">
        <x:v>APP SINARMAS</x:v>
      </x:c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</x:row>
    <x:row r="115">
      <x:c r="A115" t="str"/>
      <x:c r="B115" t="str"/>
      <x:c r="C115" t="str"/>
      <x:c r="D115" t="str"/>
      <x:c r="E115" t="str"/>
      <x:c r="F115" t="str"/>
      <x:c r="G115" t="str"/>
      <x:c r="H115" t="str">
        <x:v>Lotte</x:v>
      </x:c>
      <x:c r="I115" t="str">
        <x:v>Gulpers</x:v>
      </x:c>
      <x:c r="J115" t="str">
        <x:v>lgulpers@controlunion.com</x:v>
      </x:c>
      <x:c r="K115" t="str">
        <x:v>8/24/26, 4:16:37 AM</x:v>
      </x:c>
      <x:c r="L115" t="str">
        <x:v>Registrado</x:v>
      </x:c>
      <x:c r="M115" t="str">
        <x:v>Netherlands</x:v>
      </x:c>
      <x:c r="N115" t="str">
        <x:v>Control Union</x:v>
      </x:c>
      <x:c r="O115" t="str"/>
      <x:c r="P115" t="str"/>
      <x:c r="Q115" t="str"/>
      <x:c r="R115" t="str"/>
      <x:c r="S115" t="str"/>
      <x:c r="T115" t="str"/>
      <x:c r="U115" t="str"/>
      <x:c r="V115" t="str"/>
      <x:c r="W115" t="str"/>
      <x:c r="X115" t="str"/>
      <x:c r="Y115" t="str"/>
      <x:c r="Z115" t="str"/>
    </x:row>
    <x:row r="116">
      <x:c r="A116" t="str"/>
      <x:c r="B116" t="str"/>
      <x:c r="C116" t="str"/>
      <x:c r="D116" t="str"/>
      <x:c r="E116" t="str"/>
      <x:c r="F116" t="str"/>
      <x:c r="G116" t="str"/>
      <x:c r="H116" t="str">
        <x:v>Maïmouna</x:v>
      </x:c>
      <x:c r="I116" t="str">
        <x:v>Kanté</x:v>
      </x:c>
      <x:c r="J116" t="str">
        <x:v>mkante@controlunion.com</x:v>
      </x:c>
      <x:c r="K116" t="str">
        <x:v>8/24/26, 5:45:45 AM</x:v>
      </x:c>
      <x:c r="L116" t="str">
        <x:v>Registrado</x:v>
      </x:c>
      <x:c r="M116" t="str"/>
      <x:c r="N116" t="str"/>
      <x:c r="O116" t="str"/>
      <x:c r="P116" t="str"/>
      <x:c r="Q116" t="str"/>
      <x:c r="R116" t="str"/>
      <x:c r="S116" t="str"/>
      <x:c r="T116" t="str"/>
      <x:c r="U116" t="str"/>
      <x:c r="V116" t="str"/>
      <x:c r="W116" t="str"/>
      <x:c r="X116" t="str"/>
      <x:c r="Y116" t="str"/>
      <x:c r="Z116" t="str"/>
    </x:row>
    <x:row r="117">
      <x:c r="A117" t="str"/>
      <x:c r="B117" t="str"/>
      <x:c r="C117" t="str"/>
      <x:c r="D117" t="str"/>
      <x:c r="E117" t="str"/>
      <x:c r="F117" t="str"/>
      <x:c r="G117" t="str"/>
      <x:c r="H117" t="str">
        <x:v>Bas</x:v>
      </x:c>
      <x:c r="I117" t="str">
        <x:v>van den Brink</x:v>
      </x:c>
      <x:c r="J117" t="str">
        <x:v>b.vandenbrink@intersnackgroup.com</x:v>
      </x:c>
      <x:c r="K117" t="str">
        <x:v>8/24/26, 6:32:29 AM</x:v>
      </x:c>
      <x:c r="L117" t="str">
        <x:v>Registrado</x:v>
      </x:c>
      <x:c r="M117" t="str">
        <x:v>Germany</x:v>
      </x:c>
      <x:c r="N117" t="str">
        <x:v>Intersnack</x:v>
      </x:c>
      <x:c r="O117" t="str"/>
      <x:c r="P117" t="str"/>
      <x:c r="Q117" t="str"/>
      <x:c r="R117" t="str"/>
      <x:c r="S117" t="str"/>
      <x:c r="T117" t="str"/>
      <x:c r="U117" t="str"/>
      <x:c r="V117" t="str"/>
      <x:c r="W117" t="str"/>
      <x:c r="X117" t="str"/>
      <x:c r="Y117" t="str"/>
      <x:c r="Z117" t="str"/>
    </x:row>
    <x:row r="118">
      <x:c r="A118" t="str"/>
      <x:c r="B118" t="str"/>
      <x:c r="C118" t="str"/>
      <x:c r="D118" t="str"/>
      <x:c r="E118" t="str"/>
      <x:c r="F118" t="str"/>
      <x:c r="G118" t="str"/>
      <x:c r="H118" t="str">
        <x:v>Magda</x:v>
      </x:c>
      <x:c r="I118" t="str">
        <x:v>Galeano</x:v>
      </x:c>
      <x:c r="J118" t="str">
        <x:v>mgaleano@koppert.es</x:v>
      </x:c>
      <x:c r="K118" t="str">
        <x:v>8/24/26, 7:01:03 AM</x:v>
      </x:c>
      <x:c r="L118" t="str">
        <x:v>Registrado</x:v>
      </x:c>
      <x:c r="M118" t="str">
        <x:v>España</x:v>
      </x:c>
      <x:c r="N118" t="str">
        <x:v>Koppert España, S.L.</x:v>
      </x:c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</x:row>
    <x:row r="119">
      <x:c r="A119" t="str"/>
      <x:c r="B119" t="str"/>
      <x:c r="C119" t="str"/>
      <x:c r="D119" t="str"/>
      <x:c r="E119" t="str"/>
      <x:c r="F119" t="str"/>
      <x:c r="G119" t="str"/>
      <x:c r="H119" t="str">
        <x:v>Ashutosh</x:v>
      </x:c>
      <x:c r="I119" t="str">
        <x:v>Katkar</x:v>
      </x:c>
      <x:c r="J119" t="str">
        <x:v>akatkar@controlunion.com</x:v>
      </x:c>
      <x:c r="K119" t="str">
        <x:v>8/24/26, 7:17:56 AM</x:v>
      </x:c>
      <x:c r="L119" t="str">
        <x:v>Registrado</x:v>
      </x:c>
      <x:c r="M119" t="str">
        <x:v>India</x:v>
      </x:c>
      <x:c r="N119" t="str">
        <x:v>CU Inspections and Certifications India Pvt Ltd</x:v>
      </x:c>
      <x:c r="O119" t="str"/>
      <x:c r="P119" t="str"/>
      <x:c r="Q119" t="str"/>
      <x:c r="R119" t="str"/>
      <x:c r="S119" t="str"/>
      <x:c r="T119" t="str"/>
      <x:c r="U119" t="str"/>
      <x:c r="V119" t="str"/>
      <x:c r="W119" t="str"/>
      <x:c r="X119" t="str"/>
      <x:c r="Y119" t="str"/>
      <x:c r="Z119" t="str"/>
    </x:row>
    <x:row r="120">
      <x:c r="A120" t="str"/>
      <x:c r="B120" t="str"/>
      <x:c r="C120" t="str"/>
      <x:c r="D120" t="str"/>
      <x:c r="E120" t="str"/>
      <x:c r="F120" t="str"/>
      <x:c r="G120" t="str"/>
      <x:c r="H120" t="str">
        <x:v>Asraful</x:v>
      </x:c>
      <x:c r="I120" t="str">
        <x:v>Islam</x:v>
      </x:c>
      <x:c r="J120" t="str">
        <x:v>commercial@badshatex.com</x:v>
      </x:c>
      <x:c r="K120" t="str">
        <x:v>8/24/26, 8:21:46 AM</x:v>
      </x:c>
      <x:c r="L120" t="str">
        <x:v>Registrado</x:v>
      </x:c>
      <x:c r="M120" t="str">
        <x:v>Bangladesh </x:v>
      </x:c>
      <x:c r="N120" t="str">
        <x:v>Badsha Textiles Ltd.</x:v>
      </x:c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</x:row>
    <x:row r="121">
      <x:c r="A121" t="str"/>
      <x:c r="B121" t="str"/>
      <x:c r="C121" t="str"/>
      <x:c r="D121" t="str"/>
      <x:c r="E121" t="str"/>
      <x:c r="F121" t="str"/>
      <x:c r="G121" t="str"/>
      <x:c r="H121" t="str">
        <x:v>Chloé</x:v>
      </x:c>
      <x:c r="I121" t="str">
        <x:v>COINON</x:v>
      </x:c>
      <x:c r="J121" t="str">
        <x:v>cc@hanova.com</x:v>
      </x:c>
      <x:c r="K121" t="str">
        <x:v>8/25/26, 7:04:08 AM</x:v>
      </x:c>
      <x:c r="L121" t="str">
        <x:v>Registrado</x:v>
      </x:c>
      <x:c r="M121" t="str">
        <x:v>France</x:v>
      </x:c>
      <x:c r="N121" t="str">
        <x:v>Hanova</x:v>
      </x:c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</x:row>
    <x:row r="122">
      <x:c r="A122" t="str"/>
      <x:c r="B122" t="str"/>
      <x:c r="C122" t="str"/>
      <x:c r="D122" t="str"/>
      <x:c r="E122" t="str"/>
      <x:c r="F122" t="str"/>
      <x:c r="G122" t="str"/>
      <x:c r="H122" t="str">
        <x:v>Alina-Diana</x:v>
      </x:c>
      <x:c r="I122" t="str">
        <x:v>Bencze</x:v>
      </x:c>
      <x:c r="J122" t="str">
        <x:v>alina-diana.bencze@decocenter.ro</x:v>
      </x:c>
      <x:c r="K122" t="str">
        <x:v>8/25/26, 9:01:36 AM</x:v>
      </x:c>
      <x:c r="L122" t="str">
        <x:v>Registrado</x:v>
      </x:c>
      <x:c r="M122" t="str">
        <x:v>Romania</x:v>
      </x:c>
      <x:c r="N122" t="str"/>
      <x:c r="O122" t="str"/>
      <x:c r="P122" t="str"/>
      <x:c r="Q122" t="str"/>
      <x:c r="R122" t="str"/>
      <x:c r="S122" t="str"/>
      <x:c r="T122" t="str"/>
      <x:c r="U122" t="str"/>
      <x:c r="V122" t="str"/>
      <x:c r="W122" t="str"/>
      <x:c r="X122" t="str"/>
      <x:c r="Y122" t="str"/>
      <x:c r="Z122" t="str"/>
    </x:row>
    <x:row r="123">
      <x:c r="A123" t="str"/>
      <x:c r="B123" t="str"/>
      <x:c r="C123" t="str"/>
      <x:c r="D123" t="str"/>
      <x:c r="E123" t="str"/>
      <x:c r="F123" t="str"/>
      <x:c r="G123" t="str"/>
      <x:c r="H123" t="str">
        <x:v>Marta</x:v>
      </x:c>
      <x:c r="I123" t="str">
        <x:v>Soto</x:v>
      </x:c>
      <x:c r="J123" t="str">
        <x:v>msoto@cefetra.es</x:v>
      </x:c>
      <x:c r="K123" t="str">
        <x:v>8/25/26, 10:23:44 AM</x:v>
      </x:c>
      <x:c r="L123" t="str">
        <x:v>Registrado</x:v>
      </x:c>
      <x:c r="M123" t="str">
        <x:v>Spain </x:v>
      </x:c>
      <x:c r="N123" t="str">
        <x:v>Cefetra ibérica </x:v>
      </x:c>
      <x:c r="O123" t="str"/>
      <x:c r="P123" t="str"/>
      <x:c r="Q123" t="str"/>
      <x:c r="R123" t="str"/>
      <x:c r="S123" t="str"/>
      <x:c r="T123" t="str"/>
      <x:c r="U123" t="str"/>
      <x:c r="V123" t="str"/>
      <x:c r="W123" t="str"/>
      <x:c r="X123" t="str"/>
      <x:c r="Y123" t="str"/>
      <x:c r="Z123" t="str"/>
    </x:row>
    <x:row r="124">
      <x:c r="A124" t="str"/>
      <x:c r="B124" t="str"/>
      <x:c r="C124" t="str"/>
      <x:c r="D124" t="str"/>
      <x:c r="E124" t="str"/>
      <x:c r="F124" t="str"/>
      <x:c r="G124" t="str"/>
      <x:c r="H124" t="str">
        <x:v>Elenko</x:v>
      </x:c>
      <x:c r="I124" t="str">
        <x:v>Stoyanov</x:v>
      </x:c>
      <x:c r="J124" t="str">
        <x:v>elenko_s@hotmail.com</x:v>
      </x:c>
      <x:c r="K124" t="str">
        <x:v>8/25/26, 11:34:33 AM</x:v>
      </x:c>
      <x:c r="L124" t="str">
        <x:v>Registrado</x:v>
      </x:c>
      <x:c r="M124" t="str">
        <x:v>Bulgaria</x:v>
      </x:c>
      <x:c r="N124" t="str">
        <x:v>Elenko Stoyanov</x:v>
      </x:c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</x:row>
    <x:row r="125">
      <x:c r="A125" t="str"/>
      <x:c r="B125" t="str"/>
      <x:c r="C125" t="str"/>
      <x:c r="D125" t="str"/>
      <x:c r="E125" t="str"/>
      <x:c r="F125" t="str"/>
      <x:c r="G125" t="str"/>
      <x:c r="H125" t="str">
        <x:v>Ziga</x:v>
      </x:c>
      <x:c r="I125" t="str">
        <x:v>Vidic</x:v>
      </x:c>
      <x:c r="J125" t="str">
        <x:v>ziga_vidic@hotmail.com</x:v>
      </x:c>
      <x:c r="K125" t="str">
        <x:v>8/26/26, 3:52:43 AM</x:v>
      </x:c>
      <x:c r="L125" t="str">
        <x:v>Registrado</x:v>
      </x:c>
      <x:c r="M125" t="str">
        <x:v>Österreich</x:v>
      </x:c>
      <x:c r="N125" t="str">
        <x:v>Consultancy</x:v>
      </x:c>
      <x:c r="O125" t="str"/>
      <x:c r="P125" t="str"/>
      <x:c r="Q125" t="str"/>
      <x:c r="R125" t="str"/>
      <x:c r="S125" t="str"/>
      <x:c r="T125" t="str"/>
      <x:c r="U125" t="str"/>
      <x:c r="V125" t="str"/>
      <x:c r="W125" t="str"/>
      <x:c r="X125" t="str"/>
      <x:c r="Y125" t="str"/>
      <x:c r="Z125" t="str"/>
    </x:row>
    <x:row r="126">
      <x:c r="A126" t="str"/>
      <x:c r="B126" t="str"/>
      <x:c r="C126" t="str"/>
      <x:c r="D126" t="str"/>
      <x:c r="E126" t="str"/>
      <x:c r="F126" t="str"/>
      <x:c r="G126" t="str"/>
      <x:c r="H126" t="str">
        <x:v>Minjung</x:v>
      </x:c>
      <x:c r="I126" t="str">
        <x:v>Joo</x:v>
      </x:c>
      <x:c r="J126" t="str">
        <x:v>mjjoo@kcl.re.kr</x:v>
      </x:c>
      <x:c r="K126" t="str">
        <x:v>8/27/26, 10:03:10 AM</x:v>
      </x:c>
      <x:c r="L126" t="str">
        <x:v>Registrado</x:v>
      </x:c>
      <x:c r="M126" t="str">
        <x:v>Repulic of Korea</x:v>
      </x:c>
      <x:c r="N126" t="str">
        <x:v>KCL</x:v>
      </x:c>
      <x:c r="O126" t="str"/>
      <x:c r="P126" t="str"/>
      <x:c r="Q126" t="str"/>
      <x:c r="R126" t="str"/>
      <x:c r="S126" t="str"/>
      <x:c r="T126" t="str"/>
      <x:c r="U126" t="str"/>
      <x:c r="V126" t="str"/>
      <x:c r="W126" t="str"/>
      <x:c r="X126" t="str"/>
      <x:c r="Y126" t="str"/>
      <x:c r="Z126" t="str"/>
    </x:row>
    <x:row r="127">
      <x:c r="A127" t="str"/>
      <x:c r="B127" t="str"/>
      <x:c r="C127" t="str"/>
      <x:c r="D127" t="str"/>
      <x:c r="E127" t="str"/>
      <x:c r="F127" t="str"/>
      <x:c r="G127" t="str"/>
      <x:c r="H127" t="str">
        <x:v>Netanel</x:v>
      </x:c>
      <x:c r="I127" t="str">
        <x:v>Cohen</x:v>
      </x:c>
      <x:c r="J127" t="str">
        <x:v>netanel@rpet.co.il</x:v>
      </x:c>
      <x:c r="K127" t="str">
        <x:v>8/27/26, 10:46:04 AM</x:v>
      </x:c>
      <x:c r="L127" t="str">
        <x:v>Registrado</x:v>
      </x:c>
      <x:c r="M127" t="str">
        <x:v>ישראל</x:v>
      </x:c>
      <x:c r="N127" t="str">
        <x:v>rPET</x:v>
      </x:c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</x:row>
    <x:row r="128">
      <x:c r="A128" t="str"/>
      <x:c r="B128" t="str"/>
      <x:c r="C128" t="str"/>
      <x:c r="D128" t="str"/>
      <x:c r="E128" t="str"/>
      <x:c r="F128" t="str"/>
      <x:c r="G128" t="str"/>
      <x:c r="H128" t="str">
        <x:v>Yahya</x:v>
      </x:c>
      <x:c r="I128" t="str">
        <x:v>Chohan</x:v>
      </x:c>
      <x:c r="J128" t="str">
        <x:v>myahya@controlunion.com</x:v>
      </x:c>
      <x:c r="K128" t="str">
        <x:v>8/27/26, 1:54:28 PM</x:v>
      </x:c>
      <x:c r="L128" t="str">
        <x:v>Registrado</x:v>
      </x:c>
      <x:c r="M128" t="str">
        <x:v>Pakistan</x:v>
      </x:c>
      <x:c r="N128" t="str">
        <x:v>CU</x:v>
      </x:c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</x:row>
    <x:row r="129">
      <x:c r="A129" t="str"/>
      <x:c r="B129" t="str"/>
      <x:c r="C129" t="str"/>
      <x:c r="D129" t="str"/>
      <x:c r="E129" t="str"/>
      <x:c r="F129" t="str"/>
      <x:c r="G129" t="str"/>
      <x:c r="H129" t="str">
        <x:v>Priscilla</x:v>
      </x:c>
      <x:c r="I129" t="str">
        <x:v>Fuentes</x:v>
      </x:c>
      <x:c r="J129" t="str">
        <x:v>pfuentes@delisur.cl</x:v>
      </x:c>
      <x:c r="K129" t="str">
        <x:v>8/27/26, 2:40:56 PM</x:v>
      </x:c>
      <x:c r="L129" t="str">
        <x:v>Registrado</x:v>
      </x:c>
      <x:c r="M129" t="str">
        <x:v>Chile</x:v>
      </x:c>
      <x:c r="N129" t="str">
        <x:v>DELISUR S.A.</x:v>
      </x:c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</x:row>
    <x:row r="130">
      <x:c r="A130" t="str"/>
      <x:c r="B130" t="str"/>
      <x:c r="C130" t="str"/>
      <x:c r="D130" t="str"/>
      <x:c r="E130" t="str"/>
      <x:c r="F130" t="str"/>
      <x:c r="G130" t="str"/>
      <x:c r="H130" t="str">
        <x:v>Carolina</x:v>
      </x:c>
      <x:c r="I130" t="str">
        <x:v>Egaña</x:v>
      </x:c>
      <x:c r="J130" t="str">
        <x:v>cegana@altahpp.com</x:v>
      </x:c>
      <x:c r="K130" t="str">
        <x:v>8/27/26, 2:50:08 PM</x:v>
      </x:c>
      <x:c r="L130" t="str">
        <x:v>Registrado</x:v>
      </x:c>
      <x:c r="M130" t="str">
        <x:v>chile</x:v>
      </x:c>
      <x:c r="N130" t="str">
        <x:v>HPP SERVICES CHILE SPA</x:v>
      </x:c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</x:row>
    <x:row r="131">
      <x:c r="A131" t="str"/>
      <x:c r="B131" t="str"/>
      <x:c r="C131" t="str"/>
      <x:c r="D131" t="str"/>
      <x:c r="E131" t="str"/>
      <x:c r="F131" t="str"/>
      <x:c r="G131" t="str"/>
      <x:c r="H131" t="str">
        <x:v>Syed Raghib Ali</x:v>
      </x:c>
      <x:c r="I131" t="str">
        <x:v>Raza</x:v>
      </x:c>
      <x:c r="J131" t="str">
        <x:v>ali.raza@printechpackages.com</x:v>
      </x:c>
      <x:c r="K131" t="str">
        <x:v>8/27/26, 10:59:20 PM</x:v>
      </x:c>
      <x:c r="L131" t="str">
        <x:v>Registrado</x:v>
      </x:c>
      <x:c r="M131" t="str">
        <x:v>Pakiatsan</x:v>
      </x:c>
      <x:c r="N131" t="str">
        <x:v>Printech Packages Pvt Ltd</x:v>
      </x:c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</x:row>
    <x:row r="132">
      <x:c r="A132" t="str"/>
      <x:c r="B132" t="str"/>
      <x:c r="C132" t="str"/>
      <x:c r="D132" t="str"/>
      <x:c r="E132" t="str"/>
      <x:c r="F132" t="str"/>
      <x:c r="G132" t="str"/>
      <x:c r="H132" t="str">
        <x:v>Azmat</x:v>
      </x:c>
      <x:c r="I132" t="str">
        <x:v>Malik</x:v>
      </x:c>
      <x:c r="J132" t="str">
        <x:v>azmatkmalik@gmail.com</x:v>
      </x:c>
      <x:c r="K132" t="str">
        <x:v>8/27/26, 11:13:28 PM</x:v>
      </x:c>
      <x:c r="L132" t="str">
        <x:v>Registrado</x:v>
      </x:c>
      <x:c r="M132" t="str">
        <x:v>Pakistan</x:v>
      </x:c>
      <x:c r="N132" t="str">
        <x:v>Printech packages(Pvt.)Ltd</x:v>
      </x:c>
      <x:c r="O132" t="str"/>
      <x:c r="P132" t="str"/>
      <x:c r="Q132" t="str"/>
      <x:c r="R132" t="str"/>
      <x:c r="S132" t="str"/>
      <x:c r="T132" t="str"/>
      <x:c r="U132" t="str"/>
      <x:c r="V132" t="str"/>
      <x:c r="W132" t="str"/>
      <x:c r="X132" t="str"/>
      <x:c r="Y132" t="str"/>
      <x:c r="Z132" t="str"/>
    </x:row>
    <x:row r="133">
      <x:c r="A133" t="str"/>
      <x:c r="B133" t="str"/>
      <x:c r="C133" t="str"/>
      <x:c r="D133" t="str"/>
      <x:c r="E133" t="str"/>
      <x:c r="F133" t="str"/>
      <x:c r="G133" t="str"/>
      <x:c r="H133" t="str">
        <x:v>Akbar</x:v>
      </x:c>
      <x:c r="I133" t="str">
        <x:v>Ali</x:v>
      </x:c>
      <x:c r="J133" t="str">
        <x:v>aali189886@gmail.com</x:v>
      </x:c>
      <x:c r="K133" t="str">
        <x:v>8/28/26, 12:02:44 AM</x:v>
      </x:c>
      <x:c r="L133" t="str">
        <x:v>Registrado</x:v>
      </x:c>
      <x:c r="M133" t="str"/>
      <x:c r="N133" t="str"/>
      <x:c r="O133" t="str"/>
      <x:c r="P133" t="str"/>
      <x:c r="Q133" t="str"/>
      <x:c r="R133" t="str"/>
      <x:c r="S133" t="str"/>
      <x:c r="T133" t="str"/>
      <x:c r="U133" t="str"/>
      <x:c r="V133" t="str"/>
      <x:c r="W133" t="str"/>
      <x:c r="X133" t="str"/>
      <x:c r="Y133" t="str"/>
      <x:c r="Z133" t="str"/>
    </x:row>
    <x:row r="134">
      <x:c r="A134" t="str"/>
      <x:c r="B134" t="str"/>
      <x:c r="C134" t="str"/>
      <x:c r="D134" t="str"/>
      <x:c r="E134" t="str"/>
      <x:c r="F134" t="str"/>
      <x:c r="G134" t="str"/>
      <x:c r="H134" t="str">
        <x:v>Javiera</x:v>
      </x:c>
      <x:c r="I134" t="str">
        <x:v>Cubillos</x:v>
      </x:c>
      <x:c r="J134" t="str">
        <x:v>operaciones@altahpp.com</x:v>
      </x:c>
      <x:c r="K134" t="str">
        <x:v>8/28/26, 2:19:29 AM</x:v>
      </x:c>
      <x:c r="L134" t="str">
        <x:v>Registrado</x:v>
      </x:c>
      <x:c r="M134" t="str">
        <x:v>Chile</x:v>
      </x:c>
      <x:c r="N134" t="str">
        <x:v>ALTA HPP</x:v>
      </x:c>
      <x:c r="O134" t="str"/>
      <x:c r="P134" t="str"/>
      <x:c r="Q134" t="str"/>
      <x:c r="R134" t="str"/>
      <x:c r="S134" t="str"/>
      <x:c r="T134" t="str"/>
      <x:c r="U134" t="str"/>
      <x:c r="V134" t="str"/>
      <x:c r="W134" t="str"/>
      <x:c r="X134" t="str"/>
      <x:c r="Y134" t="str"/>
      <x:c r="Z134" t="str"/>
    </x:row>
    <x:row r="135">
      <x:c r="A135" t="str"/>
      <x:c r="B135" t="str"/>
      <x:c r="C135" t="str"/>
      <x:c r="D135" t="str"/>
      <x:c r="E135" t="str"/>
      <x:c r="F135" t="str"/>
      <x:c r="G135" t="str"/>
      <x:c r="H135" t="str">
        <x:v>Hrisimir</x:v>
      </x:c>
      <x:c r="I135" t="str">
        <x:v>Prisadashki</x:v>
      </x:c>
      <x:c r="J135" t="str">
        <x:v>qc@antolabg.com</x:v>
      </x:c>
      <x:c r="K135" t="str">
        <x:v>8/28/26, 4:19:11 AM</x:v>
      </x:c>
      <x:c r="L135" t="str">
        <x:v>Registrado</x:v>
      </x:c>
      <x:c r="M135" t="str">
        <x:v>Bulgaria</x:v>
      </x:c>
      <x:c r="N135" t="str">
        <x:v>Tandem Popovo Ltd</x:v>
      </x:c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</x:row>
    <x:row r="136">
      <x:c r="A136" t="str"/>
      <x:c r="B136" t="str"/>
      <x:c r="C136" t="str"/>
      <x:c r="D136" t="str"/>
      <x:c r="E136" t="str"/>
      <x:c r="F136" t="str"/>
      <x:c r="G136" t="str"/>
      <x:c r="H136" t="str">
        <x:v>Teodora</x:v>
      </x:c>
      <x:c r="I136" t="str">
        <x:v>Rousseva</x:v>
      </x:c>
      <x:c r="J136" t="str">
        <x:v>info@skipter.bg</x:v>
      </x:c>
      <x:c r="K136" t="str">
        <x:v>8/28/26, 5:58:05 AM</x:v>
      </x:c>
      <x:c r="L136" t="str">
        <x:v>Registrado</x:v>
      </x:c>
      <x:c r="M136" t="str">
        <x:v>Bulgaria</x:v>
      </x:c>
      <x:c r="N136" t="str">
        <x:v>Skipter Ltd.</x:v>
      </x:c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/>
    </x:row>
    <x:row r="137">
      <x:c r="A137" t="str"/>
      <x:c r="B137" t="str"/>
      <x:c r="C137" t="str"/>
      <x:c r="D137" t="str"/>
      <x:c r="E137" t="str"/>
      <x:c r="F137" t="str"/>
      <x:c r="G137" t="str"/>
      <x:c r="H137" t="str">
        <x:v>Веселка</x:v>
      </x:c>
      <x:c r="I137" t="str">
        <x:v>Христово</x:v>
      </x:c>
      <x:c r="J137" t="str">
        <x:v>v.bashtavelova@insainvest.bg</x:v>
      </x:c>
      <x:c r="K137" t="str">
        <x:v>8/28/26, 9:56:29 AM</x:v>
      </x:c>
      <x:c r="L137" t="str">
        <x:v>Registrado</x:v>
      </x:c>
      <x:c r="M137" t="str">
        <x:v>България</x:v>
      </x:c>
      <x:c r="N137" t="str">
        <x:v>SEVI OIL Ltd</x:v>
      </x:c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/>
    </x:row>
    <x:row r="138">
      <x:c r="A138" t="str"/>
      <x:c r="B138" t="str"/>
      <x:c r="C138" t="str"/>
      <x:c r="D138" t="str"/>
      <x:c r="E138" t="str"/>
      <x:c r="F138" t="str"/>
      <x:c r="G138" t="str"/>
      <x:c r="H138" t="str">
        <x:v>Daniela Marilin</x:v>
      </x:c>
      <x:c r="I138" t="str">
        <x:v>Albornoz Garrido</x:v>
      </x:c>
      <x:c r="J138" t="str">
        <x:v>dalbornoz@almakila.com</x:v>
      </x:c>
      <x:c r="K138" t="str">
        <x:v>8/28/26, 1:01:21 PM</x:v>
      </x:c>
      <x:c r="L138" t="str">
        <x:v>Registrado</x:v>
      </x:c>
      <x:c r="M138" t="str">
        <x:v>Chile</x:v>
      </x:c>
      <x:c r="N138" t="str">
        <x:v>almakila</x:v>
      </x:c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/>
    </x:row>
    <x:row r="139">
      <x:c r="A139" t="str"/>
      <x:c r="B139" t="str"/>
      <x:c r="C139" t="str"/>
      <x:c r="D139" t="str"/>
      <x:c r="E139" t="str"/>
      <x:c r="F139" t="str"/>
      <x:c r="G139" t="str"/>
      <x:c r="H139" t="str">
        <x:v>Muhammad</x:v>
      </x:c>
      <x:c r="I139" t="str">
        <x:v>Irfan</x:v>
      </x:c>
      <x:c r="J139" t="str">
        <x:v>muhammadirfanm290@gmail.com</x:v>
      </x:c>
      <x:c r="K139" t="str">
        <x:v>8/28/26, 2:15:42 PM</x:v>
      </x:c>
      <x:c r="L139" t="str">
        <x:v>Registrado</x:v>
      </x:c>
      <x:c r="M139" t="str">
        <x:v>Pakistan </x:v>
      </x:c>
      <x:c r="N139" t="str">
        <x:v>WWF-PAKISTAN </x:v>
      </x:c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</x:row>
    <x:row r="140">
      <x:c r="A140" t="str"/>
      <x:c r="B140" t="str"/>
      <x:c r="C140" t="str"/>
      <x:c r="D140" t="str"/>
      <x:c r="E140" t="str"/>
      <x:c r="F140" t="str"/>
      <x:c r="G140" t="str"/>
      <x:c r="H140" t="str">
        <x:v>PÍA</x:v>
      </x:c>
      <x:c r="I140" t="str">
        <x:v>SOTO</x:v>
      </x:c>
      <x:c r="J140" t="str">
        <x:v>pia.soto@fsake.cl</x:v>
      </x:c>
      <x:c r="K140" t="str">
        <x:v>8/28/26, 3:46:30 PM</x:v>
      </x:c>
      <x:c r="L140" t="str">
        <x:v>Registrado</x:v>
      </x:c>
      <x:c r="M140" t="str">
        <x:v>CHILE</x:v>
      </x:c>
      <x:c r="N140" t="str">
        <x:v>INMOBILIARIA SAKE SPA</x:v>
      </x:c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</x:row>
    <x:row r="141">
      <x:c r="A141" t="str"/>
      <x:c r="B141" t="str"/>
      <x:c r="C141" t="str"/>
      <x:c r="D141" t="str"/>
      <x:c r="E141" t="str"/>
      <x:c r="F141" t="str"/>
      <x:c r="G141" t="str"/>
      <x:c r="H141" t="str">
        <x:v>Madhusha</x:v>
      </x:c>
      <x:c r="I141" t="str">
        <x:v>Liyanaarachchi</x:v>
      </x:c>
      <x:c r="J141" t="str">
        <x:v>mliyanaarachchi@onepeterson.com</x:v>
      </x:c>
      <x:c r="K141" t="str">
        <x:v>8/28/26, 8:36:10 PM</x:v>
      </x:c>
      <x:c r="L141" t="str">
        <x:v>Registrado</x:v>
      </x:c>
      <x:c r="M141" t="str">
        <x:v>Germany </x:v>
      </x:c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</x:row>
    <x:row r="142">
      <x:c r="A142" t="str"/>
      <x:c r="B142" t="str"/>
      <x:c r="C142" t="str"/>
      <x:c r="D142" t="str"/>
      <x:c r="E142" t="str"/>
      <x:c r="F142" t="str"/>
      <x:c r="G142" t="str"/>
      <x:c r="H142" t="str">
        <x:v>Десислава</x:v>
      </x:c>
      <x:c r="I142" t="str">
        <x:v>Караманолева</x:v>
      </x:c>
      <x:c r="J142" t="str">
        <x:v>karamanolev_sin@abv.bg</x:v>
      </x:c>
      <x:c r="K142" t="str">
        <x:v>8/29/26, 5:59:47 AM</x:v>
      </x:c>
      <x:c r="L142" t="str">
        <x:v>Registrado</x:v>
      </x:c>
      <x:c r="M142" t="str">
        <x:v>България</x:v>
      </x:c>
      <x:c r="N142" t="str">
        <x:v>Караманолев и син ООД</x:v>
      </x:c>
      <x:c r="O142" t="str"/>
      <x:c r="P142" t="str"/>
      <x:c r="Q142" t="str"/>
      <x:c r="R142" t="str"/>
      <x:c r="S142" t="str"/>
      <x:c r="T142" t="str"/>
      <x:c r="U142" t="str"/>
      <x:c r="V142" t="str"/>
      <x:c r="W142" t="str"/>
      <x:c r="X142" t="str"/>
      <x:c r="Y142" t="str"/>
      <x:c r="Z142" t="str"/>
    </x:row>
    <x:row r="143">
      <x:c r="A143" t="str"/>
      <x:c r="B143" t="str"/>
      <x:c r="C143" t="str"/>
      <x:c r="D143" t="str"/>
      <x:c r="E143" t="str"/>
      <x:c r="F143" t="str"/>
      <x:c r="G143" t="str"/>
      <x:c r="H143" t="str">
        <x:v>Joppe</x:v>
      </x:c>
      <x:c r="I143" t="str">
        <x:v>Ireland</x:v>
      </x:c>
      <x:c r="J143" t="str">
        <x:v>joppiejoppiejoppie@gmail.com</x:v>
      </x:c>
      <x:c r="K143" t="str">
        <x:v>8/29/26, 11:31:29 AM</x:v>
      </x:c>
      <x:c r="L143" t="str">
        <x:v>Registrado</x:v>
      </x:c>
      <x:c r="M143" t="str">
        <x:v>Belgium</x:v>
      </x:c>
      <x:c r="N143" t="str">
        <x:v>Goodplanet belgie</x:v>
      </x:c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</x:row>
    <x:row r="144">
      <x:c r="A144" t="str"/>
      <x:c r="B144" t="str"/>
      <x:c r="C144" t="str"/>
      <x:c r="D144" t="str"/>
      <x:c r="E144" t="str"/>
      <x:c r="F144" t="str"/>
      <x:c r="G144" t="str"/>
      <x:c r="H144" t="str">
        <x:v>Antoine</x:v>
      </x:c>
      <x:c r="I144" t="str">
        <x:v>Monod</x:v>
      </x:c>
      <x:c r="J144" t="str">
        <x:v>amonod@x-pm.sg</x:v>
      </x:c>
      <x:c r="K144" t="str">
        <x:v>8/30/26, 1:35:16 AM</x:v>
      </x:c>
      <x:c r="L144" t="str">
        <x:v>Registrado</x:v>
      </x:c>
      <x:c r="M144" t="str">
        <x:v>Singapore</x:v>
      </x:c>
      <x:c r="N144" t="str">
        <x:v>X-PM</x:v>
      </x:c>
      <x:c r="O144" t="str"/>
      <x:c r="P144" t="str"/>
      <x:c r="Q144" t="str"/>
      <x:c r="R144" t="str"/>
      <x:c r="S144" t="str"/>
      <x:c r="T144" t="str"/>
      <x:c r="U144" t="str"/>
      <x:c r="V144" t="str"/>
      <x:c r="W144" t="str"/>
      <x:c r="X144" t="str"/>
      <x:c r="Y144" t="str"/>
      <x:c r="Z144" t="str"/>
    </x:row>
    <x:row r="145">
      <x:c r="A145" t="str"/>
      <x:c r="B145" t="str"/>
      <x:c r="C145" t="str"/>
      <x:c r="D145" t="str"/>
      <x:c r="E145" t="str"/>
      <x:c r="F145" t="str"/>
      <x:c r="G145" t="str"/>
      <x:c r="H145" t="str">
        <x:v>Dimitrina</x:v>
      </x:c>
      <x:c r="I145" t="str">
        <x:v>Shuleva</x:v>
      </x:c>
      <x:c r="J145" t="str">
        <x:v>dshuleva@controlunion.com</x:v>
      </x:c>
      <x:c r="K145" t="str">
        <x:v>8/31/26, 3:41:11 AM</x:v>
      </x:c>
      <x:c r="L145" t="str">
        <x:v>Registrado</x:v>
      </x:c>
      <x:c r="M145" t="str">
        <x:v>Bulgaria</x:v>
      </x:c>
      <x:c r="N145" t="str">
        <x:v>Control Union </x:v>
      </x:c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</x:row>
    <x:row r="146">
      <x:c r="A146" t="str"/>
      <x:c r="B146" t="str"/>
      <x:c r="C146" t="str"/>
      <x:c r="D146" t="str"/>
      <x:c r="E146" t="str"/>
      <x:c r="F146" t="str"/>
      <x:c r="G146" t="str"/>
      <x:c r="H146" t="str">
        <x:v>Venelin</x:v>
      </x:c>
      <x:c r="I146" t="str">
        <x:v>Vasilev</x:v>
      </x:c>
      <x:c r="J146" t="str">
        <x:v>vasilev@pikant.bg</x:v>
      </x:c>
      <x:c r="K146" t="str">
        <x:v>8/31/26, 5:09:19 AM</x:v>
      </x:c>
      <x:c r="L146" t="str">
        <x:v>Registrado</x:v>
      </x:c>
      <x:c r="M146" t="str">
        <x:v>Bulgaria</x:v>
      </x:c>
      <x:c r="N146" t="str">
        <x:v>Pikant Trade Ltd.</x:v>
      </x:c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</x:row>
    <x:row r="147">
      <x:c r="A147" t="str"/>
      <x:c r="B147" t="str"/>
      <x:c r="C147" t="str"/>
      <x:c r="D147" t="str"/>
      <x:c r="E147" t="str"/>
      <x:c r="F147" t="str"/>
      <x:c r="G147" t="str"/>
      <x:c r="H147" t="str">
        <x:v>Matheus</x:v>
      </x:c>
      <x:c r="I147" t="str">
        <x:v>Siqueira</x:v>
      </x:c>
      <x:c r="J147" t="str">
        <x:v>mcarpoviki@gmail.com</x:v>
      </x:c>
      <x:c r="K147" t="str">
        <x:v>8/31/26, 7:27:39 AM</x:v>
      </x:c>
      <x:c r="L147" t="str">
        <x:v>Registrado</x:v>
      </x:c>
      <x:c r="M147" t="str">
        <x:v>Brasil/São Paulo</x:v>
      </x:c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</x:row>
    <x:row r="148">
      <x:c r="A148" t="str"/>
      <x:c r="B148" t="str"/>
      <x:c r="C148" t="str"/>
      <x:c r="D148" t="str"/>
      <x:c r="E148" t="str"/>
      <x:c r="F148" t="str"/>
      <x:c r="G148" t="str"/>
      <x:c r="H148" t="str">
        <x:v>Francisco Manuel</x:v>
      </x:c>
      <x:c r="I148" t="str">
        <x:v>Vazquez Salar</x:v>
      </x:c>
      <x:c r="J148" t="str">
        <x:v>pacovsalar@hotmail.com</x:v>
      </x:c>
      <x:c r="K148" t="str">
        <x:v>8/31/26, 3:32:55 PM</x:v>
      </x:c>
      <x:c r="L148" t="str">
        <x:v>Registrado</x:v>
      </x:c>
      <x:c r="M148" t="str">
        <x:v>España</x:v>
      </x:c>
      <x:c r="N148" t="str"/>
      <x:c r="O148" t="str"/>
      <x:c r="P148" t="str"/>
      <x:c r="Q148" t="str"/>
      <x:c r="R148" t="str"/>
      <x:c r="S148" t="str"/>
      <x:c r="T148" t="str"/>
      <x:c r="U148" t="str"/>
      <x:c r="V148" t="str"/>
      <x:c r="W148" t="str"/>
      <x:c r="X148" t="str"/>
      <x:c r="Y148" t="str"/>
      <x:c r="Z148" t="str"/>
    </x:row>
    <x:row r="149">
      <x:c r="A149" t="str"/>
      <x:c r="B149" t="str"/>
      <x:c r="C149" t="str"/>
      <x:c r="D149" t="str"/>
      <x:c r="E149" t="str"/>
      <x:c r="F149" t="str"/>
      <x:c r="G149" t="str"/>
      <x:c r="H149" t="str">
        <x:v>Fernando</x:v>
      </x:c>
      <x:c r="I149" t="str">
        <x:v>Giménez Lázaro</x:v>
      </x:c>
      <x:c r="J149" t="str">
        <x:v>exportregulatory@plymag.com</x:v>
      </x:c>
      <x:c r="K149" t="str">
        <x:v>9/01/26, 6:41:14 AM</x:v>
      </x:c>
      <x:c r="L149" t="str">
        <x:v>Registrado</x:v>
      </x:c>
      <x:c r="M149" t="str">
        <x:v>España</x:v>
      </x:c>
      <x:c r="N149" t="str">
        <x:v>PLYMAG S.L.</x:v>
      </x:c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</x:row>
    <x:row r="150">
      <x:c r="A150" t="str"/>
      <x:c r="B150" t="str"/>
      <x:c r="C150" t="str"/>
      <x:c r="D150" t="str"/>
      <x:c r="E150" t="str"/>
      <x:c r="F150" t="str"/>
      <x:c r="G150" t="str"/>
      <x:c r="H150" t="str">
        <x:v>Rajiv Singh</x:v>
      </x:c>
      <x:c r="I150" t="str">
        <x:v>Choudhary</x:v>
      </x:c>
      <x:c r="J150" t="str">
        <x:v>rajivsingh.choudhary@indiska.se</x:v>
      </x:c>
      <x:c r="K150" t="str">
        <x:v>9/01/26, 6:42:22 AM</x:v>
      </x:c>
      <x:c r="L150" t="str">
        <x:v>Registrado</x:v>
      </x:c>
      <x:c r="M150" t="str">
        <x:v>India</x:v>
      </x:c>
      <x:c r="N150" t="str">
        <x:v>Indiska 1901</x:v>
      </x:c>
      <x:c r="O150" t="str"/>
      <x:c r="P150" t="str"/>
      <x:c r="Q150" t="str"/>
      <x:c r="R150" t="str"/>
      <x:c r="S150" t="str"/>
      <x:c r="T150" t="str"/>
      <x:c r="U150" t="str"/>
      <x:c r="V150" t="str"/>
      <x:c r="W150" t="str"/>
      <x:c r="X150" t="str"/>
      <x:c r="Y150" t="str"/>
      <x:c r="Z150" t="str"/>
    </x:row>
    <x:row r="151">
      <x:c r="A151" t="str"/>
      <x:c r="B151" t="str"/>
      <x:c r="C151" t="str"/>
      <x:c r="D151" t="str"/>
      <x:c r="E151" t="str"/>
      <x:c r="F151" t="str"/>
      <x:c r="G151" t="str"/>
      <x:c r="H151" t="str">
        <x:v>Весела</x:v>
      </x:c>
      <x:c r="I151" t="str">
        <x:v>Стоева</x:v>
      </x:c>
      <x:c r="J151" t="str">
        <x:v>vesela.stoeva@sidorenko.net</x:v>
      </x:c>
      <x:c r="K151" t="str">
        <x:v>9/02/26, 2:45:22 AM</x:v>
      </x:c>
      <x:c r="L151" t="str">
        <x:v>Registrado</x:v>
      </x:c>
      <x:c r="M151" t="str">
        <x:v>Bulgaria</x:v>
      </x:c>
      <x:c r="N151" t="str">
        <x:v>Sidorenko Foodech</x:v>
      </x:c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</x:row>
    <x:row r="152">
      <x:c r="A152" t="str"/>
      <x:c r="B152" t="str"/>
      <x:c r="C152" t="str"/>
      <x:c r="D152" t="str"/>
      <x:c r="E152" t="str"/>
      <x:c r="F152" t="str"/>
      <x:c r="G152" t="str"/>
      <x:c r="H152" t="str">
        <x:v>Maiken</x:v>
      </x:c>
      <x:c r="I152" t="str">
        <x:v>Vedel Bruun</x:v>
      </x:c>
      <x:c r="J152" t="str">
        <x:v>mvb@zolodk.com</x:v>
      </x:c>
      <x:c r="K152" t="str">
        <x:v>9/02/26, 7:26:22 AM</x:v>
      </x:c>
      <x:c r="L152" t="str">
        <x:v>Registrado</x:v>
      </x:c>
      <x:c r="M152" t="str">
        <x:v>Danmark</x:v>
      </x:c>
      <x:c r="N152" t="str">
        <x:v>ZOLO INTERNATIONAL TRADING APS</x:v>
      </x:c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</x:row>
    <x:row r="153">
      <x:c r="A153" t="str"/>
      <x:c r="B153" t="str"/>
      <x:c r="C153" t="str"/>
      <x:c r="D153" t="str"/>
      <x:c r="E153" t="str"/>
      <x:c r="F153" t="str"/>
      <x:c r="G153" t="str"/>
      <x:c r="H153" t="str">
        <x:v>Widya</x:v>
      </x:c>
      <x:c r="I153" t="str">
        <x:v>Putri</x:v>
      </x:c>
      <x:c r="J153" t="str">
        <x:v>wputri@controlunion.com</x:v>
      </x:c>
      <x:c r="K153" t="str">
        <x:v>9/02/26, 11:39:25 AM</x:v>
      </x:c>
      <x:c r="L153" t="str">
        <x:v>Registrado</x:v>
      </x:c>
      <x:c r="M153" t="str">
        <x:v>Indonesia </x:v>
      </x:c>
      <x:c r="N153" t="str">
        <x:v>Control Union </x:v>
      </x:c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</x:row>
    <x:row r="154">
      <x:c r="A154" t="str"/>
      <x:c r="B154" t="str"/>
      <x:c r="C154" t="str"/>
      <x:c r="D154" t="str"/>
      <x:c r="E154" t="str"/>
      <x:c r="F154" t="str"/>
      <x:c r="G154" t="str"/>
      <x:c r="H154" t="str">
        <x:v>Pauline</x:v>
      </x:c>
      <x:c r="I154" t="str">
        <x:v>Ketalu</x:v>
      </x:c>
      <x:c r="J154" t="str">
        <x:v>piiketalu@gmail.com</x:v>
      </x:c>
      <x:c r="K154" t="str">
        <x:v>9/02/26, 12:03:13 PM</x:v>
      </x:c>
      <x:c r="L154" t="str">
        <x:v>Registrado</x:v>
      </x:c>
      <x:c r="M154" t="str">
        <x:v>Australia </x:v>
      </x:c>
      <x:c r="N154" t="str">
        <x:v>Student</x:v>
      </x:c>
      <x:c r="O154" t="str"/>
      <x:c r="P154" t="str"/>
      <x:c r="Q154" t="str"/>
      <x:c r="R154" t="str"/>
      <x:c r="S154" t="str"/>
      <x:c r="T154" t="str"/>
      <x:c r="U154" t="str"/>
      <x:c r="V154" t="str"/>
      <x:c r="W154" t="str"/>
      <x:c r="X154" t="str"/>
      <x:c r="Y154" t="str"/>
      <x:c r="Z154" t="str"/>
    </x:row>
    <x:row r="155">
      <x:c r="A155" t="str"/>
      <x:c r="B155" t="str"/>
      <x:c r="C155" t="str"/>
      <x:c r="D155" t="str"/>
      <x:c r="E155" t="str"/>
      <x:c r="F155" t="str"/>
      <x:c r="G155" t="str"/>
      <x:c r="H155" t="str">
        <x:v>Sharareh</x:v>
      </x:c>
      <x:c r="I155" t="str">
        <x:v>de Kruif</x:v>
      </x:c>
      <x:c r="J155" t="str">
        <x:v>sdekruif@green-industry.nl</x:v>
      </x:c>
      <x:c r="K155" t="str">
        <x:v>9/02/26, 2:49:38 PM</x:v>
      </x:c>
      <x:c r="L155" t="str">
        <x:v>Registrado</x:v>
      </x:c>
      <x:c r="M155" t="str">
        <x:v>Netherlands</x:v>
      </x:c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</x:row>
    <x:row r="156">
      <x:c r="A156" t="str"/>
      <x:c r="B156" t="str"/>
      <x:c r="C156" t="str"/>
      <x:c r="D156" t="str"/>
      <x:c r="E156" t="str"/>
      <x:c r="F156" t="str"/>
      <x:c r="G156" t="str"/>
      <x:c r="H156" t="str">
        <x:v>Mikiyas</x:v>
      </x:c>
      <x:c r="I156" t="str">
        <x:v>kassaye</x:v>
      </x:c>
      <x:c r="J156" t="str">
        <x:v>mikiyaskassaye878@gmail.com</x:v>
      </x:c>
      <x:c r="K156" t="str">
        <x:v>9/02/26, 3:44:30 PM</x:v>
      </x:c>
      <x:c r="L156" t="str">
        <x:v>Registrado</x:v>
      </x:c>
      <x:c r="M156" t="str">
        <x:v>Ethiopia</x:v>
      </x:c>
      <x:c r="N156" t="str">
        <x:v>Proma Partners Plc</x:v>
      </x:c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</x:row>
    <x:row r="157">
      <x:c r="A157" t="str"/>
      <x:c r="B157" t="str"/>
      <x:c r="C157" t="str"/>
      <x:c r="D157" t="str"/>
      <x:c r="E157" t="str"/>
      <x:c r="F157" t="str"/>
      <x:c r="G157" t="str"/>
      <x:c r="H157" t="str">
        <x:v>Octavio</x:v>
      </x:c>
      <x:c r="I157" t="str">
        <x:v>Mallea</x:v>
      </x:c>
      <x:c r="J157" t="str">
        <x:v>octavioignaciomallea@gmail.com</x:v>
      </x:c>
      <x:c r="K157" t="str">
        <x:v>9/03/26, 9:22:56 PM</x:v>
      </x:c>
      <x:c r="L157" t="str">
        <x:v>Registrado</x:v>
      </x:c>
      <x:c r="M157" t="str">
        <x:v>Chile</x:v>
      </x:c>
      <x:c r="N157" t="str">
        <x:v>Fiordo Austral</x:v>
      </x:c>
      <x:c r="O157" t="str"/>
      <x:c r="P157" t="str"/>
      <x:c r="Q157" t="str"/>
      <x:c r="R157" t="str"/>
      <x:c r="S157" t="str"/>
      <x:c r="T157" t="str"/>
      <x:c r="U157" t="str"/>
      <x:c r="V157" t="str"/>
      <x:c r="W157" t="str"/>
      <x:c r="X157" t="str"/>
      <x:c r="Y157" t="str"/>
      <x:c r="Z157" t="str"/>
    </x:row>
    <x:row r="158">
      <x:c r="A158" t="str"/>
      <x:c r="B158" t="str"/>
      <x:c r="C158" t="str"/>
      <x:c r="D158" t="str"/>
      <x:c r="E158" t="str"/>
      <x:c r="F158" t="str"/>
      <x:c r="G158" t="str"/>
      <x:c r="H158" t="str">
        <x:v>Ольга</x:v>
      </x:c>
      <x:c r="I158" t="str">
        <x:v>Бирюкова</x:v>
      </x:c>
      <x:c r="J158" t="str">
        <x:v>bestennya@gmail.com</x:v>
      </x:c>
      <x:c r="K158" t="str">
        <x:v>9/04/26, 6:44:33 AM</x:v>
      </x:c>
      <x:c r="L158" t="str">
        <x:v>Registrado</x:v>
      </x:c>
      <x:c r="M158" t="str">
        <x:v>Украина</x:v>
      </x:c>
      <x:c r="N158" t="str">
        <x:v>Control Union Certifications Ukraine</x:v>
      </x:c>
      <x:c r="O158" t="str"/>
      <x:c r="P158" t="str"/>
      <x:c r="Q158" t="str"/>
      <x:c r="R158" t="str"/>
      <x:c r="S158" t="str"/>
      <x:c r="T158" t="str"/>
      <x:c r="U158" t="str"/>
      <x:c r="V158" t="str"/>
      <x:c r="W158" t="str"/>
      <x:c r="X158" t="str"/>
      <x:c r="Y158" t="str"/>
      <x:c r="Z158" t="str"/>
    </x:row>
    <x:row r="159">
      <x:c r="A159" t="str"/>
      <x:c r="B159" t="str"/>
      <x:c r="C159" t="str"/>
      <x:c r="D159" t="str"/>
      <x:c r="E159" t="str"/>
      <x:c r="F159" t="str"/>
      <x:c r="G159" t="str"/>
      <x:c r="H159" t="str">
        <x:v>Maria Macarena</x:v>
      </x:c>
      <x:c r="I159" t="str">
        <x:v>Melilli</x:v>
      </x:c>
      <x:c r="J159" t="str">
        <x:v>mmelilli@magyp.gob.ar</x:v>
      </x:c>
      <x:c r="K159" t="str">
        <x:v>9/04/26, 5:05:36 PM</x:v>
      </x:c>
      <x:c r="L159" t="str">
        <x:v>Registrado</x:v>
      </x:c>
      <x:c r="M159" t="str">
        <x:v>Argentina</x:v>
      </x:c>
      <x:c r="N159" t="str">
        <x:v>Secretaria de Agricultura</x:v>
      </x:c>
      <x:c r="O159" t="str"/>
      <x:c r="P159" t="str"/>
      <x:c r="Q159" t="str"/>
      <x:c r="R159" t="str"/>
      <x:c r="S159" t="str"/>
      <x:c r="T159" t="str"/>
      <x:c r="U159" t="str"/>
      <x:c r="V159" t="str"/>
      <x:c r="W159" t="str"/>
      <x:c r="X159" t="str"/>
      <x:c r="Y159" t="str"/>
      <x:c r="Z159" t="str"/>
    </x:row>
    <x:row r="160">
      <x:c r="A160" t="str"/>
      <x:c r="B160" t="str"/>
      <x:c r="C160" t="str"/>
      <x:c r="D160" t="str"/>
      <x:c r="E160" t="str"/>
      <x:c r="F160" t="str"/>
      <x:c r="G160" t="str"/>
      <x:c r="H160" t="str">
        <x:v>Amenda</x:v>
      </x:c>
      <x:c r="I160" t="str">
        <x:v>Wong</x:v>
      </x:c>
      <x:c r="J160" t="str">
        <x:v>prakkunthea3@gmail.com</x:v>
      </x:c>
      <x:c r="K160" t="str">
        <x:v>9/07/26, 1:35:58 AM</x:v>
      </x:c>
      <x:c r="L160" t="str">
        <x:v>Registrado</x:v>
      </x:c>
      <x:c r="M160" t="str">
        <x:v>China</x:v>
      </x:c>
      <x:c r="N160" t="str">
        <x:v>Plastic recycling </x:v>
      </x:c>
      <x:c r="O160" t="str"/>
      <x:c r="P160" t="str"/>
      <x:c r="Q160" t="str"/>
      <x:c r="R160" t="str"/>
      <x:c r="S160" t="str"/>
      <x:c r="T160" t="str"/>
      <x:c r="U160" t="str"/>
      <x:c r="V160" t="str"/>
      <x:c r="W160" t="str"/>
      <x:c r="X160" t="str"/>
      <x:c r="Y160" t="str"/>
      <x:c r="Z160" t="str"/>
    </x:row>
    <x:row r="161">
      <x:c r="A161" t="str"/>
      <x:c r="B161" t="str"/>
      <x:c r="C161" t="str"/>
      <x:c r="D161" t="str"/>
      <x:c r="E161" t="str"/>
      <x:c r="F161" t="str"/>
      <x:c r="G161" t="str"/>
      <x:c r="H161" t="str">
        <x:v>Umesha</x:v>
      </x:c>
      <x:c r="I161" t="str">
        <x:v>Maddumaarachchi</x:v>
      </x:c>
      <x:c r="J161" t="str">
        <x:v>umaddumaarachchi@controlunion.com</x:v>
      </x:c>
      <x:c r="K161" t="str">
        <x:v>9/07/26, 2:05:52 AM</x:v>
      </x:c>
      <x:c r="L161" t="str">
        <x:v>Registrado</x:v>
      </x:c>
      <x:c r="M161" t="str">
        <x:v>Sri Lanka</x:v>
      </x:c>
      <x:c r="N161" t="str">
        <x:v>Control Union Inspections Pvt. Ltd.</x:v>
      </x:c>
      <x:c r="O161" t="str"/>
      <x:c r="P161" t="str"/>
      <x:c r="Q161" t="str"/>
      <x:c r="R161" t="str"/>
      <x:c r="S161" t="str"/>
      <x:c r="T161" t="str"/>
      <x:c r="U161" t="str"/>
      <x:c r="V161" t="str"/>
      <x:c r="W161" t="str"/>
      <x:c r="X161" t="str"/>
      <x:c r="Y161" t="str"/>
      <x:c r="Z161" t="str"/>
    </x:row>
    <x:row r="162">
      <x:c r="A162" t="str"/>
      <x:c r="B162" t="str"/>
      <x:c r="C162" t="str"/>
      <x:c r="D162" t="str"/>
      <x:c r="E162" t="str"/>
      <x:c r="F162" t="str"/>
      <x:c r="G162" t="str"/>
      <x:c r="H162" t="str">
        <x:v>Dananja</x:v>
      </x:c>
      <x:c r="I162" t="str">
        <x:v>Kumarasinghe</x:v>
      </x:c>
      <x:c r="J162" t="str">
        <x:v>kumarasinghedananja99@gmail.com</x:v>
      </x:c>
      <x:c r="K162" t="str">
        <x:v>9/07/26, 2:34:23 AM</x:v>
      </x:c>
      <x:c r="L162" t="str">
        <x:v>Registrado</x:v>
      </x:c>
      <x:c r="M162" t="str">
        <x:v>Sri Lanka</x:v>
      </x:c>
      <x:c r="N162" t="str">
        <x:v>Control Union Pvt Ltd, Sri Lanka</x:v>
      </x:c>
      <x:c r="O162" t="str"/>
      <x:c r="P162" t="str"/>
      <x:c r="Q162" t="str"/>
      <x:c r="R162" t="str"/>
      <x:c r="S162" t="str"/>
      <x:c r="T162" t="str"/>
      <x:c r="U162" t="str"/>
      <x:c r="V162" t="str"/>
      <x:c r="W162" t="str"/>
      <x:c r="X162" t="str"/>
      <x:c r="Y162" t="str"/>
      <x:c r="Z162" t="str"/>
    </x:row>
    <x:row r="163">
      <x:c r="A163" t="str"/>
      <x:c r="B163" t="str"/>
      <x:c r="C163" t="str"/>
      <x:c r="D163" t="str"/>
      <x:c r="E163" t="str"/>
      <x:c r="F163" t="str"/>
      <x:c r="G163" t="str"/>
      <x:c r="H163" t="str">
        <x:v>Rasika</x:v>
      </x:c>
      <x:c r="I163" t="str">
        <x:v>Weerasooriya</x:v>
      </x:c>
      <x:c r="J163" t="str">
        <x:v>rasikaweerasooriya82@gmail.com</x:v>
      </x:c>
      <x:c r="K163" t="str">
        <x:v>9/07/26, 3:55:53 AM</x:v>
      </x:c>
      <x:c r="L163" t="str">
        <x:v>Registrado</x:v>
      </x:c>
      <x:c r="M163" t="str">
        <x:v>United Kingdom</x:v>
      </x:c>
      <x:c r="N163" t="str">
        <x:v>'-</x:v>
      </x:c>
      <x:c r="O163" t="str"/>
      <x:c r="P163" t="str"/>
      <x:c r="Q163" t="str"/>
      <x:c r="R163" t="str"/>
      <x:c r="S163" t="str"/>
      <x:c r="T163" t="str"/>
      <x:c r="U163" t="str"/>
      <x:c r="V163" t="str"/>
      <x:c r="W163" t="str"/>
      <x:c r="X163" t="str"/>
      <x:c r="Y163" t="str"/>
      <x:c r="Z163" t="str"/>
    </x:row>
    <x:row r="164">
      <x:c r="A164" t="str"/>
      <x:c r="B164" t="str"/>
      <x:c r="C164" t="str"/>
      <x:c r="D164" t="str"/>
      <x:c r="E164" t="str"/>
      <x:c r="F164" t="str"/>
      <x:c r="G164" t="str"/>
      <x:c r="H164" t="str">
        <x:v>Raul Mateo</x:v>
      </x:c>
      <x:c r="I164" t="str">
        <x:v>Perez</x:v>
      </x:c>
      <x:c r="J164" t="str">
        <x:v>rmateo@controlunion.com</x:v>
      </x:c>
      <x:c r="K164" t="str">
        <x:v>9/07/26, 4:37:05 AM</x:v>
      </x:c>
      <x:c r="L164" t="str">
        <x:v>Registrado</x:v>
      </x:c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/>
      <x:c r="X164" t="str"/>
      <x:c r="Y164" t="str"/>
      <x:c r="Z164" t="str"/>
    </x:row>
    <x:row r="165">
      <x:c r="A165" t="str"/>
      <x:c r="B165" t="str"/>
      <x:c r="C165" t="str"/>
      <x:c r="D165" t="str"/>
      <x:c r="E165" t="str"/>
      <x:c r="F165" t="str"/>
      <x:c r="G165" t="str"/>
      <x:c r="H165" t="str">
        <x:v>Gayantha</x:v>
      </x:c>
      <x:c r="I165" t="str">
        <x:v>Jayasuriya</x:v>
      </x:c>
      <x:c r="J165" t="str">
        <x:v>gjayasuriya@onepeterson.com</x:v>
      </x:c>
      <x:c r="K165" t="str">
        <x:v>9/07/26, 4:46:29 AM</x:v>
      </x:c>
      <x:c r="L165" t="str">
        <x:v>Registrado</x:v>
      </x:c>
      <x:c r="M165" t="str">
        <x:v>Sri Lanka</x:v>
      </x:c>
      <x:c r="N165" t="str">
        <x:v>Peterson Solutions </x:v>
      </x:c>
      <x:c r="O165" t="str"/>
      <x:c r="P165" t="str"/>
      <x:c r="Q165" t="str"/>
      <x:c r="R165" t="str"/>
      <x:c r="S165" t="str"/>
      <x:c r="T165" t="str"/>
      <x:c r="U165" t="str"/>
      <x:c r="V165" t="str"/>
      <x:c r="W165" t="str"/>
      <x:c r="X165" t="str"/>
      <x:c r="Y165" t="str"/>
      <x:c r="Z165" t="str"/>
    </x:row>
    <x:row r="166">
      <x:c r="A166" t="str"/>
      <x:c r="B166" t="str"/>
      <x:c r="C166" t="str"/>
      <x:c r="D166" t="str"/>
      <x:c r="E166" t="str"/>
      <x:c r="F166" t="str"/>
      <x:c r="G166" t="str"/>
      <x:c r="H166" t="str">
        <x:v>Leticia</x:v>
      </x:c>
      <x:c r="I166" t="str">
        <x:v>Hernández</x:v>
      </x:c>
      <x:c r="J166" t="str">
        <x:v>leticia.hernandez@controlunion.com</x:v>
      </x:c>
      <x:c r="K166" t="str">
        <x:v>9/07/26, 5:05:11 AM</x:v>
      </x:c>
      <x:c r="L166" t="str">
        <x:v>Registrado</x:v>
      </x:c>
      <x:c r="M166" t="str">
        <x:v>España</x:v>
      </x:c>
      <x:c r="N166" t="str">
        <x:v>CONTROL UNION</x:v>
      </x:c>
      <x:c r="O166" t="str"/>
      <x:c r="P166" t="str"/>
      <x:c r="Q166" t="str"/>
      <x:c r="R166" t="str"/>
      <x:c r="S166" t="str"/>
      <x:c r="T166" t="str"/>
      <x:c r="U166" t="str"/>
      <x:c r="V166" t="str"/>
      <x:c r="W166" t="str"/>
      <x:c r="X166" t="str"/>
      <x:c r="Y166" t="str"/>
      <x:c r="Z166" t="str"/>
    </x:row>
    <x:row r="167">
      <x:c r="A167" t="str"/>
      <x:c r="B167" t="str"/>
      <x:c r="C167" t="str"/>
      <x:c r="D167" t="str"/>
      <x:c r="E167" t="str"/>
      <x:c r="F167" t="str"/>
      <x:c r="G167" t="str"/>
      <x:c r="H167" t="str">
        <x:v>Venkatesh</x:v>
      </x:c>
      <x:c r="I167" t="str">
        <x:v>Mutyala</x:v>
      </x:c>
      <x:c r="J167" t="str">
        <x:v>venkateshm@controlunion.com</x:v>
      </x:c>
      <x:c r="K167" t="str">
        <x:v>9/07/26, 5:28:18 AM</x:v>
      </x:c>
      <x:c r="L167" t="str">
        <x:v>Registrado</x:v>
      </x:c>
      <x:c r="M167" t="str">
        <x:v>India</x:v>
      </x:c>
      <x:c r="N167" t="str">
        <x:v>CU</x:v>
      </x:c>
      <x:c r="O167" t="str"/>
      <x:c r="P167" t="str"/>
      <x:c r="Q167" t="str"/>
      <x:c r="R167" t="str"/>
      <x:c r="S167" t="str"/>
      <x:c r="T167" t="str"/>
      <x:c r="U167" t="str"/>
      <x:c r="V167" t="str"/>
      <x:c r="W167" t="str"/>
      <x:c r="X167" t="str"/>
      <x:c r="Y167" t="str"/>
      <x:c r="Z167" t="str"/>
    </x:row>
    <x:row r="168">
      <x:c r="A168" t="str"/>
      <x:c r="B168" t="str"/>
      <x:c r="C168" t="str"/>
      <x:c r="D168" t="str"/>
      <x:c r="E168" t="str"/>
      <x:c r="F168" t="str"/>
      <x:c r="G168" t="str"/>
      <x:c r="H168" t="str">
        <x:v>Dilum</x:v>
      </x:c>
      <x:c r="I168" t="str">
        <x:v>Hasanka</x:v>
      </x:c>
      <x:c r="J168" t="str">
        <x:v>dilumhasankadreamz@gmail.com</x:v>
      </x:c>
      <x:c r="K168" t="str">
        <x:v>9/07/26, 5:47:38 AM</x:v>
      </x:c>
      <x:c r="L168" t="str">
        <x:v>Registrado</x:v>
      </x:c>
      <x:c r="M168" t="str">
        <x:v>Sri Lanka</x:v>
      </x:c>
      <x:c r="N168" t="str"/>
      <x:c r="O168" t="str"/>
      <x:c r="P168" t="str"/>
      <x:c r="Q168" t="str"/>
      <x:c r="R168" t="str"/>
      <x:c r="S168" t="str"/>
      <x:c r="T168" t="str"/>
      <x:c r="U168" t="str"/>
      <x:c r="V168" t="str"/>
      <x:c r="W168" t="str"/>
      <x:c r="X168" t="str"/>
      <x:c r="Y168" t="str"/>
      <x:c r="Z168" t="str"/>
    </x:row>
    <x:row r="169">
      <x:c r="A169" t="str"/>
      <x:c r="B169" t="str"/>
      <x:c r="C169" t="str"/>
      <x:c r="D169" t="str"/>
      <x:c r="E169" t="str"/>
      <x:c r="F169" t="str"/>
      <x:c r="G169" t="str"/>
      <x:c r="H169" t="str">
        <x:v>Chathura</x:v>
      </x:c>
      <x:c r="I169" t="str">
        <x:v>RATHNASEKARAGE</x:v>
      </x:c>
      <x:c r="J169" t="str">
        <x:v>chathura@silvermillgroup.com</x:v>
      </x:c>
      <x:c r="K169" t="str">
        <x:v>9/07/26, 9:31:14 AM</x:v>
      </x:c>
      <x:c r="L169" t="str">
        <x:v>Registrado</x:v>
      </x:c>
      <x:c r="M169" t="str">
        <x:v>Srilanka </x:v>
      </x:c>
      <x:c r="N169" t="str">
        <x:v>Silvermill Natural Beverages Pvt Ltd</x:v>
      </x:c>
      <x:c r="O169" t="str"/>
      <x:c r="P169" t="str"/>
      <x:c r="Q169" t="str"/>
      <x:c r="R169" t="str"/>
      <x:c r="S169" t="str"/>
      <x:c r="T169" t="str"/>
      <x:c r="U169" t="str"/>
      <x:c r="V169" t="str"/>
      <x:c r="W169" t="str"/>
      <x:c r="X169" t="str"/>
      <x:c r="Y169" t="str"/>
      <x:c r="Z169" t="str"/>
    </x:row>
    <x:row r="170">
      <x:c r="A170" t="str"/>
      <x:c r="B170" t="str"/>
      <x:c r="C170" t="str"/>
      <x:c r="D170" t="str"/>
      <x:c r="E170" t="str"/>
      <x:c r="F170" t="str"/>
      <x:c r="G170" t="str"/>
      <x:c r="H170" t="str">
        <x:v>J.A.Y</x:v>
      </x:c>
      <x:c r="I170" t="str">
        <x:v>MADHUBHASHINI</x:v>
      </x:c>
      <x:c r="J170" t="str">
        <x:v>bhashijayasekara@gmail.com</x:v>
      </x:c>
      <x:c r="K170" t="str">
        <x:v>9/07/26, 9:54:50 AM</x:v>
      </x:c>
      <x:c r="L170" t="str">
        <x:v>Registrado</x:v>
      </x:c>
      <x:c r="M170" t="str">
        <x:v>Sri Lanka</x:v>
      </x:c>
      <x:c r="N170" t="str">
        <x:v>Undergraduate at University of Ruhuna </x:v>
      </x:c>
      <x:c r="O170" t="str"/>
      <x:c r="P170" t="str"/>
      <x:c r="Q170" t="str"/>
      <x:c r="R170" t="str"/>
      <x:c r="S170" t="str"/>
      <x:c r="T170" t="str"/>
      <x:c r="U170" t="str"/>
      <x:c r="V170" t="str"/>
      <x:c r="W170" t="str"/>
      <x:c r="X170" t="str"/>
      <x:c r="Y170" t="str"/>
      <x:c r="Z170" t="str"/>
    </x:row>
    <x:row r="171">
      <x:c r="A171" t="str"/>
      <x:c r="B171" t="str"/>
      <x:c r="C171" t="str"/>
      <x:c r="D171" t="str"/>
      <x:c r="E171" t="str"/>
      <x:c r="F171" t="str"/>
      <x:c r="G171" t="str"/>
      <x:c r="H171" t="str">
        <x:v>Lakmal</x:v>
      </x:c>
      <x:c r="I171" t="str">
        <x:v>Rathnayaka</x:v>
      </x:c>
      <x:c r="J171" t="str">
        <x:v>qa@qualitea.lk</x:v>
      </x:c>
      <x:c r="K171" t="str">
        <x:v>9/07/26, 10:15:46 AM</x:v>
      </x:c>
      <x:c r="L171" t="str">
        <x:v>Registrado</x:v>
      </x:c>
      <x:c r="M171" t="str">
        <x:v>Sri Lanka</x:v>
      </x:c>
      <x:c r="N171" t="str">
        <x:v>Qualitea Ceylon</x:v>
      </x:c>
      <x:c r="O171" t="str"/>
      <x:c r="P171" t="str"/>
      <x:c r="Q171" t="str"/>
      <x:c r="R171" t="str"/>
      <x:c r="S171" t="str"/>
      <x:c r="T171" t="str"/>
      <x:c r="U171" t="str"/>
      <x:c r="V171" t="str"/>
      <x:c r="W171" t="str"/>
      <x:c r="X171" t="str"/>
      <x:c r="Y171" t="str"/>
      <x:c r="Z171" t="str"/>
    </x:row>
    <x:row r="172">
      <x:c r="A172" t="str"/>
      <x:c r="B172" t="str"/>
      <x:c r="C172" t="str"/>
      <x:c r="D172" t="str"/>
      <x:c r="E172" t="str"/>
      <x:c r="F172" t="str"/>
      <x:c r="G172" t="str"/>
      <x:c r="H172" t="str">
        <x:v>Florencia</x:v>
      </x:c>
      <x:c r="I172" t="str">
        <x:v>Cantú</x:v>
      </x:c>
      <x:c r="J172" t="str">
        <x:v>fcantu@controlunion.com</x:v>
      </x:c>
      <x:c r="K172" t="str">
        <x:v>9/07/26, 11:33:56 AM</x:v>
      </x:c>
      <x:c r="L172" t="str">
        <x:v>Registrado</x:v>
      </x:c>
      <x:c r="M172" t="str">
        <x:v>México</x:v>
      </x:c>
      <x:c r="N172" t="str">
        <x:v>Control Union</x:v>
      </x:c>
      <x:c r="O172" t="str"/>
      <x:c r="P172" t="str"/>
      <x:c r="Q172" t="str"/>
      <x:c r="R172" t="str"/>
      <x:c r="S172" t="str"/>
      <x:c r="T172" t="str"/>
      <x:c r="U172" t="str"/>
      <x:c r="V172" t="str"/>
      <x:c r="W172" t="str"/>
      <x:c r="X172" t="str"/>
      <x:c r="Y172" t="str"/>
      <x:c r="Z172" t="str"/>
    </x:row>
    <x:row r="173">
      <x:c r="A173" t="str"/>
      <x:c r="B173" t="str"/>
      <x:c r="C173" t="str"/>
      <x:c r="D173" t="str"/>
      <x:c r="E173" t="str"/>
      <x:c r="F173" t="str"/>
      <x:c r="G173" t="str"/>
      <x:c r="H173" t="str">
        <x:v>Fatin Athilia</x:v>
      </x:c>
      <x:c r="I173" t="str">
        <x:v>Aidi Zameri</x:v>
      </x:c>
      <x:c r="J173" t="str">
        <x:v>fatinathilia@dcm-dic.com.my</x:v>
      </x:c>
      <x:c r="K173" t="str">
        <x:v>9/07/26, 2:29:05 PM</x:v>
      </x:c>
      <x:c r="L173" t="str">
        <x:v>Registrado</x:v>
      </x:c>
      <x:c r="M173" t="str">
        <x:v>Malaysia</x:v>
      </x:c>
      <x:c r="N173" t="str">
        <x:v>DIC COMPOUNDS (MALAYSIA)</x:v>
      </x:c>
      <x:c r="O173" t="str"/>
      <x:c r="P173" t="str"/>
      <x:c r="Q173" t="str"/>
      <x:c r="R173" t="str"/>
      <x:c r="S173" t="str"/>
      <x:c r="T173" t="str"/>
      <x:c r="U173" t="str"/>
      <x:c r="V173" t="str"/>
      <x:c r="W173" t="str"/>
      <x:c r="X173" t="str"/>
      <x:c r="Y173" t="str"/>
      <x:c r="Z173" t="str"/>
    </x:row>
    <x:row r="174">
      <x:c r="A174" t="str"/>
      <x:c r="B174" t="str"/>
      <x:c r="C174" t="str"/>
      <x:c r="D174" t="str"/>
      <x:c r="E174" t="str"/>
      <x:c r="F174" t="str"/>
      <x:c r="G174" t="str"/>
      <x:c r="H174" t="str">
        <x:v>sharon</x:v>
      </x:c>
      <x:c r="I174" t="str">
        <x:v>Raymond</x:v>
      </x:c>
      <x:c r="J174" t="str">
        <x:v>sharonr@rpet.co.il</x:v>
      </x:c>
      <x:c r="K174" t="str">
        <x:v>9/07/26, 3:05:24 PM</x:v>
      </x:c>
      <x:c r="L174" t="str">
        <x:v>Registrado</x:v>
      </x:c>
      <x:c r="M174" t="str">
        <x:v>Israel </x:v>
      </x:c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  <x:c r="X174" t="str"/>
      <x:c r="Y174" t="str"/>
      <x:c r="Z174" t="str"/>
    </x:row>
    <x:row r="175">
      <x:c r="A175" t="str"/>
      <x:c r="B175" t="str"/>
      <x:c r="C175" t="str"/>
      <x:c r="D175" t="str"/>
      <x:c r="E175" t="str"/>
      <x:c r="F175" t="str"/>
      <x:c r="G175" t="str"/>
      <x:c r="H175" t="str">
        <x:v>Maleesha</x:v>
      </x:c>
      <x:c r="I175" t="str">
        <x:v>Denuwan</x:v>
      </x:c>
      <x:c r="J175" t="str">
        <x:v>maleeshalrcc@gmail.com</x:v>
      </x:c>
      <x:c r="K175" t="str">
        <x:v>9/07/26, 10:23:19 PM</x:v>
      </x:c>
      <x:c r="L175" t="str">
        <x:v>Registrado</x:v>
      </x:c>
      <x:c r="M175" t="str">
        <x:v>Sri Lanka</x:v>
      </x:c>
      <x:c r="N175" t="str">
        <x:v>Lanka Responsible Care Council </x:v>
      </x:c>
      <x:c r="O175" t="str"/>
      <x:c r="P175" t="str"/>
      <x:c r="Q175" t="str"/>
      <x:c r="R175" t="str"/>
      <x:c r="S175" t="str"/>
      <x:c r="T175" t="str"/>
      <x:c r="U175" t="str"/>
      <x:c r="V175" t="str"/>
      <x:c r="W175" t="str"/>
      <x:c r="X175" t="str"/>
      <x:c r="Y175" t="str"/>
      <x:c r="Z175" t="str"/>
    </x:row>
    <x:row r="176">
      <x:c r="A176" t="str"/>
      <x:c r="B176" t="str"/>
      <x:c r="C176" t="str"/>
      <x:c r="D176" t="str"/>
      <x:c r="E176" t="str"/>
      <x:c r="F176" t="str"/>
      <x:c r="G176" t="str"/>
      <x:c r="H176" t="str">
        <x:v>Sepalika</x:v>
      </x:c>
      <x:c r="I176" t="str">
        <x:v>Thilakarathne</x:v>
      </x:c>
      <x:c r="J176" t="str">
        <x:v>sthilakarathne@controlunion.com</x:v>
      </x:c>
      <x:c r="K176" t="str">
        <x:v>9/08/26, 1:16:25 AM</x:v>
      </x:c>
      <x:c r="L176" t="str">
        <x:v>Registrado</x:v>
      </x:c>
      <x:c r="M176" t="str">
        <x:v>Sri Lanka</x:v>
      </x:c>
      <x:c r="N176" t="str">
        <x:v> CUSL</x:v>
      </x:c>
      <x:c r="O176" t="str"/>
      <x:c r="P176" t="str"/>
      <x:c r="Q176" t="str"/>
      <x:c r="R176" t="str"/>
      <x:c r="S176" t="str"/>
      <x:c r="T176" t="str"/>
      <x:c r="U176" t="str"/>
      <x:c r="V176" t="str"/>
      <x:c r="W176" t="str"/>
      <x:c r="X176" t="str"/>
      <x:c r="Y176" t="str"/>
      <x:c r="Z176" t="str"/>
    </x:row>
    <x:row r="177">
      <x:c r="A177" t="str"/>
      <x:c r="B177" t="str"/>
      <x:c r="C177" t="str"/>
      <x:c r="D177" t="str"/>
      <x:c r="E177" t="str"/>
      <x:c r="F177" t="str"/>
      <x:c r="G177" t="str"/>
      <x:c r="H177" t="str">
        <x:v>Line</x:v>
      </x:c>
      <x:c r="I177" t="str">
        <x:v>Kerbech</x:v>
      </x:c>
      <x:c r="J177" t="str">
        <x:v>line.kerbech@everrest.com</x:v>
      </x:c>
      <x:c r="K177" t="str">
        <x:v>9/08/26, 3:23:10 AM</x:v>
      </x:c>
      <x:c r="L177" t="str">
        <x:v>Registrado</x:v>
      </x:c>
      <x:c r="M177" t="str">
        <x:v>Danmark</x:v>
      </x:c>
      <x:c r="N177" t="str">
        <x:v>EverRest ApS</x:v>
      </x:c>
      <x:c r="O177" t="str"/>
      <x:c r="P177" t="str"/>
      <x:c r="Q177" t="str"/>
      <x:c r="R177" t="str"/>
      <x:c r="S177" t="str"/>
      <x:c r="T177" t="str"/>
      <x:c r="U177" t="str"/>
      <x:c r="V177" t="str"/>
      <x:c r="W177" t="str"/>
      <x:c r="X177" t="str"/>
      <x:c r="Y177" t="str"/>
      <x:c r="Z177" t="str"/>
    </x:row>
    <x:row r="178">
      <x:c r="A178" t="str"/>
      <x:c r="B178" t="str"/>
      <x:c r="C178" t="str"/>
      <x:c r="D178" t="str"/>
      <x:c r="E178" t="str"/>
      <x:c r="F178" t="str"/>
      <x:c r="G178" t="str"/>
      <x:c r="H178" t="str">
        <x:v>Vishal</x:v>
      </x:c>
      <x:c r="I178" t="str">
        <x:v>Borate</x:v>
      </x:c>
      <x:c r="J178" t="str">
        <x:v>vborate@controlunion.com</x:v>
      </x:c>
      <x:c r="K178" t="str">
        <x:v>9/08/26, 7:34:14 AM</x:v>
      </x:c>
      <x:c r="L178" t="str">
        <x:v>Registrado</x:v>
      </x:c>
      <x:c r="M178" t="str">
        <x:v>India</x:v>
      </x:c>
      <x:c r="N178" t="str">
        <x:v>Control Union India</x:v>
      </x:c>
      <x:c r="O178" t="str"/>
      <x:c r="P178" t="str"/>
      <x:c r="Q178" t="str"/>
      <x:c r="R178" t="str"/>
      <x:c r="S178" t="str"/>
      <x:c r="T178" t="str"/>
      <x:c r="U178" t="str"/>
      <x:c r="V178" t="str"/>
      <x:c r="W178" t="str"/>
      <x:c r="X178" t="str"/>
      <x:c r="Y178" t="str"/>
      <x:c r="Z178" t="str"/>
    </x:row>
    <x:row r="179">
      <x:c r="A179" t="str"/>
      <x:c r="B179" t="str"/>
      <x:c r="C179" t="str"/>
      <x:c r="D179" t="str"/>
      <x:c r="E179" t="str"/>
      <x:c r="F179" t="str"/>
      <x:c r="G179" t="str"/>
      <x:c r="H179" t="str">
        <x:v>Romulo</x:v>
      </x:c>
      <x:c r="I179" t="str">
        <x:v>Pereira</x:v>
      </x:c>
      <x:c r="J179" t="str">
        <x:v>romulo.pereira@archroma.com</x:v>
      </x:c>
      <x:c r="K179" t="str">
        <x:v>9/08/26, 8:27:41 AM</x:v>
      </x:c>
      <x:c r="L179" t="str">
        <x:v>Registrado</x:v>
      </x:c>
      <x:c r="M179" t="str">
        <x:v>Brazil</x:v>
      </x:c>
      <x:c r="N179" t="str">
        <x:v>Archroma</x:v>
      </x:c>
      <x:c r="O179" t="str"/>
      <x:c r="P179" t="str"/>
      <x:c r="Q179" t="str"/>
      <x:c r="R179" t="str"/>
      <x:c r="S179" t="str"/>
      <x:c r="T179" t="str"/>
      <x:c r="U179" t="str"/>
      <x:c r="V179" t="str"/>
      <x:c r="W179" t="str"/>
      <x:c r="X179" t="str"/>
      <x:c r="Y179" t="str"/>
      <x:c r="Z179" t="str"/>
    </x:row>
    <x:row r="180">
      <x:c r="A180" t="str"/>
      <x:c r="B180" t="str"/>
      <x:c r="C180" t="str"/>
      <x:c r="D180" t="str"/>
      <x:c r="E180" t="str"/>
      <x:c r="F180" t="str"/>
      <x:c r="G180" t="str"/>
      <x:c r="H180" t="str">
        <x:v>Abira</x:v>
      </x:c>
      <x:c r="I180" t="str">
        <x:v>Sivakumaran</x:v>
      </x:c>
      <x:c r="J180" t="str">
        <x:v>abira91siva@gmail.com</x:v>
      </x:c>
      <x:c r="K180" t="str">
        <x:v>9/08/26, 9:01:46 AM</x:v>
      </x:c>
      <x:c r="L180" t="str">
        <x:v>Registrado</x:v>
      </x:c>
      <x:c r="M180" t="str">
        <x:v>Sri Lanka</x:v>
      </x:c>
      <x:c r="N180" t="str">
        <x:v>Northern cooperative development bank </x:v>
      </x:c>
      <x:c r="O180" t="str"/>
      <x:c r="P180" t="str"/>
      <x:c r="Q180" t="str"/>
      <x:c r="R180" t="str"/>
      <x:c r="S180" t="str"/>
      <x:c r="T180" t="str"/>
      <x:c r="U180" t="str"/>
      <x:c r="V180" t="str"/>
      <x:c r="W180" t="str"/>
      <x:c r="X180" t="str"/>
      <x:c r="Y180" t="str"/>
      <x:c r="Z180" t="str"/>
    </x:row>
    <x:row r="181">
      <x:c r="A181" t="str"/>
      <x:c r="B181" t="str"/>
      <x:c r="C181" t="str"/>
      <x:c r="D181" t="str"/>
      <x:c r="E181" t="str"/>
      <x:c r="F181" t="str"/>
      <x:c r="G181" t="str"/>
      <x:c r="H181" t="str">
        <x:v>Taha</x:v>
      </x:c>
      <x:c r="I181" t="str">
        <x:v>Sulaiman</x:v>
      </x:c>
      <x:c r="J181" t="str">
        <x:v>taha_sulaiman@yahoo.com</x:v>
      </x:c>
      <x:c r="K181" t="str">
        <x:v>9/08/26, 10:49:19 AM</x:v>
      </x:c>
      <x:c r="L181" t="str">
        <x:v>Registrado</x:v>
      </x:c>
      <x:c r="M181" t="str">
        <x:v>Pakistan </x:v>
      </x:c>
      <x:c r="N181" t="str">
        <x:v>Aspin Pharma   </x:v>
      </x:c>
      <x:c r="O181" t="str"/>
      <x:c r="P181" t="str"/>
      <x:c r="Q181" t="str"/>
      <x:c r="R181" t="str"/>
      <x:c r="S181" t="str"/>
      <x:c r="T181" t="str"/>
      <x:c r="U181" t="str"/>
      <x:c r="V181" t="str"/>
      <x:c r="W181" t="str"/>
      <x:c r="X181" t="str"/>
      <x:c r="Y181" t="str"/>
      <x:c r="Z181" t="str"/>
    </x:row>
    <x:row r="182">
      <x:c r="A182" t="str"/>
      <x:c r="B182" t="str"/>
      <x:c r="C182" t="str"/>
      <x:c r="D182" t="str"/>
      <x:c r="E182" t="str"/>
      <x:c r="F182" t="str"/>
      <x:c r="G182" t="str"/>
      <x:c r="H182" t="str">
        <x:v>Paulo Canuto</x:v>
      </x:c>
      <x:c r="I182" t="str">
        <x:v>Barbosa Filho</x:v>
      </x:c>
      <x:c r="J182" t="str">
        <x:v>paulo.canuto@yahoo.com.br</x:v>
      </x:c>
      <x:c r="K182" t="str">
        <x:v>9/08/26, 1:02:33 PM</x:v>
      </x:c>
      <x:c r="L182" t="str">
        <x:v>Registrado</x:v>
      </x:c>
      <x:c r="M182" t="str">
        <x:v>Brasil</x:v>
      </x:c>
      <x:c r="N182" t="str">
        <x:v>N/A</x:v>
      </x:c>
      <x:c r="O182" t="str"/>
      <x:c r="P182" t="str"/>
      <x:c r="Q182" t="str"/>
      <x:c r="R182" t="str"/>
      <x:c r="S182" t="str"/>
      <x:c r="T182" t="str"/>
      <x:c r="U182" t="str"/>
      <x:c r="V182" t="str"/>
      <x:c r="W182" t="str"/>
      <x:c r="X182" t="str"/>
      <x:c r="Y182" t="str"/>
      <x:c r="Z182" t="str"/>
    </x:row>
    <x:row r="183">
      <x:c r="A183" t="str"/>
      <x:c r="B183" t="str"/>
      <x:c r="C183" t="str"/>
      <x:c r="D183" t="str"/>
      <x:c r="E183" t="str"/>
      <x:c r="F183" t="str"/>
      <x:c r="G183" t="str"/>
      <x:c r="H183" t="str">
        <x:v>Jean Carlo</x:v>
      </x:c>
      <x:c r="I183" t="str">
        <x:v>Rivera</x:v>
      </x:c>
      <x:c r="J183" t="str">
        <x:v>jrivera@controlunion.com</x:v>
      </x:c>
      <x:c r="K183" t="str">
        <x:v>9/08/26, 1:33:39 PM</x:v>
      </x:c>
      <x:c r="L183" t="str">
        <x:v>Registrado</x:v>
      </x:c>
      <x:c r="M183" t="str">
        <x:v>Perú </x:v>
      </x:c>
      <x:c r="N183" t="str">
        <x:v>Control Union</x:v>
      </x:c>
      <x:c r="O183" t="str"/>
      <x:c r="P183" t="str"/>
      <x:c r="Q183" t="str"/>
      <x:c r="R183" t="str"/>
      <x:c r="S183" t="str"/>
      <x:c r="T183" t="str"/>
      <x:c r="U183" t="str"/>
      <x:c r="V183" t="str"/>
      <x:c r="W183" t="str"/>
      <x:c r="X183" t="str"/>
      <x:c r="Y183" t="str"/>
      <x:c r="Z183" t="str"/>
    </x:row>
    <x:row r="184">
      <x:c r="A184" t="str"/>
      <x:c r="B184" t="str"/>
      <x:c r="C184" t="str"/>
      <x:c r="D184" t="str"/>
      <x:c r="E184" t="str"/>
      <x:c r="F184" t="str"/>
      <x:c r="G184" t="str"/>
      <x:c r="H184" t="str">
        <x:v>Baptiste</x:v>
      </x:c>
      <x:c r="I184" t="str">
        <x:v>Hardouin</x:v>
      </x:c>
      <x:c r="J184" t="str">
        <x:v>bhardouin@controlunion.com</x:v>
      </x:c>
      <x:c r="K184" t="str">
        <x:v>9/09/26, 4:16:32 AM</x:v>
      </x:c>
      <x:c r="L184" t="str">
        <x:v>Registrado</x:v>
      </x:c>
      <x:c r="M184" t="str">
        <x:v>France</x:v>
      </x:c>
      <x:c r="N184" t="str">
        <x:v>Control Union</x:v>
      </x:c>
      <x:c r="O184" t="str"/>
      <x:c r="P184" t="str"/>
      <x:c r="Q184" t="str"/>
      <x:c r="R184" t="str"/>
      <x:c r="S184" t="str"/>
      <x:c r="T184" t="str"/>
      <x:c r="U184" t="str"/>
      <x:c r="V184" t="str"/>
      <x:c r="W184" t="str"/>
      <x:c r="X184" t="str"/>
      <x:c r="Y184" t="str"/>
      <x:c r="Z184" t="str"/>
    </x:row>
    <x:row r="185">
      <x:c r="A185" t="str"/>
      <x:c r="B185" t="str"/>
      <x:c r="C185" t="str"/>
      <x:c r="D185" t="str"/>
      <x:c r="E185" t="str"/>
      <x:c r="F185" t="str"/>
      <x:c r="G185" t="str"/>
      <x:c r="H185" t="str">
        <x:v>Saba</x:v>
      </x:c>
      <x:c r="I185" t="str">
        <x:v>Noreen</x:v>
      </x:c>
      <x:c r="J185" t="str">
        <x:v>noreensaba370@gmail.com</x:v>
      </x:c>
      <x:c r="K185" t="str">
        <x:v>9/09/26, 4:49:38 AM</x:v>
      </x:c>
      <x:c r="L185" t="str">
        <x:v>Registrado</x:v>
      </x:c>
      <x:c r="M185" t="str">
        <x:v>Pakistan</x:v>
      </x:c>
      <x:c r="N185" t="str">
        <x:v>Ihsan cotton products </x:v>
      </x:c>
      <x:c r="O185" t="str"/>
      <x:c r="P185" t="str"/>
      <x:c r="Q185" t="str"/>
      <x:c r="R185" t="str"/>
      <x:c r="S185" t="str"/>
      <x:c r="T185" t="str"/>
      <x:c r="U185" t="str"/>
      <x:c r="V185" t="str"/>
      <x:c r="W185" t="str"/>
      <x:c r="X185" t="str"/>
      <x:c r="Y185" t="str"/>
      <x:c r="Z185" t="str"/>
    </x:row>
    <x:row r="186">
      <x:c r="A186" t="str"/>
      <x:c r="B186" t="str"/>
      <x:c r="C186" t="str"/>
      <x:c r="D186" t="str"/>
      <x:c r="E186" t="str"/>
      <x:c r="F186" t="str"/>
      <x:c r="G186" t="str"/>
      <x:c r="H186" t="str">
        <x:v>Mahnoor</x:v>
      </x:c>
      <x:c r="I186" t="str">
        <x:v>Alam</x:v>
      </x:c>
      <x:c r="J186" t="str">
        <x:v>mahnooralam749@gmail.com</x:v>
      </x:c>
      <x:c r="K186" t="str">
        <x:v>9/09/26, 4:57:08 AM</x:v>
      </x:c>
      <x:c r="L186" t="str">
        <x:v>Registrado</x:v>
      </x:c>
      <x:c r="M186" t="str">
        <x:v>Pakistan</x:v>
      </x:c>
      <x:c r="N186" t="str">
        <x:v>Peterson Solutions </x:v>
      </x:c>
      <x:c r="O186" t="str"/>
      <x:c r="P186" t="str"/>
      <x:c r="Q186" t="str"/>
      <x:c r="R186" t="str"/>
      <x:c r="S186" t="str"/>
      <x:c r="T186" t="str"/>
      <x:c r="U186" t="str"/>
      <x:c r="V186" t="str"/>
      <x:c r="W186" t="str"/>
      <x:c r="X186" t="str"/>
      <x:c r="Y186" t="str"/>
      <x:c r="Z186" t="str"/>
    </x:row>
    <x:row r="187">
      <x:c r="A187" t="str"/>
      <x:c r="B187" t="str"/>
      <x:c r="C187" t="str"/>
      <x:c r="D187" t="str"/>
      <x:c r="E187" t="str"/>
      <x:c r="F187" t="str"/>
      <x:c r="G187" t="str"/>
      <x:c r="H187" t="str">
        <x:v>Muhammad Shahid</x:v>
      </x:c>
      <x:c r="I187" t="str">
        <x:v>Kamran</x:v>
      </x:c>
      <x:c r="J187" t="str">
        <x:v>shahid.kamran@fatima-group.com</x:v>
      </x:c>
      <x:c r="K187" t="str">
        <x:v>9/09/26, 6:16:40 AM</x:v>
      </x:c>
      <x:c r="L187" t="str">
        <x:v>Registrado</x:v>
      </x:c>
      <x:c r="M187" t="str">
        <x:v>Pakistan </x:v>
      </x:c>
      <x:c r="N187" t="str">
        <x:v>Reliance Weaving Mills Ltd. (Fatima Group)</x:v>
      </x:c>
      <x:c r="O187" t="str"/>
      <x:c r="P187" t="str"/>
      <x:c r="Q187" t="str"/>
      <x:c r="R187" t="str"/>
      <x:c r="S187" t="str"/>
      <x:c r="T187" t="str"/>
      <x:c r="U187" t="str"/>
      <x:c r="V187" t="str"/>
      <x:c r="W187" t="str"/>
      <x:c r="X187" t="str"/>
      <x:c r="Y187" t="str"/>
      <x:c r="Z187" t="str"/>
    </x:row>
  </x:sheetData>
  <x:pageMargins left="0.7" right="0.7" top="0.75" bottom="0.75" header="0.3" footer="0.3"/>
  <x:tableParts count="1">
    <x:tablePart xmlns:r="http://schemas.openxmlformats.org/officeDocument/2006/relationships" r:id="R8bf0d424fb9142d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60" hidden="0" customWidth="1"/>
    <x:col min="8" max="8" width="18" hidden="0" customWidth="1"/>
  </x:cols>
  <x:sheetData>
    <x:row r="1">
      <x:c r="A1" s="56" t="str">
        <x:v>Source</x:v>
      </x:c>
      <x:c r="B1" s="56" t="str">
        <x:v>Type</x:v>
      </x:c>
      <x:c r="C1" s="56" t="str">
        <x:v>Identity</x:v>
      </x:c>
      <x:c r="D1" s="56" t="str">
        <x:v>Timestamp</x:v>
      </x:c>
      <x:c r="E1" s="56" t="str">
        <x:v>Conversation ID</x:v>
      </x:c>
      <x:c r="F1" s="56" t="str">
        <x:v>Reply To ID</x:v>
      </x:c>
      <x:c r="G1" s="56" t="str">
        <x:v>Content</x:v>
      </x:c>
      <x:c r="H1" s="56" t="str">
        <x:v>Reactions</x:v>
      </x:c>
    </x:row>
    <x:row r="2">
      <x:c r="A2" t="str">
        <x:v>ATTENDEE</x:v>
      </x:c>
      <x:c r="B2" t="str">
        <x:v>QUESTION</x:v>
      </x:c>
      <x:c r="C2" t="str">
        <x:v>msorkin@controlunion.com</x:v>
      </x:c>
      <x:c r="D2" t="n">
        <x:v>46274.60313766204</x:v>
      </x:c>
      <x:c r="E2" t="str">
        <x:v>4026416277151745</x:v>
      </x:c>
      <x:c r="F2" t="str"/>
      <x:c r="G2" s="46" t="str">
        <x:v>When certifying the RECYCLASS recycling process and traceability outside the EU. Are there any additional requirements for the companies outside of the European Union? is a social certification required?</x:v>
      </x:c>
      <x:c r="H2" t="str">
        <x:v>0</x:v>
      </x:c>
    </x:row>
    <x:row r="3">
      <x:c r="A3" t="str">
        <x:v>ATTENDEE</x:v>
      </x:c>
      <x:c r="B3" t="str">
        <x:v>QUESTION</x:v>
      </x:c>
      <x:c r="C3" t="str">
        <x:v>cormazamullo@trinseo.com</x:v>
      </x:c>
      <x:c r="D3" t="n">
        <x:v>46274.613345335645</x:v>
      </x:c>
      <x:c r="E3" t="str">
        <x:v>4026431067127809</x:v>
      </x:c>
      <x:c r="F3" t="str"/>
      <x:c r="G3" s="46" t="str">
        <x:v>Is ISCC also accredited for EN15343?</x:v>
      </x:c>
      <x:c r="H3" t="str">
        <x:v>0</x:v>
      </x:c>
    </x:row>
    <x:row r="4">
      <x:c r="A4" t="str">
        <x:v>ATTENDEE</x:v>
      </x:c>
      <x:c r="B4" t="str">
        <x:v>QUESTION</x:v>
      </x:c>
      <x:c r="C4" t="str">
        <x:v>cvrensburg@controlunion.com</x:v>
      </x:c>
      <x:c r="D4" t="n">
        <x:v>46274.64649461806</x:v>
      </x:c>
      <x:c r="E4" t="str">
        <x:v>4026479112241153</x:v>
      </x:c>
      <x:c r="F4" t="str"/>
      <x:c r="G4" s="46" t="str">
        <x:v>Thank you all for the insightful presentations! This has been a most informative and interesting webinar! 🤩</x:v>
      </x:c>
      <x:c r="H4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3bc5ca646a8422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</x:cols>
  <x:sheetData>
    <x:row r="1">
      <x:c r="A1" s="60" t="str">
        <x:v>Lead Scoring Model</x:v>
      </x:c>
      <x:c r="B1" s="60"/>
      <x:c r="C1" s="60"/>
      <x:c r="D1" s="60"/>
    </x:row>
    <x:row r="2">
      <x:c r="A2" s="46"/>
      <x:c r="B2" s="46"/>
      <x:c r="C2" s="46"/>
      <x:c r="D2" s="46"/>
    </x:row>
    <x:row r="3">
      <x:c r="A3" s="12" t="str">
        <x:v>Rule</x:v>
      </x:c>
      <x:c r="B3" s="12" t="str">
        <x:v>Value</x:v>
      </x:c>
      <x:c r="C3" s="12" t="str">
        <x:v>Max points</x:v>
      </x:c>
      <x:c r="D3" s="12" t="str">
        <x:v>Notes</x:v>
      </x:c>
    </x:row>
    <x:row r="4">
      <x:c r="A4" s="46" t="str">
        <x:v>Registration points</x:v>
      </x:c>
      <x:c r="B4" s="46" t="n">
        <x:v>10</x:v>
      </x:c>
      <x:c r="C4" s="46" t="n">
        <x:v>10</x:v>
      </x:c>
      <x:c r="D4" s="46" t="str">
        <x:v>Every registrant starts with baseline intent</x:v>
      </x:c>
    </x:row>
    <x:row r="5">
      <x:c r="A5" s="46" t="str">
        <x:v>Attendance points</x:v>
      </x:c>
      <x:c r="B5" s="46" t="n">
        <x:v>20</x:v>
      </x:c>
      <x:c r="C5" s="46" t="n">
        <x:v>20</x:v>
      </x:c>
      <x:c r="D5" s="46" t="str">
        <x:v>Awarded if registered contact attended</x:v>
      </x:c>
    </x:row>
    <x:row r="6">
      <x:c r="A6" s="46" t="str">
        <x:v>Target attendance minutes</x:v>
      </x:c>
      <x:c r="B6" s="46" t="n">
        <x:v>90</x:v>
      </x:c>
      <x:c r="C6" s="46" t="str"/>
      <x:c r="D6" s="46" t="str">
        <x:v>Time score cap</x:v>
      </x:c>
    </x:row>
    <x:row r="7">
      <x:c r="A7" s="46" t="str">
        <x:v>Time connected max</x:v>
      </x:c>
      <x:c r="B7" s="46" t="n">
        <x:v>40</x:v>
      </x:c>
      <x:c r="C7" s="46" t="n">
        <x:v>40</x:v>
      </x:c>
      <x:c r="D7" s="46" t="str">
        <x:v>minutes / 90 × 40</x:v>
      </x:c>
    </x:row>
    <x:row r="8">
      <x:c r="A8" s="46" t="str">
        <x:v>Question points</x:v>
      </x:c>
      <x:c r="B8" s="46" t="n">
        <x:v>20</x:v>
      </x:c>
      <x:c r="C8" s="46" t="n">
        <x:v>20</x:v>
      </x:c>
      <x:c r="D8" s="46" t="str">
        <x:v>Question shows strong intent</x:v>
      </x:c>
    </x:row>
    <x:row r="9">
      <x:c r="A9" s="46" t="str">
        <x:v>Reaction points</x:v>
      </x:c>
      <x:c r="B9" s="46" t="n">
        <x:v>2</x:v>
      </x:c>
      <x:c r="C9" s="46" t="str"/>
      <x:c r="D9" s="46" t="str">
        <x:v>Per reaction</x:v>
      </x:c>
    </x:row>
    <x:row r="10">
      <x:c r="A10" s="46" t="str">
        <x:v>Other Q&amp;A points</x:v>
      </x:c>
      <x:c r="B10" s="46" t="n">
        <x:v>5</x:v>
      </x:c>
      <x:c r="C10" s="46" t="str"/>
      <x:c r="D10" s="46" t="str">
        <x:v>Replies / discussions</x:v>
      </x:c>
    </x:row>
    <x:row r="11">
      <x:c r="A11" s="46" t="str">
        <x:v>Engagement max</x:v>
      </x:c>
      <x:c r="B11" s="46" t="n">
        <x:v>10</x:v>
      </x:c>
      <x:c r="C11" s="46" t="n">
        <x:v>10</x:v>
      </x:c>
      <x:c r="D11" s="46" t="str">
        <x:v>Cap reactions + other Q&amp;A</x:v>
      </x:c>
    </x:row>
    <x:row r="12">
      <x:c r="A12" s="46" t="str">
        <x:v>Hot threshold</x:v>
      </x:c>
      <x:c r="B12" s="46" t="n">
        <x:v>70</x:v>
      </x:c>
      <x:c r="C12" s="46" t="str"/>
      <x:c r="D12" s="46" t="str">
        <x:v>Score ≥ 70</x:v>
      </x:c>
    </x:row>
    <x:row r="13">
      <x:c r="A13" s="46" t="str">
        <x:v>Warm threshold</x:v>
      </x:c>
      <x:c r="B13" s="46" t="n">
        <x:v>40</x:v>
      </x:c>
      <x:c r="C13" s="46" t="str"/>
      <x:c r="D13" s="46" t="str">
        <x:v>Score ≥ 40</x:v>
      </x:c>
    </x:row>
  </x:sheetData>
  <x:mergeCells>
    <x:mergeCell ref="A1:D1"/>
  </x:mergeCells>
  <x:pageMargins left="0.7" right="0.7" top="0.75" bottom="0.75" header="0.3" footer="0.3"/>
</x:worksheet>
</file>